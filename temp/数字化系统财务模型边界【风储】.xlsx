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8350" windowHeight="7020" tabRatio="934" firstSheet="7" activeTab="13"/>
  </bookViews>
  <sheets>
    <sheet name="说明" sheetId="13" r:id="rId1"/>
    <sheet name="可抵扣进项税" sheetId="5" r:id="rId2"/>
    <sheet name="参数输入表" sheetId="2" r:id="rId3"/>
    <sheet name="表1-资金筹措及还本付息表" sheetId="3" r:id="rId4"/>
    <sheet name="表2-折旧摊销表" sheetId="4" r:id="rId5"/>
    <sheet name="表3-成本费用表" sheetId="6" r:id="rId6"/>
    <sheet name="表4-收入税金表" sheetId="7" r:id="rId7"/>
    <sheet name="表5-利润表-资本金" sheetId="8" r:id="rId8"/>
    <sheet name="表6-现金流量表-资本金" sheetId="10" r:id="rId9"/>
    <sheet name="表7-利润表-全投资" sheetId="12" r:id="rId10"/>
    <sheet name="表8-现金流量表-全投资" sheetId="9" r:id="rId11"/>
    <sheet name="表9-现金流量表-财务计划" sheetId="11" r:id="rId12"/>
    <sheet name="表10-资产负债表" sheetId="14" r:id="rId13"/>
    <sheet name="财务指标表" sheetId="15" r:id="rId14"/>
  </sheets>
  <calcPr calcId="144525" iterate="1" iterateCount="32767"/>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 i="4" l="1"/>
  <c r="D15" i="15"/>
  <c r="D14" i="15"/>
  <c r="D12" i="15"/>
  <c r="D10" i="15"/>
  <c r="D9" i="15"/>
  <c r="D7" i="15"/>
  <c r="D6" i="15"/>
  <c r="D3" i="15"/>
  <c r="F117" i="14"/>
  <c r="E117" i="14"/>
  <c r="F108" i="14"/>
  <c r="F101" i="14"/>
  <c r="F100" i="14"/>
  <c r="Z88" i="14"/>
  <c r="Y88" i="14"/>
  <c r="X88" i="14"/>
  <c r="W88" i="14"/>
  <c r="V88" i="14"/>
  <c r="F88" i="14"/>
  <c r="F86" i="14"/>
  <c r="F57" i="14" s="1"/>
  <c r="Z59" i="14"/>
  <c r="Y59" i="14"/>
  <c r="X59" i="14"/>
  <c r="W59" i="14"/>
  <c r="V59" i="14"/>
  <c r="U59" i="14"/>
  <c r="T59" i="14"/>
  <c r="S59" i="14"/>
  <c r="R59" i="14"/>
  <c r="Q59" i="14"/>
  <c r="P59" i="14"/>
  <c r="O59" i="14"/>
  <c r="N59" i="14"/>
  <c r="M59" i="14"/>
  <c r="L59" i="14"/>
  <c r="K59" i="14"/>
  <c r="J59" i="14"/>
  <c r="I59" i="14"/>
  <c r="H59" i="14"/>
  <c r="G59" i="14"/>
  <c r="F59" i="14"/>
  <c r="E59" i="14"/>
  <c r="Z58" i="14"/>
  <c r="Y58" i="14"/>
  <c r="X58" i="14"/>
  <c r="W58" i="14"/>
  <c r="V58" i="14"/>
  <c r="U58" i="14"/>
  <c r="T58" i="14"/>
  <c r="S58" i="14"/>
  <c r="R58" i="14"/>
  <c r="Q58" i="14"/>
  <c r="P58" i="14"/>
  <c r="O58" i="14"/>
  <c r="N58" i="14"/>
  <c r="M58" i="14"/>
  <c r="L58" i="14"/>
  <c r="K58" i="14"/>
  <c r="J58" i="14"/>
  <c r="I58" i="14"/>
  <c r="H58" i="14"/>
  <c r="G58" i="14"/>
  <c r="F58" i="14"/>
  <c r="E58" i="14"/>
  <c r="Z53" i="14"/>
  <c r="Y53" i="14"/>
  <c r="X53" i="14"/>
  <c r="W53" i="14"/>
  <c r="V53" i="14"/>
  <c r="U53" i="14"/>
  <c r="T53" i="14"/>
  <c r="S53" i="14"/>
  <c r="R53" i="14"/>
  <c r="Q53" i="14"/>
  <c r="P53" i="14"/>
  <c r="O53" i="14"/>
  <c r="N53" i="14"/>
  <c r="M53" i="14"/>
  <c r="L53" i="14"/>
  <c r="K53" i="14"/>
  <c r="J53" i="14"/>
  <c r="I53" i="14"/>
  <c r="H53" i="14"/>
  <c r="G53" i="14"/>
  <c r="Z50" i="14"/>
  <c r="Y50" i="14"/>
  <c r="X50" i="14"/>
  <c r="W50" i="14"/>
  <c r="V50" i="14"/>
  <c r="U50" i="14"/>
  <c r="T50" i="14"/>
  <c r="S50" i="14"/>
  <c r="R50" i="14"/>
  <c r="Q50" i="14"/>
  <c r="P50" i="14"/>
  <c r="O50" i="14"/>
  <c r="N50" i="14"/>
  <c r="M50" i="14"/>
  <c r="L50" i="14"/>
  <c r="K50" i="14"/>
  <c r="J50" i="14"/>
  <c r="I50" i="14"/>
  <c r="H50" i="14"/>
  <c r="G50" i="14"/>
  <c r="F50" i="14"/>
  <c r="E50" i="14"/>
  <c r="F43" i="14"/>
  <c r="F42" i="14"/>
  <c r="F31" i="14"/>
  <c r="Z30" i="14"/>
  <c r="Y30" i="14"/>
  <c r="X30" i="14"/>
  <c r="W30" i="14"/>
  <c r="V30" i="14"/>
  <c r="U30" i="14"/>
  <c r="T30" i="14"/>
  <c r="S30" i="14"/>
  <c r="R30" i="14"/>
  <c r="Q30" i="14"/>
  <c r="P30" i="14"/>
  <c r="O30" i="14"/>
  <c r="N30" i="14"/>
  <c r="M30" i="14"/>
  <c r="L30" i="14"/>
  <c r="K30" i="14"/>
  <c r="J30" i="14"/>
  <c r="I30" i="14"/>
  <c r="H30" i="14"/>
  <c r="Z24" i="14"/>
  <c r="Y24" i="14"/>
  <c r="X24" i="14"/>
  <c r="W24" i="14"/>
  <c r="V24" i="14"/>
  <c r="U24" i="14"/>
  <c r="T24" i="14"/>
  <c r="S24" i="14"/>
  <c r="R24" i="14"/>
  <c r="Q24" i="14"/>
  <c r="P24" i="14"/>
  <c r="O24" i="14"/>
  <c r="N24" i="14"/>
  <c r="M24" i="14"/>
  <c r="L24" i="14"/>
  <c r="K24" i="14"/>
  <c r="J24" i="14"/>
  <c r="I24" i="14"/>
  <c r="H24" i="14"/>
  <c r="G24" i="14"/>
  <c r="F24" i="14"/>
  <c r="E24" i="14"/>
  <c r="Z21" i="14"/>
  <c r="Y21" i="14"/>
  <c r="X21" i="14"/>
  <c r="W21" i="14"/>
  <c r="V21" i="14"/>
  <c r="U21" i="14"/>
  <c r="T21" i="14"/>
  <c r="S21" i="14"/>
  <c r="R21" i="14"/>
  <c r="Q21" i="14"/>
  <c r="P21" i="14"/>
  <c r="O21" i="14"/>
  <c r="N21" i="14"/>
  <c r="M21" i="14"/>
  <c r="L21" i="14"/>
  <c r="K21" i="14"/>
  <c r="J21" i="14"/>
  <c r="I21" i="14"/>
  <c r="H21" i="14"/>
  <c r="G21" i="14"/>
  <c r="F21" i="14"/>
  <c r="Z14" i="14"/>
  <c r="Y14" i="14"/>
  <c r="X14" i="14"/>
  <c r="W14" i="14"/>
  <c r="V14" i="14"/>
  <c r="U14" i="14"/>
  <c r="T14" i="14"/>
  <c r="S14" i="14"/>
  <c r="R14" i="14"/>
  <c r="Q14" i="14"/>
  <c r="P14" i="14"/>
  <c r="O14" i="14"/>
  <c r="N14" i="14"/>
  <c r="M14" i="14"/>
  <c r="L14" i="14"/>
  <c r="K14" i="14"/>
  <c r="J14" i="14"/>
  <c r="I14" i="14"/>
  <c r="H14" i="14"/>
  <c r="G14" i="14"/>
  <c r="AA43" i="11"/>
  <c r="Z43" i="11"/>
  <c r="Y43" i="11"/>
  <c r="X43" i="11"/>
  <c r="W43" i="11"/>
  <c r="V43" i="11"/>
  <c r="U43" i="11"/>
  <c r="T43" i="11"/>
  <c r="S43" i="11"/>
  <c r="R43" i="11"/>
  <c r="Q43" i="11"/>
  <c r="P43" i="11"/>
  <c r="O43" i="11"/>
  <c r="N43" i="11"/>
  <c r="M43" i="11"/>
  <c r="L43" i="11"/>
  <c r="K43" i="11"/>
  <c r="J43" i="11"/>
  <c r="I43" i="11"/>
  <c r="H43" i="11"/>
  <c r="AA31" i="11"/>
  <c r="Z31" i="11"/>
  <c r="Y31" i="11"/>
  <c r="X31" i="11"/>
  <c r="W31" i="11"/>
  <c r="AA30" i="11"/>
  <c r="Z30" i="11"/>
  <c r="Y30" i="11"/>
  <c r="X30" i="11"/>
  <c r="W30" i="11"/>
  <c r="G29" i="11"/>
  <c r="AA28" i="11"/>
  <c r="Z28" i="11"/>
  <c r="Y28" i="11"/>
  <c r="X28" i="11"/>
  <c r="W28" i="11"/>
  <c r="V28" i="11"/>
  <c r="U28" i="11"/>
  <c r="T28" i="11"/>
  <c r="S28" i="11"/>
  <c r="R28" i="11"/>
  <c r="Q28" i="11"/>
  <c r="P28" i="11"/>
  <c r="O28" i="11"/>
  <c r="N28" i="11"/>
  <c r="M28" i="11"/>
  <c r="L28" i="11"/>
  <c r="K28" i="11"/>
  <c r="J28" i="11"/>
  <c r="I28" i="11"/>
  <c r="H28" i="11"/>
  <c r="G28" i="11"/>
  <c r="F28" i="11"/>
  <c r="D28" i="11"/>
  <c r="AA27" i="11"/>
  <c r="Z27" i="11"/>
  <c r="Y27" i="11"/>
  <c r="X27" i="11"/>
  <c r="W27" i="11"/>
  <c r="V27" i="11"/>
  <c r="U27" i="11"/>
  <c r="T27" i="11"/>
  <c r="S27" i="11"/>
  <c r="R27" i="11"/>
  <c r="Q27" i="11"/>
  <c r="P27" i="11"/>
  <c r="O27" i="11"/>
  <c r="N27" i="11"/>
  <c r="M27" i="11"/>
  <c r="L27" i="11"/>
  <c r="K27" i="11"/>
  <c r="J27" i="11"/>
  <c r="I27" i="11"/>
  <c r="H27" i="11"/>
  <c r="G27" i="11"/>
  <c r="F27" i="11"/>
  <c r="D27" i="11"/>
  <c r="AA26" i="11"/>
  <c r="Z26" i="11"/>
  <c r="Y26" i="11"/>
  <c r="X26" i="11"/>
  <c r="W26" i="11"/>
  <c r="V26" i="11"/>
  <c r="U26" i="11"/>
  <c r="T26" i="11"/>
  <c r="S26" i="11"/>
  <c r="R26" i="11"/>
  <c r="Q26" i="11"/>
  <c r="P26" i="11"/>
  <c r="O26" i="11"/>
  <c r="N26" i="11"/>
  <c r="M26" i="11"/>
  <c r="L26" i="11"/>
  <c r="K26" i="11"/>
  <c r="J26" i="11"/>
  <c r="I26" i="11"/>
  <c r="H26" i="11"/>
  <c r="H25" i="11"/>
  <c r="AA24" i="11"/>
  <c r="Z24" i="11"/>
  <c r="Y24" i="11"/>
  <c r="X24" i="11"/>
  <c r="W24" i="11"/>
  <c r="V24" i="11"/>
  <c r="U24" i="11"/>
  <c r="T24" i="11"/>
  <c r="S24" i="11"/>
  <c r="R24" i="11"/>
  <c r="Q24" i="11"/>
  <c r="P24" i="11"/>
  <c r="O24" i="11"/>
  <c r="N24" i="11"/>
  <c r="M24" i="11"/>
  <c r="L24" i="11"/>
  <c r="K24" i="11"/>
  <c r="J24" i="11"/>
  <c r="I24" i="11"/>
  <c r="H24" i="11"/>
  <c r="AA22" i="11"/>
  <c r="Z22" i="11"/>
  <c r="Y22" i="11"/>
  <c r="X22" i="11"/>
  <c r="W22" i="11"/>
  <c r="V22" i="11"/>
  <c r="U22" i="11"/>
  <c r="T22" i="11"/>
  <c r="S22" i="11"/>
  <c r="R22" i="11"/>
  <c r="Q22" i="11"/>
  <c r="P22" i="11"/>
  <c r="O22" i="11"/>
  <c r="N22" i="11"/>
  <c r="M22" i="11"/>
  <c r="L22" i="11"/>
  <c r="K22" i="11"/>
  <c r="J22" i="11"/>
  <c r="I22" i="11"/>
  <c r="H22" i="11"/>
  <c r="D22" i="11"/>
  <c r="H21" i="11"/>
  <c r="D21" i="11"/>
  <c r="F20" i="11"/>
  <c r="AA19" i="11"/>
  <c r="Z19" i="11"/>
  <c r="Y19" i="11"/>
  <c r="X19" i="11"/>
  <c r="W19" i="11"/>
  <c r="V19" i="11"/>
  <c r="U19" i="11"/>
  <c r="T19" i="11"/>
  <c r="S19" i="11"/>
  <c r="R19" i="11"/>
  <c r="Q19" i="11"/>
  <c r="P19" i="11"/>
  <c r="O19" i="11"/>
  <c r="N19" i="11"/>
  <c r="M19" i="11"/>
  <c r="L19" i="11"/>
  <c r="K19" i="11"/>
  <c r="J19" i="11"/>
  <c r="I19" i="11"/>
  <c r="H19" i="11"/>
  <c r="F19" i="11"/>
  <c r="D18" i="11"/>
  <c r="AA17" i="11"/>
  <c r="Z17" i="11"/>
  <c r="Y17" i="11"/>
  <c r="X17" i="11"/>
  <c r="W17" i="11"/>
  <c r="V17" i="11"/>
  <c r="U17" i="11"/>
  <c r="T17" i="11"/>
  <c r="S17" i="11"/>
  <c r="R17" i="11"/>
  <c r="Q17" i="11"/>
  <c r="P17" i="11"/>
  <c r="O17" i="11"/>
  <c r="N17" i="11"/>
  <c r="M17" i="11"/>
  <c r="L17" i="11"/>
  <c r="K17" i="11"/>
  <c r="J17" i="11"/>
  <c r="I17" i="11"/>
  <c r="H17" i="11"/>
  <c r="F17" i="11"/>
  <c r="G12" i="11"/>
  <c r="F12" i="11"/>
  <c r="H10" i="11"/>
  <c r="D10" i="11"/>
  <c r="D9" i="11"/>
  <c r="AA8" i="11"/>
  <c r="Z8" i="11"/>
  <c r="Y8" i="11"/>
  <c r="X8" i="11"/>
  <c r="W8" i="11"/>
  <c r="V8" i="11"/>
  <c r="U8" i="11"/>
  <c r="T8" i="11"/>
  <c r="S8" i="11"/>
  <c r="R8" i="11"/>
  <c r="Q8" i="11"/>
  <c r="P8" i="11"/>
  <c r="O8" i="11"/>
  <c r="N8" i="11"/>
  <c r="M8" i="11"/>
  <c r="L8" i="11"/>
  <c r="K8" i="11"/>
  <c r="J8" i="11"/>
  <c r="I8" i="11"/>
  <c r="H8" i="11"/>
  <c r="D8" i="11"/>
  <c r="AA7" i="11"/>
  <c r="Z7" i="11"/>
  <c r="Y7" i="11"/>
  <c r="X7" i="11"/>
  <c r="W7" i="11"/>
  <c r="V7" i="11"/>
  <c r="U7" i="11"/>
  <c r="T7" i="11"/>
  <c r="S7" i="11"/>
  <c r="R7" i="11"/>
  <c r="Q7" i="11"/>
  <c r="P7" i="11"/>
  <c r="O7" i="11"/>
  <c r="N7" i="11"/>
  <c r="M7" i="11"/>
  <c r="L7" i="11"/>
  <c r="K7" i="11"/>
  <c r="J7" i="11"/>
  <c r="I7" i="11"/>
  <c r="H7" i="11"/>
  <c r="D7" i="11"/>
  <c r="G6" i="11"/>
  <c r="F6" i="11"/>
  <c r="G5" i="11"/>
  <c r="F5" i="11"/>
  <c r="E48" i="9"/>
  <c r="E47" i="9"/>
  <c r="E46" i="9"/>
  <c r="E45" i="9"/>
  <c r="E44" i="9"/>
  <c r="G24" i="9"/>
  <c r="F24" i="9"/>
  <c r="G23" i="9"/>
  <c r="F23" i="9"/>
  <c r="G21" i="9"/>
  <c r="F21" i="9"/>
  <c r="G20" i="9"/>
  <c r="F20" i="9"/>
  <c r="AA19" i="9"/>
  <c r="Z19" i="9"/>
  <c r="Y19" i="9"/>
  <c r="X19" i="9"/>
  <c r="W19" i="9"/>
  <c r="V19" i="9"/>
  <c r="U19" i="9"/>
  <c r="T19" i="9"/>
  <c r="S19" i="9"/>
  <c r="R19" i="9"/>
  <c r="Q19" i="9"/>
  <c r="P19" i="9"/>
  <c r="O19" i="9"/>
  <c r="N19" i="9"/>
  <c r="M19" i="9"/>
  <c r="L19" i="9"/>
  <c r="K19" i="9"/>
  <c r="J19" i="9"/>
  <c r="I19" i="9"/>
  <c r="H19" i="9"/>
  <c r="D19" i="9"/>
  <c r="AA16" i="9"/>
  <c r="Z16" i="9"/>
  <c r="Y16" i="9"/>
  <c r="X16" i="9"/>
  <c r="W16" i="9"/>
  <c r="V16" i="9"/>
  <c r="U16" i="9"/>
  <c r="T16" i="9"/>
  <c r="S16" i="9"/>
  <c r="R16" i="9"/>
  <c r="Q16" i="9"/>
  <c r="P16" i="9"/>
  <c r="O16" i="9"/>
  <c r="N16" i="9"/>
  <c r="M16" i="9"/>
  <c r="L16" i="9"/>
  <c r="K16" i="9"/>
  <c r="J16" i="9"/>
  <c r="I16" i="9"/>
  <c r="H16" i="9"/>
  <c r="D16" i="9"/>
  <c r="H14" i="9"/>
  <c r="D14" i="9"/>
  <c r="G13" i="9"/>
  <c r="F13" i="9"/>
  <c r="D13" i="9"/>
  <c r="G12" i="9"/>
  <c r="F12" i="9"/>
  <c r="AA10" i="9"/>
  <c r="D10" i="9"/>
  <c r="H8" i="9"/>
  <c r="D8" i="9"/>
  <c r="AA7" i="9"/>
  <c r="Z7" i="9"/>
  <c r="Y7" i="9"/>
  <c r="X7" i="9"/>
  <c r="W7" i="9"/>
  <c r="V7" i="9"/>
  <c r="U7" i="9"/>
  <c r="T7" i="9"/>
  <c r="S7" i="9"/>
  <c r="R7" i="9"/>
  <c r="Q7" i="9"/>
  <c r="P7" i="9"/>
  <c r="O7" i="9"/>
  <c r="N7" i="9"/>
  <c r="M7" i="9"/>
  <c r="L7" i="9"/>
  <c r="K7" i="9"/>
  <c r="J7" i="9"/>
  <c r="I7" i="9"/>
  <c r="H7" i="9"/>
  <c r="D7" i="9"/>
  <c r="AA6" i="9"/>
  <c r="Z6" i="9"/>
  <c r="Y6" i="9"/>
  <c r="X6" i="9"/>
  <c r="W6" i="9"/>
  <c r="V6" i="9"/>
  <c r="U6" i="9"/>
  <c r="T6" i="9"/>
  <c r="S6" i="9"/>
  <c r="R6" i="9"/>
  <c r="Q6" i="9"/>
  <c r="P6" i="9"/>
  <c r="O6" i="9"/>
  <c r="N6" i="9"/>
  <c r="M6" i="9"/>
  <c r="L6" i="9"/>
  <c r="K6" i="9"/>
  <c r="J6" i="9"/>
  <c r="I6" i="9"/>
  <c r="H6" i="9"/>
  <c r="D6" i="9"/>
  <c r="G5" i="9"/>
  <c r="F5" i="9"/>
  <c r="H24" i="12"/>
  <c r="J22" i="12"/>
  <c r="J22" i="9" s="1"/>
  <c r="H46" i="9" s="1"/>
  <c r="I22" i="12"/>
  <c r="I22" i="9" s="1"/>
  <c r="G46" i="9" s="1"/>
  <c r="H22" i="12"/>
  <c r="H22" i="9" s="1"/>
  <c r="H15" i="12"/>
  <c r="AA13" i="12"/>
  <c r="Z13" i="12"/>
  <c r="Y13" i="12"/>
  <c r="X13" i="12"/>
  <c r="W13" i="12"/>
  <c r="V13" i="12"/>
  <c r="U13" i="12"/>
  <c r="T13" i="12"/>
  <c r="S13" i="12"/>
  <c r="R13" i="12"/>
  <c r="Q13" i="12"/>
  <c r="P13" i="12"/>
  <c r="O13" i="12"/>
  <c r="N13" i="12"/>
  <c r="M13" i="12"/>
  <c r="L13" i="12"/>
  <c r="K13" i="12"/>
  <c r="J13" i="12"/>
  <c r="I13" i="12"/>
  <c r="H13" i="12"/>
  <c r="D13" i="12"/>
  <c r="AA11" i="12"/>
  <c r="Z11" i="12"/>
  <c r="Y11" i="12"/>
  <c r="X11" i="12"/>
  <c r="W11" i="12"/>
  <c r="V11" i="12"/>
  <c r="U11" i="12"/>
  <c r="T11" i="12"/>
  <c r="S11" i="12"/>
  <c r="R11" i="12"/>
  <c r="Q11" i="12"/>
  <c r="P11" i="12"/>
  <c r="O11" i="12"/>
  <c r="N11" i="12"/>
  <c r="M11" i="12"/>
  <c r="L11" i="12"/>
  <c r="K11" i="12"/>
  <c r="J11" i="12"/>
  <c r="I11" i="12"/>
  <c r="H11" i="12"/>
  <c r="D11" i="12"/>
  <c r="AA7" i="12"/>
  <c r="Z7" i="12"/>
  <c r="Y7" i="12"/>
  <c r="X7" i="12"/>
  <c r="W7" i="12"/>
  <c r="V7" i="12"/>
  <c r="U7" i="12"/>
  <c r="T7" i="12"/>
  <c r="S7" i="12"/>
  <c r="R7" i="12"/>
  <c r="Q7" i="12"/>
  <c r="P7" i="12"/>
  <c r="O7" i="12"/>
  <c r="N7" i="12"/>
  <c r="M7" i="12"/>
  <c r="L7" i="12"/>
  <c r="K7" i="12"/>
  <c r="J7" i="12"/>
  <c r="I7" i="12"/>
  <c r="H7" i="12"/>
  <c r="D7" i="12"/>
  <c r="AA6" i="12"/>
  <c r="Z6" i="12"/>
  <c r="Y6" i="12"/>
  <c r="X6" i="12"/>
  <c r="W6" i="12"/>
  <c r="V6" i="12"/>
  <c r="U6" i="12"/>
  <c r="T6" i="12"/>
  <c r="S6" i="12"/>
  <c r="R6" i="12"/>
  <c r="Q6" i="12"/>
  <c r="P6" i="12"/>
  <c r="O6" i="12"/>
  <c r="N6" i="12"/>
  <c r="M6" i="12"/>
  <c r="L6" i="12"/>
  <c r="K6" i="12"/>
  <c r="J6" i="12"/>
  <c r="I6" i="12"/>
  <c r="H6" i="12"/>
  <c r="D6" i="12"/>
  <c r="AA5" i="12"/>
  <c r="Z5" i="12"/>
  <c r="Y5" i="12"/>
  <c r="X5" i="12"/>
  <c r="W5" i="12"/>
  <c r="V5" i="12"/>
  <c r="U5" i="12"/>
  <c r="T5" i="12"/>
  <c r="S5" i="12"/>
  <c r="R5" i="12"/>
  <c r="Q5" i="12"/>
  <c r="P5" i="12"/>
  <c r="O5" i="12"/>
  <c r="N5" i="12"/>
  <c r="M5" i="12"/>
  <c r="L5" i="12"/>
  <c r="K5" i="12"/>
  <c r="J5" i="12"/>
  <c r="I5" i="12"/>
  <c r="H5" i="12"/>
  <c r="D5" i="12"/>
  <c r="G31" i="10"/>
  <c r="G28" i="10"/>
  <c r="AA26" i="10"/>
  <c r="Z26" i="10"/>
  <c r="Y26" i="10"/>
  <c r="X26" i="10"/>
  <c r="W26" i="10"/>
  <c r="V26" i="10"/>
  <c r="U26" i="10"/>
  <c r="T26" i="10"/>
  <c r="S26" i="10"/>
  <c r="R26" i="10"/>
  <c r="Q26" i="10"/>
  <c r="P26" i="10"/>
  <c r="O26" i="10"/>
  <c r="N26" i="10"/>
  <c r="M26" i="10"/>
  <c r="L26" i="10"/>
  <c r="K26" i="10"/>
  <c r="J26" i="10"/>
  <c r="I26" i="10"/>
  <c r="H26" i="10"/>
  <c r="D26" i="10"/>
  <c r="AA23" i="10"/>
  <c r="Z23" i="10"/>
  <c r="Y23" i="10"/>
  <c r="X23" i="10"/>
  <c r="W23" i="10"/>
  <c r="V23" i="10"/>
  <c r="U23" i="10"/>
  <c r="T23" i="10"/>
  <c r="S23" i="10"/>
  <c r="R23" i="10"/>
  <c r="Q23" i="10"/>
  <c r="P23" i="10"/>
  <c r="O23" i="10"/>
  <c r="N23" i="10"/>
  <c r="M23" i="10"/>
  <c r="L23" i="10"/>
  <c r="K23" i="10"/>
  <c r="J23" i="10"/>
  <c r="I23" i="10"/>
  <c r="H23" i="10"/>
  <c r="D23" i="10"/>
  <c r="AA21" i="10"/>
  <c r="Z21" i="10"/>
  <c r="Y21" i="10"/>
  <c r="X21" i="10"/>
  <c r="W21" i="10"/>
  <c r="AA20" i="10"/>
  <c r="Z20" i="10"/>
  <c r="Y20" i="10"/>
  <c r="X20" i="10"/>
  <c r="W20" i="10"/>
  <c r="V20" i="10"/>
  <c r="U20" i="10"/>
  <c r="T20" i="10"/>
  <c r="S20" i="10"/>
  <c r="R20" i="10"/>
  <c r="Q20" i="10"/>
  <c r="P20" i="10"/>
  <c r="O20" i="10"/>
  <c r="N20" i="10"/>
  <c r="M20" i="10"/>
  <c r="L20" i="10"/>
  <c r="K20" i="10"/>
  <c r="J20" i="10"/>
  <c r="I20" i="10"/>
  <c r="H20" i="10"/>
  <c r="AA19" i="10"/>
  <c r="Z19" i="10"/>
  <c r="Y19" i="10"/>
  <c r="X19" i="10"/>
  <c r="W19" i="10"/>
  <c r="AA18" i="10"/>
  <c r="Z18" i="10"/>
  <c r="Y18" i="10"/>
  <c r="X18" i="10"/>
  <c r="W18" i="10"/>
  <c r="H17" i="10"/>
  <c r="D17" i="10"/>
  <c r="AA11" i="10"/>
  <c r="D11" i="10"/>
  <c r="H9" i="10"/>
  <c r="D9" i="10"/>
  <c r="AA8" i="10"/>
  <c r="Z8" i="10"/>
  <c r="Y8" i="10"/>
  <c r="X8" i="10"/>
  <c r="W8" i="10"/>
  <c r="V8" i="10"/>
  <c r="U8" i="10"/>
  <c r="T8" i="10"/>
  <c r="S8" i="10"/>
  <c r="R8" i="10"/>
  <c r="Q8" i="10"/>
  <c r="P8" i="10"/>
  <c r="O8" i="10"/>
  <c r="N8" i="10"/>
  <c r="M8" i="10"/>
  <c r="L8" i="10"/>
  <c r="K8" i="10"/>
  <c r="J8" i="10"/>
  <c r="I8" i="10"/>
  <c r="H8" i="10"/>
  <c r="D8" i="10"/>
  <c r="AA7" i="10"/>
  <c r="Z7" i="10"/>
  <c r="Y7" i="10"/>
  <c r="X7" i="10"/>
  <c r="W7" i="10"/>
  <c r="V7" i="10"/>
  <c r="U7" i="10"/>
  <c r="T7" i="10"/>
  <c r="S7" i="10"/>
  <c r="R7" i="10"/>
  <c r="Q7" i="10"/>
  <c r="P7" i="10"/>
  <c r="O7" i="10"/>
  <c r="N7" i="10"/>
  <c r="M7" i="10"/>
  <c r="L7" i="10"/>
  <c r="K7" i="10"/>
  <c r="J7" i="10"/>
  <c r="I7" i="10"/>
  <c r="H7" i="10"/>
  <c r="D7" i="10"/>
  <c r="AA6" i="10"/>
  <c r="Z6" i="10"/>
  <c r="Y6" i="10"/>
  <c r="X6" i="10"/>
  <c r="W6" i="10"/>
  <c r="V6" i="10"/>
  <c r="U6" i="10"/>
  <c r="T6" i="10"/>
  <c r="S6" i="10"/>
  <c r="R6" i="10"/>
  <c r="Q6" i="10"/>
  <c r="P6" i="10"/>
  <c r="O6" i="10"/>
  <c r="N6" i="10"/>
  <c r="M6" i="10"/>
  <c r="L6" i="10"/>
  <c r="K6" i="10"/>
  <c r="J6" i="10"/>
  <c r="I6" i="10"/>
  <c r="H24" i="8"/>
  <c r="J22" i="8"/>
  <c r="I22" i="8"/>
  <c r="H22" i="8"/>
  <c r="H15" i="8"/>
  <c r="AA13" i="8"/>
  <c r="Z13" i="8"/>
  <c r="Y13" i="8"/>
  <c r="X13" i="8"/>
  <c r="W13" i="8"/>
  <c r="V13" i="8"/>
  <c r="U13" i="8"/>
  <c r="T13" i="8"/>
  <c r="S13" i="8"/>
  <c r="R13" i="8"/>
  <c r="Q13" i="8"/>
  <c r="P13" i="8"/>
  <c r="O13" i="8"/>
  <c r="N13" i="8"/>
  <c r="M13" i="8"/>
  <c r="L13" i="8"/>
  <c r="K13" i="8"/>
  <c r="J13" i="8"/>
  <c r="I13" i="8"/>
  <c r="H13" i="8"/>
  <c r="D13" i="8"/>
  <c r="AA11" i="8"/>
  <c r="Z11" i="8"/>
  <c r="Y11" i="8"/>
  <c r="X11" i="8"/>
  <c r="W11" i="8"/>
  <c r="V11" i="8"/>
  <c r="U11" i="8"/>
  <c r="T11" i="8"/>
  <c r="S11" i="8"/>
  <c r="R11" i="8"/>
  <c r="Q11" i="8"/>
  <c r="P11" i="8"/>
  <c r="O11" i="8"/>
  <c r="N11" i="8"/>
  <c r="M11" i="8"/>
  <c r="L11" i="8"/>
  <c r="K11" i="8"/>
  <c r="J11" i="8"/>
  <c r="I11" i="8"/>
  <c r="H11" i="8"/>
  <c r="D11" i="8"/>
  <c r="AA7" i="8"/>
  <c r="Z7" i="8"/>
  <c r="Y7" i="8"/>
  <c r="X7" i="8"/>
  <c r="W7" i="8"/>
  <c r="V7" i="8"/>
  <c r="U7" i="8"/>
  <c r="T7" i="8"/>
  <c r="S7" i="8"/>
  <c r="R7" i="8"/>
  <c r="Q7" i="8"/>
  <c r="P7" i="8"/>
  <c r="O7" i="8"/>
  <c r="N7" i="8"/>
  <c r="M7" i="8"/>
  <c r="L7" i="8"/>
  <c r="K7" i="8"/>
  <c r="J7" i="8"/>
  <c r="I7" i="8"/>
  <c r="H7" i="8"/>
  <c r="D7" i="8"/>
  <c r="AA6" i="8"/>
  <c r="Z6" i="8"/>
  <c r="Y6" i="8"/>
  <c r="X6" i="8"/>
  <c r="W6" i="8"/>
  <c r="V6" i="8"/>
  <c r="U6" i="8"/>
  <c r="T6" i="8"/>
  <c r="S6" i="8"/>
  <c r="R6" i="8"/>
  <c r="Q6" i="8"/>
  <c r="P6" i="8"/>
  <c r="O6" i="8"/>
  <c r="N6" i="8"/>
  <c r="M6" i="8"/>
  <c r="L6" i="8"/>
  <c r="K6" i="8"/>
  <c r="J6" i="8"/>
  <c r="I6" i="8"/>
  <c r="H6" i="8"/>
  <c r="D6" i="8"/>
  <c r="AA5" i="8"/>
  <c r="Z5" i="8"/>
  <c r="Y5" i="8"/>
  <c r="X5" i="8"/>
  <c r="W5" i="8"/>
  <c r="V5" i="8"/>
  <c r="U5" i="8"/>
  <c r="T5" i="8"/>
  <c r="S5" i="8"/>
  <c r="R5" i="8"/>
  <c r="Q5" i="8"/>
  <c r="P5" i="8"/>
  <c r="O5" i="8"/>
  <c r="N5" i="8"/>
  <c r="M5" i="8"/>
  <c r="L5" i="8"/>
  <c r="K5" i="8"/>
  <c r="J5" i="8"/>
  <c r="I5" i="8"/>
  <c r="H5" i="8"/>
  <c r="D5" i="8"/>
  <c r="AA68" i="7"/>
  <c r="Z68" i="7"/>
  <c r="Y68" i="7"/>
  <c r="X68" i="7"/>
  <c r="W68" i="7"/>
  <c r="V68" i="7"/>
  <c r="U68" i="7"/>
  <c r="T68" i="7"/>
  <c r="S68" i="7"/>
  <c r="R68" i="7"/>
  <c r="Q68" i="7"/>
  <c r="P68" i="7"/>
  <c r="O68" i="7"/>
  <c r="N68" i="7"/>
  <c r="M68" i="7"/>
  <c r="L68" i="7"/>
  <c r="K68" i="7"/>
  <c r="J68" i="7"/>
  <c r="I68" i="7"/>
  <c r="H68" i="7"/>
  <c r="G68" i="7"/>
  <c r="F68" i="7"/>
  <c r="AA67" i="7"/>
  <c r="Z67" i="7"/>
  <c r="Y67" i="7"/>
  <c r="X67" i="7"/>
  <c r="W67" i="7"/>
  <c r="V67" i="7"/>
  <c r="U67" i="7"/>
  <c r="T67" i="7"/>
  <c r="S67" i="7"/>
  <c r="R67" i="7"/>
  <c r="Q67" i="7"/>
  <c r="P67" i="7"/>
  <c r="O67" i="7"/>
  <c r="N67" i="7"/>
  <c r="M67" i="7"/>
  <c r="L67" i="7"/>
  <c r="K67" i="7"/>
  <c r="J67" i="7"/>
  <c r="I67" i="7"/>
  <c r="H67" i="7"/>
  <c r="G67" i="7"/>
  <c r="F67" i="7"/>
  <c r="AA64" i="7"/>
  <c r="Z64" i="7"/>
  <c r="Y64" i="7"/>
  <c r="X64" i="7"/>
  <c r="W64" i="7"/>
  <c r="V64" i="7"/>
  <c r="U64" i="7"/>
  <c r="T64" i="7"/>
  <c r="S64" i="7"/>
  <c r="R64" i="7"/>
  <c r="Q64" i="7"/>
  <c r="P64" i="7"/>
  <c r="O64" i="7"/>
  <c r="N64" i="7"/>
  <c r="M64" i="7"/>
  <c r="L64" i="7"/>
  <c r="K64" i="7"/>
  <c r="J64" i="7"/>
  <c r="I64" i="7"/>
  <c r="H64" i="7"/>
  <c r="G64" i="7"/>
  <c r="F64" i="7"/>
  <c r="AA60" i="7"/>
  <c r="Z60" i="7"/>
  <c r="Y60" i="7"/>
  <c r="X60" i="7"/>
  <c r="W60" i="7"/>
  <c r="V60" i="7"/>
  <c r="U60" i="7"/>
  <c r="T60" i="7"/>
  <c r="S60" i="7"/>
  <c r="R60" i="7"/>
  <c r="Q60" i="7"/>
  <c r="P60" i="7"/>
  <c r="O60" i="7"/>
  <c r="N60" i="7"/>
  <c r="M60" i="7"/>
  <c r="L60" i="7"/>
  <c r="K60" i="7"/>
  <c r="J60" i="7"/>
  <c r="I60" i="7"/>
  <c r="H60" i="7"/>
  <c r="AA59" i="7"/>
  <c r="Z59" i="7"/>
  <c r="Y59" i="7"/>
  <c r="X59" i="7"/>
  <c r="W59" i="7"/>
  <c r="V59" i="7"/>
  <c r="U59" i="7"/>
  <c r="T59" i="7"/>
  <c r="S59" i="7"/>
  <c r="R59" i="7"/>
  <c r="Q59" i="7"/>
  <c r="P59" i="7"/>
  <c r="O59" i="7"/>
  <c r="N59" i="7"/>
  <c r="M59" i="7"/>
  <c r="L59" i="7"/>
  <c r="K59" i="7"/>
  <c r="J59" i="7"/>
  <c r="I59" i="7"/>
  <c r="H59" i="7"/>
  <c r="G59" i="7"/>
  <c r="F59" i="7"/>
  <c r="AA50" i="7"/>
  <c r="Z50" i="7"/>
  <c r="Y50" i="7"/>
  <c r="X50" i="7"/>
  <c r="W50" i="7"/>
  <c r="V50" i="7"/>
  <c r="U50" i="7"/>
  <c r="T50" i="7"/>
  <c r="S50" i="7"/>
  <c r="R50" i="7"/>
  <c r="Q50" i="7"/>
  <c r="P50" i="7"/>
  <c r="O50" i="7"/>
  <c r="N50" i="7"/>
  <c r="M50" i="7"/>
  <c r="L50" i="7"/>
  <c r="K50" i="7"/>
  <c r="J50" i="7"/>
  <c r="I50" i="7"/>
  <c r="H50" i="7"/>
  <c r="D50" i="7"/>
  <c r="G45" i="7"/>
  <c r="F45" i="7"/>
  <c r="G44" i="7"/>
  <c r="F44" i="7"/>
  <c r="AA43" i="7"/>
  <c r="Z43" i="7"/>
  <c r="Y43" i="7"/>
  <c r="X43" i="7"/>
  <c r="W43" i="7"/>
  <c r="V43" i="7"/>
  <c r="U43" i="7"/>
  <c r="T43" i="7"/>
  <c r="S43" i="7"/>
  <c r="R43" i="7"/>
  <c r="Q43" i="7"/>
  <c r="P43" i="7"/>
  <c r="O43" i="7"/>
  <c r="N43" i="7"/>
  <c r="M43" i="7"/>
  <c r="L43" i="7"/>
  <c r="K43" i="7"/>
  <c r="J43" i="7"/>
  <c r="I43" i="7"/>
  <c r="H43" i="7"/>
  <c r="D43" i="7"/>
  <c r="AA42" i="7"/>
  <c r="Z42" i="7"/>
  <c r="Y42" i="7"/>
  <c r="X42" i="7"/>
  <c r="W42" i="7"/>
  <c r="V42" i="7"/>
  <c r="U42" i="7"/>
  <c r="T42" i="7"/>
  <c r="S42" i="7"/>
  <c r="R42" i="7"/>
  <c r="Q42" i="7"/>
  <c r="P42" i="7"/>
  <c r="O42" i="7"/>
  <c r="N42" i="7"/>
  <c r="M42" i="7"/>
  <c r="L42" i="7"/>
  <c r="K42" i="7"/>
  <c r="J42" i="7"/>
  <c r="I42" i="7"/>
  <c r="H42" i="7"/>
  <c r="D42" i="7"/>
  <c r="D41" i="7"/>
  <c r="Z40" i="7"/>
  <c r="Y40" i="7"/>
  <c r="X40" i="7"/>
  <c r="W40" i="7"/>
  <c r="V40" i="7"/>
  <c r="U40" i="7"/>
  <c r="T40" i="7"/>
  <c r="S40" i="7"/>
  <c r="R40" i="7"/>
  <c r="Q40" i="7"/>
  <c r="P40" i="7"/>
  <c r="O40" i="7"/>
  <c r="N40" i="7"/>
  <c r="M40" i="7"/>
  <c r="L40" i="7"/>
  <c r="K40" i="7"/>
  <c r="J40" i="7"/>
  <c r="I40" i="7"/>
  <c r="H40" i="7"/>
  <c r="D37" i="7"/>
  <c r="AA36" i="7"/>
  <c r="Z36" i="7"/>
  <c r="Y36" i="7"/>
  <c r="X36" i="7"/>
  <c r="W36" i="7"/>
  <c r="V36" i="7"/>
  <c r="U36" i="7"/>
  <c r="T36" i="7"/>
  <c r="S36" i="7"/>
  <c r="R36" i="7"/>
  <c r="Q36" i="7"/>
  <c r="P36" i="7"/>
  <c r="O36" i="7"/>
  <c r="N36" i="7"/>
  <c r="M36" i="7"/>
  <c r="L36" i="7"/>
  <c r="K36" i="7"/>
  <c r="J36" i="7"/>
  <c r="I36" i="7"/>
  <c r="H36" i="7"/>
  <c r="D36" i="7"/>
  <c r="AA35" i="7"/>
  <c r="Z35" i="7"/>
  <c r="Y35" i="7"/>
  <c r="X35" i="7"/>
  <c r="W35" i="7"/>
  <c r="V35" i="7"/>
  <c r="U35" i="7"/>
  <c r="T35" i="7"/>
  <c r="S35" i="7"/>
  <c r="R35" i="7"/>
  <c r="Q35" i="7"/>
  <c r="P35" i="7"/>
  <c r="O35" i="7"/>
  <c r="N35" i="7"/>
  <c r="M35" i="7"/>
  <c r="L35" i="7"/>
  <c r="K35" i="7"/>
  <c r="J35" i="7"/>
  <c r="I35" i="7"/>
  <c r="H35" i="7"/>
  <c r="D35" i="7"/>
  <c r="AA34" i="7"/>
  <c r="Z34" i="7"/>
  <c r="Y34" i="7"/>
  <c r="X34" i="7"/>
  <c r="W34" i="7"/>
  <c r="V34" i="7"/>
  <c r="U34" i="7"/>
  <c r="T34" i="7"/>
  <c r="S34" i="7"/>
  <c r="R34" i="7"/>
  <c r="Q34" i="7"/>
  <c r="P34" i="7"/>
  <c r="O34" i="7"/>
  <c r="N34" i="7"/>
  <c r="M34" i="7"/>
  <c r="L34" i="7"/>
  <c r="K34" i="7"/>
  <c r="J34" i="7"/>
  <c r="I34" i="7"/>
  <c r="H34" i="7"/>
  <c r="D34" i="7"/>
  <c r="AA33" i="7"/>
  <c r="Z33" i="7"/>
  <c r="Y33" i="7"/>
  <c r="X33" i="7"/>
  <c r="W33" i="7"/>
  <c r="V33" i="7"/>
  <c r="U33" i="7"/>
  <c r="T33" i="7"/>
  <c r="S33" i="7"/>
  <c r="R33" i="7"/>
  <c r="Q33" i="7"/>
  <c r="P33" i="7"/>
  <c r="O33" i="7"/>
  <c r="N33" i="7"/>
  <c r="M33" i="7"/>
  <c r="L33" i="7"/>
  <c r="K33" i="7"/>
  <c r="J33" i="7"/>
  <c r="I33" i="7"/>
  <c r="H33" i="7"/>
  <c r="D33" i="7"/>
  <c r="AA32" i="7"/>
  <c r="Z32" i="7"/>
  <c r="Y32" i="7"/>
  <c r="X32" i="7"/>
  <c r="W32" i="7"/>
  <c r="V32" i="7"/>
  <c r="U32" i="7"/>
  <c r="T32" i="7"/>
  <c r="S32" i="7"/>
  <c r="R32" i="7"/>
  <c r="Q32" i="7"/>
  <c r="P32" i="7"/>
  <c r="O32" i="7"/>
  <c r="N32" i="7"/>
  <c r="M32" i="7"/>
  <c r="L32" i="7"/>
  <c r="K32" i="7"/>
  <c r="J32" i="7"/>
  <c r="I32" i="7"/>
  <c r="H32" i="7"/>
  <c r="D32" i="7"/>
  <c r="AA31" i="7"/>
  <c r="Z31" i="7"/>
  <c r="Y31" i="7"/>
  <c r="X31" i="7"/>
  <c r="W31" i="7"/>
  <c r="V31" i="7"/>
  <c r="U31" i="7"/>
  <c r="T31" i="7"/>
  <c r="S31" i="7"/>
  <c r="R31" i="7"/>
  <c r="Q31" i="7"/>
  <c r="P31" i="7"/>
  <c r="O31" i="7"/>
  <c r="N31" i="7"/>
  <c r="M31" i="7"/>
  <c r="L31" i="7"/>
  <c r="K31" i="7"/>
  <c r="J31" i="7"/>
  <c r="I31" i="7"/>
  <c r="H31" i="7"/>
  <c r="D31" i="7"/>
  <c r="AA30" i="7"/>
  <c r="Z30" i="7"/>
  <c r="Y30" i="7"/>
  <c r="X30" i="7"/>
  <c r="W30" i="7"/>
  <c r="V30" i="7"/>
  <c r="U30" i="7"/>
  <c r="T30" i="7"/>
  <c r="S30" i="7"/>
  <c r="R30" i="7"/>
  <c r="Q30" i="7"/>
  <c r="P30" i="7"/>
  <c r="O30" i="7"/>
  <c r="N30" i="7"/>
  <c r="M30" i="7"/>
  <c r="L30" i="7"/>
  <c r="K30" i="7"/>
  <c r="J30" i="7"/>
  <c r="I30" i="7"/>
  <c r="H30" i="7"/>
  <c r="D30" i="7"/>
  <c r="AA29" i="7"/>
  <c r="Z29" i="7"/>
  <c r="Y29" i="7"/>
  <c r="X29" i="7"/>
  <c r="W29" i="7"/>
  <c r="V29" i="7"/>
  <c r="U29" i="7"/>
  <c r="T29" i="7"/>
  <c r="S29" i="7"/>
  <c r="R29" i="7"/>
  <c r="Q29" i="7"/>
  <c r="P29" i="7"/>
  <c r="O29" i="7"/>
  <c r="N29" i="7"/>
  <c r="M29" i="7"/>
  <c r="L29" i="7"/>
  <c r="K29" i="7"/>
  <c r="J29" i="7"/>
  <c r="I29" i="7"/>
  <c r="H29" i="7"/>
  <c r="D29" i="7"/>
  <c r="G28" i="7"/>
  <c r="F28" i="7"/>
  <c r="G27" i="7"/>
  <c r="F27" i="7"/>
  <c r="D27" i="7"/>
  <c r="G26" i="7"/>
  <c r="F26" i="7"/>
  <c r="AA25" i="7"/>
  <c r="Z25" i="7"/>
  <c r="Y25" i="7"/>
  <c r="X25" i="7"/>
  <c r="W25" i="7"/>
  <c r="V25" i="7"/>
  <c r="U25" i="7"/>
  <c r="T25" i="7"/>
  <c r="S25" i="7"/>
  <c r="R25" i="7"/>
  <c r="Q25" i="7"/>
  <c r="P25" i="7"/>
  <c r="O25" i="7"/>
  <c r="N25" i="7"/>
  <c r="M25" i="7"/>
  <c r="L25" i="7"/>
  <c r="K25" i="7"/>
  <c r="J25" i="7"/>
  <c r="I25" i="7"/>
  <c r="H25" i="7"/>
  <c r="D25" i="7"/>
  <c r="AA24" i="7"/>
  <c r="Z24" i="7"/>
  <c r="Y24" i="7"/>
  <c r="X24" i="7"/>
  <c r="W24" i="7"/>
  <c r="V24" i="7"/>
  <c r="U24" i="7"/>
  <c r="T24" i="7"/>
  <c r="S24" i="7"/>
  <c r="R24" i="7"/>
  <c r="Q24" i="7"/>
  <c r="P24" i="7"/>
  <c r="O24" i="7"/>
  <c r="N24" i="7"/>
  <c r="M24" i="7"/>
  <c r="L24" i="7"/>
  <c r="K24" i="7"/>
  <c r="J24" i="7"/>
  <c r="I24" i="7"/>
  <c r="H24" i="7"/>
  <c r="D24" i="7"/>
  <c r="AA23" i="7"/>
  <c r="Z23" i="7"/>
  <c r="Y23" i="7"/>
  <c r="X23" i="7"/>
  <c r="W23" i="7"/>
  <c r="V23" i="7"/>
  <c r="U23" i="7"/>
  <c r="T23" i="7"/>
  <c r="S23" i="7"/>
  <c r="R23" i="7"/>
  <c r="Q23" i="7"/>
  <c r="P23" i="7"/>
  <c r="O23" i="7"/>
  <c r="N23" i="7"/>
  <c r="M23" i="7"/>
  <c r="L23" i="7"/>
  <c r="K23" i="7"/>
  <c r="J23" i="7"/>
  <c r="I23" i="7"/>
  <c r="H23" i="7"/>
  <c r="G23" i="7"/>
  <c r="F23" i="7"/>
  <c r="D23" i="7"/>
  <c r="G22" i="7"/>
  <c r="H18" i="7"/>
  <c r="D18" i="7"/>
  <c r="AA16" i="7"/>
  <c r="Z16" i="7"/>
  <c r="Y16" i="7"/>
  <c r="X16" i="7"/>
  <c r="W16" i="7"/>
  <c r="V16" i="7"/>
  <c r="U16" i="7"/>
  <c r="T16" i="7"/>
  <c r="S16" i="7"/>
  <c r="R16" i="7"/>
  <c r="Q16" i="7"/>
  <c r="P16" i="7"/>
  <c r="O16" i="7"/>
  <c r="N16" i="7"/>
  <c r="M16" i="7"/>
  <c r="L16" i="7"/>
  <c r="K16" i="7"/>
  <c r="J16" i="7"/>
  <c r="I16" i="7"/>
  <c r="H16" i="7"/>
  <c r="D16" i="7"/>
  <c r="AA15" i="7"/>
  <c r="Z15" i="7"/>
  <c r="Y15" i="7"/>
  <c r="X15" i="7"/>
  <c r="W15" i="7"/>
  <c r="V15" i="7"/>
  <c r="U15" i="7"/>
  <c r="T15" i="7"/>
  <c r="S15" i="7"/>
  <c r="R15" i="7"/>
  <c r="Q15" i="7"/>
  <c r="P15" i="7"/>
  <c r="O15" i="7"/>
  <c r="N15" i="7"/>
  <c r="M15" i="7"/>
  <c r="L15" i="7"/>
  <c r="K15" i="7"/>
  <c r="J15" i="7"/>
  <c r="I15" i="7"/>
  <c r="H15" i="7"/>
  <c r="AA14" i="7"/>
  <c r="Z14" i="7"/>
  <c r="Y14" i="7"/>
  <c r="X14" i="7"/>
  <c r="W14" i="7"/>
  <c r="V14" i="7"/>
  <c r="U14" i="7"/>
  <c r="T14" i="7"/>
  <c r="S14" i="7"/>
  <c r="R14" i="7"/>
  <c r="Q14" i="7"/>
  <c r="P14" i="7"/>
  <c r="O14" i="7"/>
  <c r="N14" i="7"/>
  <c r="M14" i="7"/>
  <c r="L14" i="7"/>
  <c r="K14" i="7"/>
  <c r="J14" i="7"/>
  <c r="I14" i="7"/>
  <c r="H14" i="7"/>
  <c r="D14" i="7"/>
  <c r="AA13" i="7"/>
  <c r="Z13" i="7"/>
  <c r="Y13" i="7"/>
  <c r="X13" i="7"/>
  <c r="W13" i="7"/>
  <c r="V13" i="7"/>
  <c r="U13" i="7"/>
  <c r="T13" i="7"/>
  <c r="S13" i="7"/>
  <c r="R13" i="7"/>
  <c r="Q13" i="7"/>
  <c r="P13" i="7"/>
  <c r="O13" i="7"/>
  <c r="N13" i="7"/>
  <c r="M13" i="7"/>
  <c r="L13" i="7"/>
  <c r="K13" i="7"/>
  <c r="J13" i="7"/>
  <c r="I13" i="7"/>
  <c r="H13" i="7"/>
  <c r="D13" i="7"/>
  <c r="AA12" i="7"/>
  <c r="Z12" i="7"/>
  <c r="Y12" i="7"/>
  <c r="X12" i="7"/>
  <c r="W12" i="7"/>
  <c r="V12" i="7"/>
  <c r="U12" i="7"/>
  <c r="T12" i="7"/>
  <c r="S12" i="7"/>
  <c r="R12" i="7"/>
  <c r="Q12" i="7"/>
  <c r="P12" i="7"/>
  <c r="O12" i="7"/>
  <c r="N12" i="7"/>
  <c r="M12" i="7"/>
  <c r="L12" i="7"/>
  <c r="K12" i="7"/>
  <c r="J12" i="7"/>
  <c r="I12" i="7"/>
  <c r="H12" i="7"/>
  <c r="D12" i="7"/>
  <c r="AA11" i="7"/>
  <c r="Z11" i="7"/>
  <c r="Y11" i="7"/>
  <c r="X11" i="7"/>
  <c r="W11" i="7"/>
  <c r="V11" i="7"/>
  <c r="U11" i="7"/>
  <c r="T11" i="7"/>
  <c r="S11" i="7"/>
  <c r="R11" i="7"/>
  <c r="Q11" i="7"/>
  <c r="P11" i="7"/>
  <c r="O11" i="7"/>
  <c r="N11" i="7"/>
  <c r="M11" i="7"/>
  <c r="L11" i="7"/>
  <c r="K11" i="7"/>
  <c r="J11" i="7"/>
  <c r="I11" i="7"/>
  <c r="H11" i="7"/>
  <c r="D11" i="7"/>
  <c r="AA10" i="7"/>
  <c r="Z10" i="7"/>
  <c r="Y10" i="7"/>
  <c r="X10" i="7"/>
  <c r="W10" i="7"/>
  <c r="V10" i="7"/>
  <c r="U10" i="7"/>
  <c r="T10" i="7"/>
  <c r="S10" i="7"/>
  <c r="R10" i="7"/>
  <c r="Q10" i="7"/>
  <c r="P10" i="7"/>
  <c r="O10" i="7"/>
  <c r="N10" i="7"/>
  <c r="M10" i="7"/>
  <c r="L10" i="7"/>
  <c r="K10" i="7"/>
  <c r="J10" i="7"/>
  <c r="I10" i="7"/>
  <c r="H10" i="7"/>
  <c r="AA9" i="7"/>
  <c r="Z9" i="7"/>
  <c r="Y9" i="7"/>
  <c r="X9" i="7"/>
  <c r="W9" i="7"/>
  <c r="V9" i="7"/>
  <c r="U9" i="7"/>
  <c r="T9" i="7"/>
  <c r="S9" i="7"/>
  <c r="R9" i="7"/>
  <c r="Q9" i="7"/>
  <c r="P9" i="7"/>
  <c r="O9" i="7"/>
  <c r="N9" i="7"/>
  <c r="M9" i="7"/>
  <c r="L9" i="7"/>
  <c r="K9" i="7"/>
  <c r="J9" i="7"/>
  <c r="I9" i="7"/>
  <c r="H9" i="7"/>
  <c r="D9" i="7"/>
  <c r="AA8" i="7"/>
  <c r="Z8" i="7"/>
  <c r="Y8" i="7"/>
  <c r="X8" i="7"/>
  <c r="W8" i="7"/>
  <c r="V8" i="7"/>
  <c r="U8" i="7"/>
  <c r="T8" i="7"/>
  <c r="S8" i="7"/>
  <c r="R8" i="7"/>
  <c r="Q8" i="7"/>
  <c r="P8" i="7"/>
  <c r="O8" i="7"/>
  <c r="N8" i="7"/>
  <c r="M8" i="7"/>
  <c r="L8" i="7"/>
  <c r="K8" i="7"/>
  <c r="J8" i="7"/>
  <c r="I8" i="7"/>
  <c r="H8" i="7"/>
  <c r="D8" i="7"/>
  <c r="AA7" i="7"/>
  <c r="Z7" i="7"/>
  <c r="Y7" i="7"/>
  <c r="X7" i="7"/>
  <c r="W7" i="7"/>
  <c r="V7" i="7"/>
  <c r="U7" i="7"/>
  <c r="T7" i="7"/>
  <c r="S7" i="7"/>
  <c r="R7" i="7"/>
  <c r="Q7" i="7"/>
  <c r="P7" i="7"/>
  <c r="O7" i="7"/>
  <c r="N7" i="7"/>
  <c r="M7" i="7"/>
  <c r="L7" i="7"/>
  <c r="K7" i="7"/>
  <c r="J7" i="7"/>
  <c r="I7" i="7"/>
  <c r="H7" i="7"/>
  <c r="D7" i="7"/>
  <c r="AA6" i="7"/>
  <c r="Z6" i="7"/>
  <c r="Y6" i="7"/>
  <c r="X6" i="7"/>
  <c r="W6" i="7"/>
  <c r="V6" i="7"/>
  <c r="U6" i="7"/>
  <c r="T6" i="7"/>
  <c r="S6" i="7"/>
  <c r="R6" i="7"/>
  <c r="Q6" i="7"/>
  <c r="P6" i="7"/>
  <c r="O6" i="7"/>
  <c r="N6" i="7"/>
  <c r="M6" i="7"/>
  <c r="L6" i="7"/>
  <c r="K6" i="7"/>
  <c r="J6" i="7"/>
  <c r="I6" i="7"/>
  <c r="H6" i="7"/>
  <c r="D6" i="7"/>
  <c r="AA5" i="7"/>
  <c r="Z5" i="7"/>
  <c r="Y5" i="7"/>
  <c r="X5" i="7"/>
  <c r="W5" i="7"/>
  <c r="V5" i="7"/>
  <c r="U5" i="7"/>
  <c r="T5" i="7"/>
  <c r="S5" i="7"/>
  <c r="R5" i="7"/>
  <c r="Q5" i="7"/>
  <c r="P5" i="7"/>
  <c r="O5" i="7"/>
  <c r="N5" i="7"/>
  <c r="M5" i="7"/>
  <c r="L5" i="7"/>
  <c r="K5" i="7"/>
  <c r="J5" i="7"/>
  <c r="I5" i="7"/>
  <c r="H5" i="7"/>
  <c r="D5" i="7"/>
  <c r="AA62" i="6"/>
  <c r="Z62" i="6"/>
  <c r="Y62" i="6"/>
  <c r="X62" i="6"/>
  <c r="W62" i="6"/>
  <c r="V62" i="6"/>
  <c r="U62" i="6"/>
  <c r="T62" i="6"/>
  <c r="S62" i="6"/>
  <c r="R62" i="6"/>
  <c r="Q62" i="6"/>
  <c r="P62" i="6"/>
  <c r="O62" i="6"/>
  <c r="N62" i="6"/>
  <c r="M62" i="6"/>
  <c r="L62" i="6"/>
  <c r="K62" i="6"/>
  <c r="J62" i="6"/>
  <c r="I62" i="6"/>
  <c r="H62" i="6"/>
  <c r="D62" i="6"/>
  <c r="D61" i="6"/>
  <c r="D57" i="6"/>
  <c r="AA56" i="6"/>
  <c r="Z56" i="6"/>
  <c r="Y56" i="6"/>
  <c r="X56" i="6"/>
  <c r="W56" i="6"/>
  <c r="V56" i="6"/>
  <c r="U56" i="6"/>
  <c r="T56" i="6"/>
  <c r="S56" i="6"/>
  <c r="R56" i="6"/>
  <c r="Q56" i="6"/>
  <c r="P56" i="6"/>
  <c r="O56" i="6"/>
  <c r="N56" i="6"/>
  <c r="M56" i="6"/>
  <c r="L56" i="6"/>
  <c r="K56" i="6"/>
  <c r="J56" i="6"/>
  <c r="I56" i="6"/>
  <c r="H56" i="6"/>
  <c r="D56" i="6"/>
  <c r="AA55" i="6"/>
  <c r="Z55" i="6"/>
  <c r="Y55" i="6"/>
  <c r="X55" i="6"/>
  <c r="W55" i="6"/>
  <c r="V55" i="6"/>
  <c r="U55" i="6"/>
  <c r="T55" i="6"/>
  <c r="S55" i="6"/>
  <c r="R55" i="6"/>
  <c r="Q55" i="6"/>
  <c r="P55" i="6"/>
  <c r="O55" i="6"/>
  <c r="N55" i="6"/>
  <c r="M55" i="6"/>
  <c r="L55" i="6"/>
  <c r="K55" i="6"/>
  <c r="J55" i="6"/>
  <c r="I55" i="6"/>
  <c r="H55" i="6"/>
  <c r="D55" i="6"/>
  <c r="AA54" i="6"/>
  <c r="Z54" i="6"/>
  <c r="Y54" i="6"/>
  <c r="X54" i="6"/>
  <c r="W54" i="6"/>
  <c r="V54" i="6"/>
  <c r="U54" i="6"/>
  <c r="T54" i="6"/>
  <c r="S54" i="6"/>
  <c r="R54" i="6"/>
  <c r="Q54" i="6"/>
  <c r="P54" i="6"/>
  <c r="O54" i="6"/>
  <c r="N54" i="6"/>
  <c r="M54" i="6"/>
  <c r="L54" i="6"/>
  <c r="K54" i="6"/>
  <c r="J54" i="6"/>
  <c r="I54" i="6"/>
  <c r="H54" i="6"/>
  <c r="D54" i="6"/>
  <c r="AA53" i="6"/>
  <c r="Z53" i="6"/>
  <c r="Y53" i="6"/>
  <c r="X53" i="6"/>
  <c r="W53" i="6"/>
  <c r="V53" i="6"/>
  <c r="U53" i="6"/>
  <c r="T53" i="6"/>
  <c r="S53" i="6"/>
  <c r="R53" i="6"/>
  <c r="Q53" i="6"/>
  <c r="P53" i="6"/>
  <c r="O53" i="6"/>
  <c r="N53" i="6"/>
  <c r="M53" i="6"/>
  <c r="L53" i="6"/>
  <c r="K53" i="6"/>
  <c r="J53" i="6"/>
  <c r="I53" i="6"/>
  <c r="H53" i="6"/>
  <c r="D53" i="6"/>
  <c r="AA52" i="6"/>
  <c r="Z52" i="6"/>
  <c r="Y52" i="6"/>
  <c r="X52" i="6"/>
  <c r="W52" i="6"/>
  <c r="V52" i="6"/>
  <c r="U52" i="6"/>
  <c r="T52" i="6"/>
  <c r="S52" i="6"/>
  <c r="R52" i="6"/>
  <c r="Q52" i="6"/>
  <c r="P52" i="6"/>
  <c r="O52" i="6"/>
  <c r="N52" i="6"/>
  <c r="M52" i="6"/>
  <c r="L52" i="6"/>
  <c r="K52" i="6"/>
  <c r="J52" i="6"/>
  <c r="I52" i="6"/>
  <c r="H52" i="6"/>
  <c r="D52" i="6"/>
  <c r="AA51" i="6"/>
  <c r="Z51" i="6"/>
  <c r="Y51" i="6"/>
  <c r="X51" i="6"/>
  <c r="W51" i="6"/>
  <c r="V51" i="6"/>
  <c r="U51" i="6"/>
  <c r="T51" i="6"/>
  <c r="S51" i="6"/>
  <c r="R51" i="6"/>
  <c r="Q51" i="6"/>
  <c r="P51" i="6"/>
  <c r="O51" i="6"/>
  <c r="N51" i="6"/>
  <c r="M51" i="6"/>
  <c r="L51" i="6"/>
  <c r="K51" i="6"/>
  <c r="J51" i="6"/>
  <c r="I51" i="6"/>
  <c r="H51" i="6"/>
  <c r="D51" i="6"/>
  <c r="AA50" i="6"/>
  <c r="Z50" i="6"/>
  <c r="Y50" i="6"/>
  <c r="X50" i="6"/>
  <c r="W50" i="6"/>
  <c r="V50" i="6"/>
  <c r="U50" i="6"/>
  <c r="T50" i="6"/>
  <c r="S50" i="6"/>
  <c r="R50" i="6"/>
  <c r="Q50" i="6"/>
  <c r="P50" i="6"/>
  <c r="O50" i="6"/>
  <c r="N50" i="6"/>
  <c r="M50" i="6"/>
  <c r="L50" i="6"/>
  <c r="K50" i="6"/>
  <c r="J50" i="6"/>
  <c r="I50" i="6"/>
  <c r="H50" i="6"/>
  <c r="D50" i="6"/>
  <c r="AA49" i="6"/>
  <c r="Z49" i="6"/>
  <c r="Y49" i="6"/>
  <c r="X49" i="6"/>
  <c r="W49" i="6"/>
  <c r="V49" i="6"/>
  <c r="U49" i="6"/>
  <c r="T49" i="6"/>
  <c r="S49" i="6"/>
  <c r="R49" i="6"/>
  <c r="Q49" i="6"/>
  <c r="P49" i="6"/>
  <c r="O49" i="6"/>
  <c r="N49" i="6"/>
  <c r="M49" i="6"/>
  <c r="L49" i="6"/>
  <c r="K49" i="6"/>
  <c r="J49" i="6"/>
  <c r="I49" i="6"/>
  <c r="H49" i="6"/>
  <c r="D49" i="6"/>
  <c r="AA44" i="6"/>
  <c r="Z44" i="6"/>
  <c r="Y44" i="6"/>
  <c r="X44" i="6"/>
  <c r="W44" i="6"/>
  <c r="V44" i="6"/>
  <c r="U44" i="6"/>
  <c r="T44" i="6"/>
  <c r="S44" i="6"/>
  <c r="R44" i="6"/>
  <c r="Q44" i="6"/>
  <c r="P44" i="6"/>
  <c r="O44" i="6"/>
  <c r="N44" i="6"/>
  <c r="M44" i="6"/>
  <c r="L44" i="6"/>
  <c r="K44" i="6"/>
  <c r="J44" i="6"/>
  <c r="I44" i="6"/>
  <c r="H44" i="6"/>
  <c r="D44" i="6"/>
  <c r="D43" i="6"/>
  <c r="D39" i="6"/>
  <c r="AA38" i="6"/>
  <c r="Z38" i="6"/>
  <c r="Y38" i="6"/>
  <c r="X38" i="6"/>
  <c r="W38" i="6"/>
  <c r="V38" i="6"/>
  <c r="U38" i="6"/>
  <c r="T38" i="6"/>
  <c r="S38" i="6"/>
  <c r="R38" i="6"/>
  <c r="Q38" i="6"/>
  <c r="P38" i="6"/>
  <c r="O38" i="6"/>
  <c r="N38" i="6"/>
  <c r="M38" i="6"/>
  <c r="L38" i="6"/>
  <c r="K38" i="6"/>
  <c r="J38" i="6"/>
  <c r="I38" i="6"/>
  <c r="H38" i="6"/>
  <c r="D38" i="6"/>
  <c r="AA37" i="6"/>
  <c r="Z37" i="6"/>
  <c r="Y37" i="6"/>
  <c r="X37" i="6"/>
  <c r="W37" i="6"/>
  <c r="V37" i="6"/>
  <c r="U37" i="6"/>
  <c r="T37" i="6"/>
  <c r="S37" i="6"/>
  <c r="R37" i="6"/>
  <c r="Q37" i="6"/>
  <c r="P37" i="6"/>
  <c r="O37" i="6"/>
  <c r="N37" i="6"/>
  <c r="M37" i="6"/>
  <c r="L37" i="6"/>
  <c r="K37" i="6"/>
  <c r="J37" i="6"/>
  <c r="I37" i="6"/>
  <c r="H37" i="6"/>
  <c r="D37" i="6"/>
  <c r="AA36" i="6"/>
  <c r="Z36" i="6"/>
  <c r="Y36" i="6"/>
  <c r="X36" i="6"/>
  <c r="W36" i="6"/>
  <c r="V36" i="6"/>
  <c r="U36" i="6"/>
  <c r="T36" i="6"/>
  <c r="S36" i="6"/>
  <c r="R36" i="6"/>
  <c r="Q36" i="6"/>
  <c r="P36" i="6"/>
  <c r="O36" i="6"/>
  <c r="N36" i="6"/>
  <c r="M36" i="6"/>
  <c r="L36" i="6"/>
  <c r="K36" i="6"/>
  <c r="J36" i="6"/>
  <c r="I36" i="6"/>
  <c r="H36" i="6"/>
  <c r="D36" i="6"/>
  <c r="AA34" i="6"/>
  <c r="Z34" i="6"/>
  <c r="Y34" i="6"/>
  <c r="X34" i="6"/>
  <c r="W34" i="6"/>
  <c r="V34" i="6"/>
  <c r="U34" i="6"/>
  <c r="T34" i="6"/>
  <c r="S34" i="6"/>
  <c r="R34" i="6"/>
  <c r="Q34" i="6"/>
  <c r="P34" i="6"/>
  <c r="O34" i="6"/>
  <c r="N34" i="6"/>
  <c r="M34" i="6"/>
  <c r="L34" i="6"/>
  <c r="K34" i="6"/>
  <c r="J34" i="6"/>
  <c r="I34" i="6"/>
  <c r="H34" i="6"/>
  <c r="D34" i="6"/>
  <c r="AA33" i="6"/>
  <c r="Z33" i="6"/>
  <c r="Y33" i="6"/>
  <c r="X33" i="6"/>
  <c r="W33" i="6"/>
  <c r="V33" i="6"/>
  <c r="U33" i="6"/>
  <c r="T33" i="6"/>
  <c r="S33" i="6"/>
  <c r="R33" i="6"/>
  <c r="Q33" i="6"/>
  <c r="P33" i="6"/>
  <c r="O33" i="6"/>
  <c r="N33" i="6"/>
  <c r="M33" i="6"/>
  <c r="L33" i="6"/>
  <c r="K33" i="6"/>
  <c r="J33" i="6"/>
  <c r="I33" i="6"/>
  <c r="H33" i="6"/>
  <c r="D33" i="6"/>
  <c r="AA32" i="6"/>
  <c r="Z32" i="6"/>
  <c r="Y32" i="6"/>
  <c r="X32" i="6"/>
  <c r="W32" i="6"/>
  <c r="V32" i="6"/>
  <c r="U32" i="6"/>
  <c r="T32" i="6"/>
  <c r="S32" i="6"/>
  <c r="R32" i="6"/>
  <c r="Q32" i="6"/>
  <c r="P32" i="6"/>
  <c r="O32" i="6"/>
  <c r="N32" i="6"/>
  <c r="M32" i="6"/>
  <c r="L32" i="6"/>
  <c r="K32" i="6"/>
  <c r="J32" i="6"/>
  <c r="I32" i="6"/>
  <c r="H32" i="6"/>
  <c r="D32" i="6"/>
  <c r="AA31" i="6"/>
  <c r="Z31" i="6"/>
  <c r="Y31" i="6"/>
  <c r="X31" i="6"/>
  <c r="W31" i="6"/>
  <c r="V31" i="6"/>
  <c r="U31" i="6"/>
  <c r="T31" i="6"/>
  <c r="S31" i="6"/>
  <c r="R31" i="6"/>
  <c r="Q31" i="6"/>
  <c r="P31" i="6"/>
  <c r="O31" i="6"/>
  <c r="N31" i="6"/>
  <c r="M31" i="6"/>
  <c r="L31" i="6"/>
  <c r="K31" i="6"/>
  <c r="J31" i="6"/>
  <c r="I31" i="6"/>
  <c r="H31" i="6"/>
  <c r="D31" i="6"/>
  <c r="AA24" i="6"/>
  <c r="Z24" i="6"/>
  <c r="Y24" i="6"/>
  <c r="X24" i="6"/>
  <c r="W24" i="6"/>
  <c r="V24" i="6"/>
  <c r="U24" i="6"/>
  <c r="T24" i="6"/>
  <c r="S24" i="6"/>
  <c r="R24" i="6"/>
  <c r="Q24" i="6"/>
  <c r="P24" i="6"/>
  <c r="O24" i="6"/>
  <c r="N24" i="6"/>
  <c r="M24" i="6"/>
  <c r="L24" i="6"/>
  <c r="K24" i="6"/>
  <c r="J24" i="6"/>
  <c r="I24" i="6"/>
  <c r="H24" i="6"/>
  <c r="D24" i="6"/>
  <c r="AA23" i="6"/>
  <c r="Z23" i="6"/>
  <c r="Y23" i="6"/>
  <c r="X23" i="6"/>
  <c r="W23" i="6"/>
  <c r="V23" i="6"/>
  <c r="U23" i="6"/>
  <c r="T23" i="6"/>
  <c r="S23" i="6"/>
  <c r="R23" i="6"/>
  <c r="Q23" i="6"/>
  <c r="P23" i="6"/>
  <c r="O23" i="6"/>
  <c r="N23" i="6"/>
  <c r="M23" i="6"/>
  <c r="L23" i="6"/>
  <c r="K23" i="6"/>
  <c r="J23" i="6"/>
  <c r="I23" i="6"/>
  <c r="H23" i="6"/>
  <c r="D23" i="6"/>
  <c r="AA22" i="6"/>
  <c r="Z22" i="6"/>
  <c r="Y22" i="6"/>
  <c r="X22" i="6"/>
  <c r="W22" i="6"/>
  <c r="V22" i="6"/>
  <c r="U22" i="6"/>
  <c r="T22" i="6"/>
  <c r="S22" i="6"/>
  <c r="R22" i="6"/>
  <c r="Q22" i="6"/>
  <c r="P22" i="6"/>
  <c r="O22" i="6"/>
  <c r="N22" i="6"/>
  <c r="M22" i="6"/>
  <c r="L22" i="6"/>
  <c r="K22" i="6"/>
  <c r="J22" i="6"/>
  <c r="I22" i="6"/>
  <c r="H22" i="6"/>
  <c r="D22" i="6"/>
  <c r="AA21" i="6"/>
  <c r="Z21" i="6"/>
  <c r="Y21" i="6"/>
  <c r="X21" i="6"/>
  <c r="W21" i="6"/>
  <c r="AA20" i="6"/>
  <c r="Z20" i="6"/>
  <c r="Y20" i="6"/>
  <c r="X20" i="6"/>
  <c r="W20" i="6"/>
  <c r="D19" i="6"/>
  <c r="D15" i="6"/>
  <c r="AA14" i="6"/>
  <c r="Z14" i="6"/>
  <c r="Y14" i="6"/>
  <c r="X14" i="6"/>
  <c r="W14" i="6"/>
  <c r="V14" i="6"/>
  <c r="U14" i="6"/>
  <c r="T14" i="6"/>
  <c r="S14" i="6"/>
  <c r="R14" i="6"/>
  <c r="Q14" i="6"/>
  <c r="P14" i="6"/>
  <c r="O14" i="6"/>
  <c r="N14" i="6"/>
  <c r="M14" i="6"/>
  <c r="L14" i="6"/>
  <c r="K14" i="6"/>
  <c r="J14" i="6"/>
  <c r="I14" i="6"/>
  <c r="H14" i="6"/>
  <c r="D14" i="6"/>
  <c r="AA13" i="6"/>
  <c r="Z13" i="6"/>
  <c r="Y13" i="6"/>
  <c r="X13" i="6"/>
  <c r="W13" i="6"/>
  <c r="V13" i="6"/>
  <c r="U13" i="6"/>
  <c r="T13" i="6"/>
  <c r="S13" i="6"/>
  <c r="R13" i="6"/>
  <c r="Q13" i="6"/>
  <c r="P13" i="6"/>
  <c r="O13" i="6"/>
  <c r="N13" i="6"/>
  <c r="M13" i="6"/>
  <c r="L13" i="6"/>
  <c r="K13" i="6"/>
  <c r="J13" i="6"/>
  <c r="I13" i="6"/>
  <c r="H13" i="6"/>
  <c r="D13" i="6"/>
  <c r="AA12" i="6"/>
  <c r="Z12" i="6"/>
  <c r="Y12" i="6"/>
  <c r="X12" i="6"/>
  <c r="W12" i="6"/>
  <c r="V12" i="6"/>
  <c r="U12" i="6"/>
  <c r="T12" i="6"/>
  <c r="S12" i="6"/>
  <c r="R12" i="6"/>
  <c r="Q12" i="6"/>
  <c r="P12" i="6"/>
  <c r="O12" i="6"/>
  <c r="N12" i="6"/>
  <c r="M12" i="6"/>
  <c r="L12" i="6"/>
  <c r="K12" i="6"/>
  <c r="J12" i="6"/>
  <c r="I12" i="6"/>
  <c r="H12" i="6"/>
  <c r="D12" i="6"/>
  <c r="AA10" i="6"/>
  <c r="Z10" i="6"/>
  <c r="Y10" i="6"/>
  <c r="X10" i="6"/>
  <c r="W10" i="6"/>
  <c r="V10" i="6"/>
  <c r="U10" i="6"/>
  <c r="T10" i="6"/>
  <c r="S10" i="6"/>
  <c r="R10" i="6"/>
  <c r="Q10" i="6"/>
  <c r="P10" i="6"/>
  <c r="O10" i="6"/>
  <c r="N10" i="6"/>
  <c r="M10" i="6"/>
  <c r="L10" i="6"/>
  <c r="K10" i="6"/>
  <c r="J10" i="6"/>
  <c r="I10" i="6"/>
  <c r="H10" i="6"/>
  <c r="D10" i="6"/>
  <c r="AA9" i="6"/>
  <c r="Z9" i="6"/>
  <c r="Y9" i="6"/>
  <c r="X9" i="6"/>
  <c r="W9" i="6"/>
  <c r="V9" i="6"/>
  <c r="U9" i="6"/>
  <c r="T9" i="6"/>
  <c r="S9" i="6"/>
  <c r="R9" i="6"/>
  <c r="Q9" i="6"/>
  <c r="P9" i="6"/>
  <c r="O9" i="6"/>
  <c r="N9" i="6"/>
  <c r="M9" i="6"/>
  <c r="L9" i="6"/>
  <c r="K9" i="6"/>
  <c r="J9" i="6"/>
  <c r="I9" i="6"/>
  <c r="H9" i="6"/>
  <c r="D9" i="6"/>
  <c r="AA8" i="6"/>
  <c r="Z8" i="6"/>
  <c r="Y8" i="6"/>
  <c r="X8" i="6"/>
  <c r="W8" i="6"/>
  <c r="V8" i="6"/>
  <c r="U8" i="6"/>
  <c r="T8" i="6"/>
  <c r="S8" i="6"/>
  <c r="R8" i="6"/>
  <c r="Q8" i="6"/>
  <c r="P8" i="6"/>
  <c r="O8" i="6"/>
  <c r="N8" i="6"/>
  <c r="M8" i="6"/>
  <c r="L8" i="6"/>
  <c r="K8" i="6"/>
  <c r="J8" i="6"/>
  <c r="I8" i="6"/>
  <c r="H8" i="6"/>
  <c r="D8" i="6"/>
  <c r="AA7" i="6"/>
  <c r="Z7" i="6"/>
  <c r="Y7" i="6"/>
  <c r="X7" i="6"/>
  <c r="W7" i="6"/>
  <c r="V7" i="6"/>
  <c r="U7" i="6"/>
  <c r="T7" i="6"/>
  <c r="S7" i="6"/>
  <c r="R7" i="6"/>
  <c r="Q7" i="6"/>
  <c r="P7" i="6"/>
  <c r="O7" i="6"/>
  <c r="N7" i="6"/>
  <c r="M7" i="6"/>
  <c r="L7" i="6"/>
  <c r="K7" i="6"/>
  <c r="J7" i="6"/>
  <c r="I7" i="6"/>
  <c r="H7" i="6"/>
  <c r="D7" i="6"/>
  <c r="G66" i="4"/>
  <c r="F66" i="4"/>
  <c r="Q65" i="4"/>
  <c r="P65" i="4"/>
  <c r="O65" i="4"/>
  <c r="N65" i="4"/>
  <c r="M65" i="4"/>
  <c r="L65" i="4"/>
  <c r="K65" i="4"/>
  <c r="J65" i="4"/>
  <c r="I65" i="4"/>
  <c r="H65" i="4"/>
  <c r="R64" i="4"/>
  <c r="Q64" i="4"/>
  <c r="P64" i="4"/>
  <c r="O64" i="4"/>
  <c r="N64" i="4"/>
  <c r="M64" i="4"/>
  <c r="L64" i="4"/>
  <c r="K64" i="4"/>
  <c r="J64" i="4"/>
  <c r="I64" i="4"/>
  <c r="H64" i="4"/>
  <c r="AA63" i="4"/>
  <c r="Z63" i="4"/>
  <c r="Y63" i="4"/>
  <c r="X63" i="4"/>
  <c r="W63" i="4"/>
  <c r="V63" i="4"/>
  <c r="U63" i="4"/>
  <c r="T63" i="4"/>
  <c r="S63" i="4"/>
  <c r="R63" i="4"/>
  <c r="Q63" i="4"/>
  <c r="P63" i="4"/>
  <c r="O63" i="4"/>
  <c r="N63" i="4"/>
  <c r="M63" i="4"/>
  <c r="L63" i="4"/>
  <c r="K63" i="4"/>
  <c r="J63" i="4"/>
  <c r="I63" i="4"/>
  <c r="H63" i="4"/>
  <c r="R62" i="4"/>
  <c r="Q62" i="4"/>
  <c r="P62" i="4"/>
  <c r="O62" i="4"/>
  <c r="N62" i="4"/>
  <c r="M62" i="4"/>
  <c r="L62" i="4"/>
  <c r="K62" i="4"/>
  <c r="J62" i="4"/>
  <c r="I62" i="4"/>
  <c r="H62" i="4"/>
  <c r="AA61" i="4"/>
  <c r="Z61" i="4"/>
  <c r="Y61" i="4"/>
  <c r="X61" i="4"/>
  <c r="W61" i="4"/>
  <c r="V61" i="4"/>
  <c r="U61" i="4"/>
  <c r="T61" i="4"/>
  <c r="S61" i="4"/>
  <c r="R61" i="4"/>
  <c r="Q61" i="4"/>
  <c r="P61" i="4"/>
  <c r="O61" i="4"/>
  <c r="N61" i="4"/>
  <c r="M61" i="4"/>
  <c r="L61" i="4"/>
  <c r="K61" i="4"/>
  <c r="J61" i="4"/>
  <c r="I61" i="4"/>
  <c r="H61" i="4"/>
  <c r="D61" i="4"/>
  <c r="AA60" i="4"/>
  <c r="Z60" i="4"/>
  <c r="Y60" i="4"/>
  <c r="X60" i="4"/>
  <c r="W60" i="4"/>
  <c r="V60" i="4"/>
  <c r="U60" i="4"/>
  <c r="T60" i="4"/>
  <c r="S60" i="4"/>
  <c r="R60" i="4"/>
  <c r="Q60" i="4"/>
  <c r="P60" i="4"/>
  <c r="O60" i="4"/>
  <c r="N60" i="4"/>
  <c r="M60" i="4"/>
  <c r="L60" i="4"/>
  <c r="K60" i="4"/>
  <c r="J60" i="4"/>
  <c r="I60" i="4"/>
  <c r="H60" i="4"/>
  <c r="G60" i="4"/>
  <c r="F60" i="4"/>
  <c r="AA59" i="4"/>
  <c r="Z59" i="4"/>
  <c r="Y59" i="4"/>
  <c r="X59" i="4"/>
  <c r="W59" i="4"/>
  <c r="V59" i="4"/>
  <c r="U59" i="4"/>
  <c r="T59" i="4"/>
  <c r="S59" i="4"/>
  <c r="R59" i="4"/>
  <c r="Q59" i="4"/>
  <c r="P59" i="4"/>
  <c r="O59" i="4"/>
  <c r="N59" i="4"/>
  <c r="M59" i="4"/>
  <c r="L59" i="4"/>
  <c r="K59" i="4"/>
  <c r="J59" i="4"/>
  <c r="I59" i="4"/>
  <c r="H59" i="4"/>
  <c r="AA58" i="4"/>
  <c r="Z58" i="4"/>
  <c r="Y58" i="4"/>
  <c r="X58" i="4"/>
  <c r="W58" i="4"/>
  <c r="V58" i="4"/>
  <c r="U58" i="4"/>
  <c r="T58" i="4"/>
  <c r="S58" i="4"/>
  <c r="R58" i="4"/>
  <c r="Q58" i="4"/>
  <c r="P58" i="4"/>
  <c r="O58" i="4"/>
  <c r="N58" i="4"/>
  <c r="M58" i="4"/>
  <c r="L58" i="4"/>
  <c r="K58" i="4"/>
  <c r="J58" i="4"/>
  <c r="I58" i="4"/>
  <c r="H58" i="4"/>
  <c r="D58" i="4"/>
  <c r="AA57" i="4"/>
  <c r="Z57" i="4"/>
  <c r="Y57" i="4"/>
  <c r="X57" i="4"/>
  <c r="W57" i="4"/>
  <c r="V57" i="4"/>
  <c r="U57" i="4"/>
  <c r="T57" i="4"/>
  <c r="S57" i="4"/>
  <c r="R57" i="4"/>
  <c r="Q57" i="4"/>
  <c r="P57" i="4"/>
  <c r="O57" i="4"/>
  <c r="N57" i="4"/>
  <c r="M57" i="4"/>
  <c r="L57" i="4"/>
  <c r="K57" i="4"/>
  <c r="J57" i="4"/>
  <c r="I57" i="4"/>
  <c r="H57" i="4"/>
  <c r="AA56" i="4"/>
  <c r="Z56" i="4"/>
  <c r="Y56" i="4"/>
  <c r="X56" i="4"/>
  <c r="W56" i="4"/>
  <c r="V56" i="4"/>
  <c r="U56" i="4"/>
  <c r="T56" i="4"/>
  <c r="S56" i="4"/>
  <c r="R56" i="4"/>
  <c r="Q56" i="4"/>
  <c r="P56" i="4"/>
  <c r="O56" i="4"/>
  <c r="N56" i="4"/>
  <c r="M56" i="4"/>
  <c r="L56" i="4"/>
  <c r="K56" i="4"/>
  <c r="J56" i="4"/>
  <c r="I56" i="4"/>
  <c r="AA55" i="4"/>
  <c r="Z55" i="4"/>
  <c r="Y55" i="4"/>
  <c r="X55" i="4"/>
  <c r="W55" i="4"/>
  <c r="D49" i="4"/>
  <c r="D48" i="4"/>
  <c r="D45" i="4"/>
  <c r="G38" i="4"/>
  <c r="F38" i="4"/>
  <c r="R37" i="4"/>
  <c r="R65" i="4" s="1"/>
  <c r="Q37" i="4"/>
  <c r="P37" i="4"/>
  <c r="O37" i="4"/>
  <c r="N37" i="4"/>
  <c r="M37" i="4"/>
  <c r="L37" i="4"/>
  <c r="K37" i="4"/>
  <c r="J37" i="4"/>
  <c r="I37" i="4"/>
  <c r="H37" i="4"/>
  <c r="S36" i="4"/>
  <c r="S64" i="4" s="1"/>
  <c r="Q36" i="4"/>
  <c r="AA35" i="4"/>
  <c r="Z35" i="4"/>
  <c r="Y35" i="4"/>
  <c r="X35" i="4"/>
  <c r="W35" i="4"/>
  <c r="V35" i="4"/>
  <c r="U35" i="4"/>
  <c r="T35" i="4"/>
  <c r="S35" i="4"/>
  <c r="R35" i="4"/>
  <c r="Q35" i="4"/>
  <c r="P35" i="4"/>
  <c r="O35" i="4"/>
  <c r="N35" i="4"/>
  <c r="M35" i="4"/>
  <c r="L35" i="4"/>
  <c r="K35" i="4"/>
  <c r="J35" i="4"/>
  <c r="I35" i="4"/>
  <c r="H35" i="4"/>
  <c r="R34" i="4"/>
  <c r="Q34" i="4"/>
  <c r="P34" i="4"/>
  <c r="O34" i="4"/>
  <c r="N34" i="4"/>
  <c r="M34" i="4"/>
  <c r="L34" i="4"/>
  <c r="K34" i="4"/>
  <c r="J34" i="4"/>
  <c r="I34" i="4"/>
  <c r="AA33" i="4"/>
  <c r="Z33" i="4"/>
  <c r="Y33" i="4"/>
  <c r="X33" i="4"/>
  <c r="W33" i="4"/>
  <c r="V33" i="4"/>
  <c r="U33" i="4"/>
  <c r="T33" i="4"/>
  <c r="S33" i="4"/>
  <c r="R33" i="4"/>
  <c r="Q33" i="4"/>
  <c r="P33" i="4"/>
  <c r="O33" i="4"/>
  <c r="N33" i="4"/>
  <c r="M33" i="4"/>
  <c r="L33" i="4"/>
  <c r="K33" i="4"/>
  <c r="J33" i="4"/>
  <c r="I33" i="4"/>
  <c r="H33" i="4"/>
  <c r="D33" i="4"/>
  <c r="AA32" i="4"/>
  <c r="Z32" i="4"/>
  <c r="Y32" i="4"/>
  <c r="X32" i="4"/>
  <c r="W32" i="4"/>
  <c r="V32" i="4"/>
  <c r="U32" i="4"/>
  <c r="T32" i="4"/>
  <c r="S32" i="4"/>
  <c r="R32" i="4"/>
  <c r="Q32" i="4"/>
  <c r="P32" i="4"/>
  <c r="O32" i="4"/>
  <c r="N32" i="4"/>
  <c r="M32" i="4"/>
  <c r="L32" i="4"/>
  <c r="K32" i="4"/>
  <c r="J32" i="4"/>
  <c r="I32" i="4"/>
  <c r="H32" i="4"/>
  <c r="G32" i="4"/>
  <c r="F32" i="4"/>
  <c r="AA31" i="4"/>
  <c r="Z31" i="4"/>
  <c r="Y31" i="4"/>
  <c r="X31" i="4"/>
  <c r="W31" i="4"/>
  <c r="V31" i="4"/>
  <c r="U31" i="4"/>
  <c r="T31" i="4"/>
  <c r="S31" i="4"/>
  <c r="R31" i="4"/>
  <c r="Q31" i="4"/>
  <c r="P31" i="4"/>
  <c r="O31" i="4"/>
  <c r="N31" i="4"/>
  <c r="M31" i="4"/>
  <c r="L31" i="4"/>
  <c r="K31" i="4"/>
  <c r="J31" i="4"/>
  <c r="I31" i="4"/>
  <c r="H31" i="4"/>
  <c r="AA30" i="4"/>
  <c r="Z30" i="4"/>
  <c r="Y30" i="4"/>
  <c r="X30" i="4"/>
  <c r="W30" i="4"/>
  <c r="V30" i="4"/>
  <c r="U30" i="4"/>
  <c r="T30" i="4"/>
  <c r="S30" i="4"/>
  <c r="R30" i="4"/>
  <c r="Q30" i="4"/>
  <c r="P30" i="4"/>
  <c r="O30" i="4"/>
  <c r="N30" i="4"/>
  <c r="M30" i="4"/>
  <c r="L30" i="4"/>
  <c r="K30" i="4"/>
  <c r="J30" i="4"/>
  <c r="I30" i="4"/>
  <c r="H30" i="4"/>
  <c r="D30" i="4"/>
  <c r="AA29" i="4"/>
  <c r="Z29" i="4"/>
  <c r="Y29" i="4"/>
  <c r="X29" i="4"/>
  <c r="W29" i="4"/>
  <c r="V29" i="4"/>
  <c r="U29" i="4"/>
  <c r="T29" i="4"/>
  <c r="S29" i="4"/>
  <c r="R29" i="4"/>
  <c r="Q29" i="4"/>
  <c r="P29" i="4"/>
  <c r="O29" i="4"/>
  <c r="N29" i="4"/>
  <c r="M29" i="4"/>
  <c r="L29" i="4"/>
  <c r="K29" i="4"/>
  <c r="J29" i="4"/>
  <c r="I29" i="4"/>
  <c r="H29" i="4"/>
  <c r="AA28" i="4"/>
  <c r="Z28" i="4"/>
  <c r="Y28" i="4"/>
  <c r="X28" i="4"/>
  <c r="W28" i="4"/>
  <c r="V28" i="4"/>
  <c r="U28" i="4"/>
  <c r="T28" i="4"/>
  <c r="S28" i="4"/>
  <c r="R28" i="4"/>
  <c r="Q28" i="4"/>
  <c r="P28" i="4"/>
  <c r="O28" i="4"/>
  <c r="N28" i="4"/>
  <c r="M28" i="4"/>
  <c r="L28" i="4"/>
  <c r="K28" i="4"/>
  <c r="J28" i="4"/>
  <c r="I28" i="4"/>
  <c r="AA27" i="4"/>
  <c r="Z27" i="4"/>
  <c r="Y27" i="4"/>
  <c r="X27" i="4"/>
  <c r="W27" i="4"/>
  <c r="D22" i="4"/>
  <c r="D21" i="4"/>
  <c r="AA20" i="4"/>
  <c r="Z20" i="4"/>
  <c r="Y20" i="4"/>
  <c r="X20" i="4"/>
  <c r="W20" i="4"/>
  <c r="V20" i="4"/>
  <c r="U20" i="4"/>
  <c r="T20" i="4"/>
  <c r="S20" i="4"/>
  <c r="R20" i="4"/>
  <c r="Q20" i="4"/>
  <c r="P20" i="4"/>
  <c r="O20" i="4"/>
  <c r="N20" i="4"/>
  <c r="M20" i="4"/>
  <c r="L20" i="4"/>
  <c r="K20" i="4"/>
  <c r="J20" i="4"/>
  <c r="I20" i="4"/>
  <c r="H20" i="4"/>
  <c r="D18" i="4"/>
  <c r="D17" i="4"/>
  <c r="D15" i="4"/>
  <c r="D14" i="4"/>
  <c r="D11" i="4"/>
  <c r="D10" i="4"/>
  <c r="D9" i="4"/>
  <c r="D8" i="4"/>
  <c r="D7" i="4"/>
  <c r="D6" i="4"/>
  <c r="D3" i="4"/>
  <c r="AA94" i="3"/>
  <c r="Z94" i="3"/>
  <c r="Y94" i="3"/>
  <c r="X94" i="3"/>
  <c r="W94" i="3"/>
  <c r="D94" i="3"/>
  <c r="AA93" i="3"/>
  <c r="Z93" i="3"/>
  <c r="Y93" i="3"/>
  <c r="X93" i="3"/>
  <c r="W93" i="3"/>
  <c r="AA92" i="3"/>
  <c r="Z92" i="3"/>
  <c r="Y92" i="3"/>
  <c r="X92" i="3"/>
  <c r="W92" i="3"/>
  <c r="AA91" i="3"/>
  <c r="Z91" i="3"/>
  <c r="Y91" i="3"/>
  <c r="X91" i="3"/>
  <c r="W91" i="3"/>
  <c r="AA90" i="3"/>
  <c r="Z90" i="3"/>
  <c r="Y90" i="3"/>
  <c r="X90" i="3"/>
  <c r="W90" i="3"/>
  <c r="V90" i="3"/>
  <c r="U90" i="3"/>
  <c r="T90" i="3"/>
  <c r="S90" i="3"/>
  <c r="R90" i="3"/>
  <c r="Q90" i="3"/>
  <c r="P90" i="3"/>
  <c r="O90" i="3"/>
  <c r="N90" i="3"/>
  <c r="M90" i="3"/>
  <c r="L90" i="3"/>
  <c r="K90" i="3"/>
  <c r="J90" i="3"/>
  <c r="I90" i="3"/>
  <c r="H90" i="3"/>
  <c r="AA89" i="3"/>
  <c r="Z89" i="3"/>
  <c r="Y89" i="3"/>
  <c r="X89" i="3"/>
  <c r="W89" i="3"/>
  <c r="F89" i="3"/>
  <c r="AA84" i="3"/>
  <c r="Z84" i="3"/>
  <c r="Y84" i="3"/>
  <c r="X84" i="3"/>
  <c r="W84" i="3"/>
  <c r="D84" i="3"/>
  <c r="AA83" i="3"/>
  <c r="Z83" i="3"/>
  <c r="Y83" i="3"/>
  <c r="X83" i="3"/>
  <c r="W83" i="3"/>
  <c r="AA82" i="3"/>
  <c r="Z82" i="3"/>
  <c r="Y82" i="3"/>
  <c r="X82" i="3"/>
  <c r="W82" i="3"/>
  <c r="AA81" i="3"/>
  <c r="Z81" i="3"/>
  <c r="Y81" i="3"/>
  <c r="X81" i="3"/>
  <c r="W81" i="3"/>
  <c r="AA80" i="3"/>
  <c r="Z80" i="3"/>
  <c r="Y80" i="3"/>
  <c r="X80" i="3"/>
  <c r="W80" i="3"/>
  <c r="V80" i="3"/>
  <c r="U80" i="3"/>
  <c r="T80" i="3"/>
  <c r="S80" i="3"/>
  <c r="R80" i="3"/>
  <c r="Q80" i="3"/>
  <c r="P80" i="3"/>
  <c r="O80" i="3"/>
  <c r="N80" i="3"/>
  <c r="M80" i="3"/>
  <c r="L80" i="3"/>
  <c r="K80" i="3"/>
  <c r="J80" i="3"/>
  <c r="I80" i="3"/>
  <c r="H80" i="3"/>
  <c r="AA79" i="3"/>
  <c r="Z79" i="3"/>
  <c r="Y79" i="3"/>
  <c r="X79" i="3"/>
  <c r="F79" i="3"/>
  <c r="AA74" i="3"/>
  <c r="Z74" i="3"/>
  <c r="Y74" i="3"/>
  <c r="X74" i="3"/>
  <c r="W74" i="3"/>
  <c r="V74" i="3"/>
  <c r="U74" i="3"/>
  <c r="T74" i="3"/>
  <c r="S74" i="3"/>
  <c r="R74" i="3"/>
  <c r="Q74" i="3"/>
  <c r="P74" i="3"/>
  <c r="O74" i="3"/>
  <c r="N74" i="3"/>
  <c r="M74" i="3"/>
  <c r="L74" i="3"/>
  <c r="K74" i="3"/>
  <c r="J74" i="3"/>
  <c r="I74" i="3"/>
  <c r="H74" i="3"/>
  <c r="G74" i="3"/>
  <c r="F74" i="3"/>
  <c r="D74" i="3"/>
  <c r="AA73" i="3"/>
  <c r="Z73" i="3"/>
  <c r="Y73" i="3"/>
  <c r="X73" i="3"/>
  <c r="W73" i="3"/>
  <c r="V73" i="3"/>
  <c r="U73" i="3"/>
  <c r="T73" i="3"/>
  <c r="S73" i="3"/>
  <c r="R73" i="3"/>
  <c r="Q73" i="3"/>
  <c r="P73" i="3"/>
  <c r="O73" i="3"/>
  <c r="N73" i="3"/>
  <c r="M73" i="3"/>
  <c r="L73" i="3"/>
  <c r="K73" i="3"/>
  <c r="J73" i="3"/>
  <c r="I73" i="3"/>
  <c r="H73" i="3"/>
  <c r="D73" i="3"/>
  <c r="AA72" i="3"/>
  <c r="Z72" i="3"/>
  <c r="Y72" i="3"/>
  <c r="X72" i="3"/>
  <c r="W72" i="3"/>
  <c r="V72" i="3"/>
  <c r="U72" i="3"/>
  <c r="T72" i="3"/>
  <c r="S72" i="3"/>
  <c r="R72" i="3"/>
  <c r="Q72" i="3"/>
  <c r="P72" i="3"/>
  <c r="O72" i="3"/>
  <c r="N72" i="3"/>
  <c r="M72" i="3"/>
  <c r="L72" i="3"/>
  <c r="K72" i="3"/>
  <c r="J72" i="3"/>
  <c r="I72" i="3"/>
  <c r="D72" i="3"/>
  <c r="AA71" i="3"/>
  <c r="Z71" i="3"/>
  <c r="Y71" i="3"/>
  <c r="X71" i="3"/>
  <c r="W71" i="3"/>
  <c r="V71" i="3"/>
  <c r="U71" i="3"/>
  <c r="T71" i="3"/>
  <c r="S71" i="3"/>
  <c r="R71" i="3"/>
  <c r="Q71" i="3"/>
  <c r="P71" i="3"/>
  <c r="O71" i="3"/>
  <c r="N71" i="3"/>
  <c r="M71" i="3"/>
  <c r="L71" i="3"/>
  <c r="K71" i="3"/>
  <c r="J71" i="3"/>
  <c r="I71" i="3"/>
  <c r="H71" i="3"/>
  <c r="D71" i="3"/>
  <c r="AA70" i="3"/>
  <c r="Z70" i="3"/>
  <c r="Y70" i="3"/>
  <c r="X70" i="3"/>
  <c r="W70" i="3"/>
  <c r="V70" i="3"/>
  <c r="U70" i="3"/>
  <c r="T70" i="3"/>
  <c r="S70" i="3"/>
  <c r="R70" i="3"/>
  <c r="Q70" i="3"/>
  <c r="P70" i="3"/>
  <c r="O70" i="3"/>
  <c r="N70" i="3"/>
  <c r="M70" i="3"/>
  <c r="L70" i="3"/>
  <c r="K70" i="3"/>
  <c r="J70" i="3"/>
  <c r="I70" i="3"/>
  <c r="H70" i="3"/>
  <c r="D70" i="3"/>
  <c r="AA69" i="3"/>
  <c r="Z69" i="3"/>
  <c r="Y69" i="3"/>
  <c r="X69" i="3"/>
  <c r="W69" i="3"/>
  <c r="V69" i="3"/>
  <c r="U69" i="3"/>
  <c r="T69" i="3"/>
  <c r="S69" i="3"/>
  <c r="R69" i="3"/>
  <c r="Q69" i="3"/>
  <c r="P69" i="3"/>
  <c r="O69" i="3"/>
  <c r="N69" i="3"/>
  <c r="M69" i="3"/>
  <c r="L69" i="3"/>
  <c r="K69" i="3"/>
  <c r="J69" i="3"/>
  <c r="I69" i="3"/>
  <c r="H69" i="3"/>
  <c r="G69" i="3"/>
  <c r="AA64" i="3"/>
  <c r="Z64" i="3"/>
  <c r="Y64" i="3"/>
  <c r="X64" i="3"/>
  <c r="W64" i="3"/>
  <c r="V64" i="3"/>
  <c r="U64" i="3"/>
  <c r="T64" i="3"/>
  <c r="S64" i="3"/>
  <c r="R64" i="3"/>
  <c r="Q64" i="3"/>
  <c r="P64" i="3"/>
  <c r="O64" i="3"/>
  <c r="N64" i="3"/>
  <c r="M64" i="3"/>
  <c r="L64" i="3"/>
  <c r="K64" i="3"/>
  <c r="J64" i="3"/>
  <c r="I64" i="3"/>
  <c r="H64" i="3"/>
  <c r="G64" i="3"/>
  <c r="F64" i="3"/>
  <c r="D64" i="3"/>
  <c r="AA63" i="3"/>
  <c r="Z63" i="3"/>
  <c r="Y63" i="3"/>
  <c r="X63" i="3"/>
  <c r="W63" i="3"/>
  <c r="V63" i="3"/>
  <c r="U63" i="3"/>
  <c r="T63" i="3"/>
  <c r="S63" i="3"/>
  <c r="R63" i="3"/>
  <c r="Q63" i="3"/>
  <c r="P63" i="3"/>
  <c r="O63" i="3"/>
  <c r="N63" i="3"/>
  <c r="M63" i="3"/>
  <c r="L63" i="3"/>
  <c r="K63" i="3"/>
  <c r="J63" i="3"/>
  <c r="I63" i="3"/>
  <c r="H63" i="3"/>
  <c r="D63" i="3"/>
  <c r="AA62" i="3"/>
  <c r="D62" i="3"/>
  <c r="AA61" i="3"/>
  <c r="Z61" i="3"/>
  <c r="Y61" i="3"/>
  <c r="X61" i="3"/>
  <c r="W61" i="3"/>
  <c r="V61" i="3"/>
  <c r="U61" i="3"/>
  <c r="T61" i="3"/>
  <c r="S61" i="3"/>
  <c r="R61" i="3"/>
  <c r="Q61" i="3"/>
  <c r="P61" i="3"/>
  <c r="O61" i="3"/>
  <c r="N61" i="3"/>
  <c r="M61" i="3"/>
  <c r="L61" i="3"/>
  <c r="K61" i="3"/>
  <c r="J61" i="3"/>
  <c r="I61" i="3"/>
  <c r="D61" i="3"/>
  <c r="H60" i="3"/>
  <c r="D60" i="3"/>
  <c r="AA59" i="3"/>
  <c r="Z59" i="3"/>
  <c r="Y59" i="3"/>
  <c r="X59" i="3"/>
  <c r="W59" i="3"/>
  <c r="V59" i="3"/>
  <c r="U59" i="3"/>
  <c r="T59" i="3"/>
  <c r="S59" i="3"/>
  <c r="R59" i="3"/>
  <c r="Q59" i="3"/>
  <c r="P59" i="3"/>
  <c r="O59" i="3"/>
  <c r="N59" i="3"/>
  <c r="M59" i="3"/>
  <c r="L59" i="3"/>
  <c r="K59" i="3"/>
  <c r="J59" i="3"/>
  <c r="I59" i="3"/>
  <c r="H59" i="3"/>
  <c r="G59" i="3"/>
  <c r="AA39" i="3"/>
  <c r="Z39" i="3"/>
  <c r="Y39" i="3"/>
  <c r="X39" i="3"/>
  <c r="D34" i="3"/>
  <c r="AA31" i="3"/>
  <c r="Z31" i="3"/>
  <c r="Y31" i="3"/>
  <c r="X31" i="3"/>
  <c r="W31" i="3"/>
  <c r="V31" i="3"/>
  <c r="U31" i="3"/>
  <c r="T31" i="3"/>
  <c r="S31" i="3"/>
  <c r="R31" i="3"/>
  <c r="Q31" i="3"/>
  <c r="P31" i="3"/>
  <c r="O31" i="3"/>
  <c r="N31" i="3"/>
  <c r="M31" i="3"/>
  <c r="L31" i="3"/>
  <c r="K31" i="3"/>
  <c r="J31" i="3"/>
  <c r="I31" i="3"/>
  <c r="H31" i="3"/>
  <c r="D31" i="3"/>
  <c r="D30" i="3"/>
  <c r="AA29" i="3"/>
  <c r="Z29" i="3"/>
  <c r="Y29" i="3"/>
  <c r="X29" i="3"/>
  <c r="W29" i="3"/>
  <c r="V29" i="3"/>
  <c r="U29" i="3"/>
  <c r="T29" i="3"/>
  <c r="S29" i="3"/>
  <c r="R29" i="3"/>
  <c r="Q29" i="3"/>
  <c r="P29" i="3"/>
  <c r="O29" i="3"/>
  <c r="N29" i="3"/>
  <c r="M29" i="3"/>
  <c r="L29" i="3"/>
  <c r="K29" i="3"/>
  <c r="J29" i="3"/>
  <c r="I29" i="3"/>
  <c r="H29" i="3"/>
  <c r="G29" i="3"/>
  <c r="F29" i="3"/>
  <c r="D29" i="3"/>
  <c r="G28" i="3"/>
  <c r="F28" i="3"/>
  <c r="G27" i="3"/>
  <c r="F27" i="3"/>
  <c r="D26" i="3"/>
  <c r="AA25" i="3"/>
  <c r="Z25" i="3"/>
  <c r="Y25" i="3"/>
  <c r="X25" i="3"/>
  <c r="W25" i="3"/>
  <c r="V25" i="3"/>
  <c r="U25" i="3"/>
  <c r="T25" i="3"/>
  <c r="S25" i="3"/>
  <c r="R25" i="3"/>
  <c r="Q25" i="3"/>
  <c r="P25" i="3"/>
  <c r="O25" i="3"/>
  <c r="N25" i="3"/>
  <c r="M25" i="3"/>
  <c r="L25" i="3"/>
  <c r="K25" i="3"/>
  <c r="J25" i="3"/>
  <c r="I25" i="3"/>
  <c r="H25" i="3"/>
  <c r="D25" i="3"/>
  <c r="H18" i="3"/>
  <c r="D18" i="3"/>
  <c r="G17" i="3"/>
  <c r="H16" i="3"/>
  <c r="H15" i="3"/>
  <c r="H14" i="3"/>
  <c r="D14" i="3"/>
  <c r="D13" i="3"/>
  <c r="H11" i="3"/>
  <c r="H9" i="3"/>
  <c r="D9" i="3"/>
  <c r="H8" i="3"/>
  <c r="G8" i="3"/>
  <c r="G6" i="3" s="1"/>
  <c r="G7" i="3"/>
  <c r="F7" i="3"/>
  <c r="D7" i="3"/>
  <c r="H6" i="3"/>
  <c r="G5" i="3"/>
  <c r="F5" i="3"/>
  <c r="D5" i="3"/>
  <c r="H209" i="2"/>
  <c r="H83" i="2"/>
  <c r="H81" i="2"/>
  <c r="H77" i="2"/>
  <c r="H76" i="2"/>
  <c r="H70" i="2"/>
  <c r="H38" i="2"/>
  <c r="H37" i="2"/>
  <c r="H36" i="2"/>
  <c r="H35" i="2"/>
  <c r="H34" i="2"/>
  <c r="H33" i="2"/>
  <c r="H32" i="2"/>
  <c r="H31" i="2"/>
  <c r="H30" i="2"/>
  <c r="H29" i="2"/>
  <c r="H28" i="2"/>
  <c r="H27" i="2"/>
  <c r="H26" i="2"/>
  <c r="H25" i="2"/>
  <c r="H24" i="2"/>
  <c r="H23" i="2"/>
  <c r="H22" i="2"/>
  <c r="H21" i="2"/>
  <c r="H20" i="2"/>
  <c r="H19" i="2"/>
  <c r="H17" i="2"/>
  <c r="E14" i="5"/>
  <c r="E13" i="5"/>
  <c r="E10" i="5"/>
  <c r="G9" i="5"/>
  <c r="F9" i="5"/>
  <c r="E9" i="5"/>
  <c r="G8" i="5"/>
  <c r="F8" i="5"/>
  <c r="E8" i="5"/>
  <c r="G7" i="5"/>
  <c r="F7" i="5"/>
  <c r="E7" i="5"/>
  <c r="G6" i="5"/>
  <c r="F6" i="5"/>
  <c r="E6" i="5"/>
  <c r="G5" i="5"/>
  <c r="F5" i="5"/>
  <c r="E5" i="5"/>
  <c r="G4" i="5"/>
  <c r="F4" i="5"/>
  <c r="E4" i="5"/>
  <c r="G3" i="5"/>
  <c r="F3" i="5"/>
  <c r="E3" i="5"/>
  <c r="S34" i="4" l="1"/>
  <c r="T36" i="4"/>
  <c r="G20" i="11"/>
  <c r="G11" i="3"/>
  <c r="H16" i="11"/>
  <c r="H29" i="10"/>
  <c r="I16" i="11"/>
  <c r="I29" i="10"/>
  <c r="G54" i="10" s="1"/>
  <c r="J16" i="11"/>
  <c r="J29" i="10"/>
  <c r="H54" i="10" s="1"/>
  <c r="F46" i="9"/>
  <c r="F127" i="14"/>
  <c r="S37" i="4" l="1"/>
  <c r="S62" i="4"/>
  <c r="T64" i="4"/>
  <c r="U36" i="4"/>
  <c r="G25" i="11"/>
  <c r="G15" i="10"/>
  <c r="G12" i="3"/>
  <c r="G16" i="3" s="1"/>
  <c r="G15" i="3" s="1"/>
  <c r="F54" i="10"/>
  <c r="D20" i="11"/>
  <c r="G19" i="11"/>
  <c r="U64" i="4" l="1"/>
  <c r="V36" i="4"/>
  <c r="S65" i="4"/>
  <c r="T34" i="4"/>
  <c r="D19" i="11"/>
  <c r="G17" i="11"/>
  <c r="G16" i="10"/>
  <c r="G14" i="10" s="1"/>
  <c r="G13" i="10" s="1"/>
  <c r="G50" i="3"/>
  <c r="G90" i="3" s="1"/>
  <c r="G40" i="3"/>
  <c r="T62" i="4" l="1"/>
  <c r="T37" i="4"/>
  <c r="W36" i="4"/>
  <c r="V64" i="4"/>
  <c r="D17" i="11"/>
  <c r="G26" i="11"/>
  <c r="G24" i="11" s="1"/>
  <c r="G23" i="11" s="1"/>
  <c r="G33" i="11" s="1"/>
  <c r="G80" i="3"/>
  <c r="G6" i="10" s="1"/>
  <c r="G5" i="10" s="1"/>
  <c r="G27" i="10" s="1"/>
  <c r="G30" i="10" s="1"/>
  <c r="W64" i="4" l="1"/>
  <c r="X36" i="4"/>
  <c r="W11" i="6"/>
  <c r="W6" i="6" s="1"/>
  <c r="W38" i="4"/>
  <c r="T65" i="4"/>
  <c r="U34" i="4"/>
  <c r="X64" i="4" l="1"/>
  <c r="Y36" i="4"/>
  <c r="X38" i="4"/>
  <c r="X11" i="6"/>
  <c r="X6" i="6" s="1"/>
  <c r="U62" i="4"/>
  <c r="U37" i="4"/>
  <c r="W66" i="4"/>
  <c r="W35" i="6"/>
  <c r="W30" i="6" s="1"/>
  <c r="X66" i="4" l="1"/>
  <c r="X35" i="6"/>
  <c r="X30" i="6" s="1"/>
  <c r="U65" i="4"/>
  <c r="V34" i="4"/>
  <c r="Y64" i="4"/>
  <c r="Z36" i="4"/>
  <c r="Y38" i="4"/>
  <c r="Y11" i="6"/>
  <c r="Y6" i="6" s="1"/>
  <c r="AA36" i="4" l="1"/>
  <c r="Z64" i="4"/>
  <c r="Z11" i="6"/>
  <c r="Z6" i="6" s="1"/>
  <c r="Z38" i="4"/>
  <c r="D36" i="4"/>
  <c r="Y35" i="6"/>
  <c r="Y30" i="6" s="1"/>
  <c r="Y66" i="4"/>
  <c r="V62" i="4"/>
  <c r="V37" i="4"/>
  <c r="Z35" i="6" l="1"/>
  <c r="Z30" i="6" s="1"/>
  <c r="Z66" i="4"/>
  <c r="V65" i="4"/>
  <c r="W34" i="4"/>
  <c r="AA64" i="4"/>
  <c r="AA38" i="4"/>
  <c r="AA11" i="6"/>
  <c r="AA6" i="6" s="1"/>
  <c r="W37" i="4" l="1"/>
  <c r="W62" i="4"/>
  <c r="AA35" i="6"/>
  <c r="AA30" i="6" s="1"/>
  <c r="AA66" i="4"/>
  <c r="D64" i="4"/>
  <c r="W65" i="4" l="1"/>
  <c r="X34" i="4"/>
  <c r="X62" i="4" l="1"/>
  <c r="X37" i="4"/>
  <c r="X65" i="4" l="1"/>
  <c r="Y34" i="4"/>
  <c r="Y62" i="4" l="1"/>
  <c r="Y37" i="4"/>
  <c r="Y65" i="4" l="1"/>
  <c r="Z34" i="4"/>
  <c r="Z62" i="4" l="1"/>
  <c r="Z37" i="4"/>
  <c r="Z65" i="4" l="1"/>
  <c r="AA34" i="4"/>
  <c r="AA37" i="4" l="1"/>
  <c r="AA65" i="4" s="1"/>
  <c r="AA62" i="4"/>
  <c r="E5" i="14"/>
  <c r="F5" i="14"/>
  <c r="G5" i="14"/>
  <c r="H5" i="14"/>
  <c r="I5" i="14"/>
  <c r="J5" i="14"/>
  <c r="K5" i="14"/>
  <c r="L5" i="14"/>
  <c r="M5" i="14"/>
  <c r="N5" i="14"/>
  <c r="O5" i="14"/>
  <c r="P5" i="14"/>
  <c r="Q5" i="14"/>
  <c r="R5" i="14"/>
  <c r="S5" i="14"/>
  <c r="T5" i="14"/>
  <c r="U5" i="14"/>
  <c r="V5" i="14"/>
  <c r="W5" i="14"/>
  <c r="X5" i="14"/>
  <c r="Y5" i="14"/>
  <c r="Z5" i="14"/>
  <c r="E6" i="14"/>
  <c r="F6" i="14"/>
  <c r="G6" i="14"/>
  <c r="H6" i="14"/>
  <c r="I6" i="14"/>
  <c r="J6" i="14"/>
  <c r="K6" i="14"/>
  <c r="L6" i="14"/>
  <c r="M6" i="14"/>
  <c r="N6" i="14"/>
  <c r="O6" i="14"/>
  <c r="P6" i="14"/>
  <c r="Q6" i="14"/>
  <c r="R6" i="14"/>
  <c r="S6" i="14"/>
  <c r="T6" i="14"/>
  <c r="U6" i="14"/>
  <c r="V6" i="14"/>
  <c r="W6" i="14"/>
  <c r="X6" i="14"/>
  <c r="Y6" i="14"/>
  <c r="Z6" i="14"/>
  <c r="E7" i="14"/>
  <c r="F7" i="14"/>
  <c r="G7" i="14"/>
  <c r="H7" i="14"/>
  <c r="I7" i="14"/>
  <c r="J7" i="14"/>
  <c r="K7" i="14"/>
  <c r="L7" i="14"/>
  <c r="M7" i="14"/>
  <c r="N7" i="14"/>
  <c r="O7" i="14"/>
  <c r="P7" i="14"/>
  <c r="Q7" i="14"/>
  <c r="R7" i="14"/>
  <c r="S7" i="14"/>
  <c r="T7" i="14"/>
  <c r="U7" i="14"/>
  <c r="V7" i="14"/>
  <c r="W7" i="14"/>
  <c r="X7" i="14"/>
  <c r="Y7" i="14"/>
  <c r="Z7" i="14"/>
  <c r="E31" i="14"/>
  <c r="G31" i="14"/>
  <c r="H31" i="14"/>
  <c r="I31" i="14"/>
  <c r="J31" i="14"/>
  <c r="K31" i="14"/>
  <c r="L31" i="14"/>
  <c r="M31" i="14"/>
  <c r="N31" i="14"/>
  <c r="O31" i="14"/>
  <c r="P31" i="14"/>
  <c r="Q31" i="14"/>
  <c r="R31" i="14"/>
  <c r="S31" i="14"/>
  <c r="T31" i="14"/>
  <c r="U31" i="14"/>
  <c r="V31" i="14"/>
  <c r="W31" i="14"/>
  <c r="X31" i="14"/>
  <c r="Y31" i="14"/>
  <c r="Z31" i="14"/>
  <c r="G42" i="14"/>
  <c r="H42" i="14"/>
  <c r="I42" i="14"/>
  <c r="J42" i="14"/>
  <c r="K42" i="14"/>
  <c r="L42" i="14"/>
  <c r="M42" i="14"/>
  <c r="N42" i="14"/>
  <c r="O42" i="14"/>
  <c r="P42" i="14"/>
  <c r="Q42" i="14"/>
  <c r="R42" i="14"/>
  <c r="S42" i="14"/>
  <c r="T42" i="14"/>
  <c r="U42" i="14"/>
  <c r="V42" i="14"/>
  <c r="W42" i="14"/>
  <c r="X42" i="14"/>
  <c r="Y42" i="14"/>
  <c r="Z42" i="14"/>
  <c r="G43" i="14"/>
  <c r="H43" i="14"/>
  <c r="I43" i="14"/>
  <c r="J43" i="14"/>
  <c r="K43" i="14"/>
  <c r="L43" i="14"/>
  <c r="M43" i="14"/>
  <c r="N43" i="14"/>
  <c r="O43" i="14"/>
  <c r="P43" i="14"/>
  <c r="Q43" i="14"/>
  <c r="R43" i="14"/>
  <c r="S43" i="14"/>
  <c r="T43" i="14"/>
  <c r="U43" i="14"/>
  <c r="V43" i="14"/>
  <c r="W43" i="14"/>
  <c r="X43" i="14"/>
  <c r="Y43" i="14"/>
  <c r="Z43" i="14"/>
  <c r="G44" i="14"/>
  <c r="H44" i="14"/>
  <c r="I44" i="14"/>
  <c r="J44" i="14"/>
  <c r="K44" i="14"/>
  <c r="L44" i="14"/>
  <c r="M44" i="14"/>
  <c r="N44" i="14"/>
  <c r="O44" i="14"/>
  <c r="P44" i="14"/>
  <c r="Q44" i="14"/>
  <c r="R44" i="14"/>
  <c r="S44" i="14"/>
  <c r="T44" i="14"/>
  <c r="U44" i="14"/>
  <c r="V44" i="14"/>
  <c r="W44" i="14"/>
  <c r="X44" i="14"/>
  <c r="Y44" i="14"/>
  <c r="Z44" i="14"/>
  <c r="E46" i="14"/>
  <c r="E57" i="14"/>
  <c r="G57" i="14"/>
  <c r="H57" i="14"/>
  <c r="I57" i="14"/>
  <c r="J57" i="14"/>
  <c r="K57" i="14"/>
  <c r="L57" i="14"/>
  <c r="M57" i="14"/>
  <c r="N57" i="14"/>
  <c r="O57" i="14"/>
  <c r="P57" i="14"/>
  <c r="Q57" i="14"/>
  <c r="R57" i="14"/>
  <c r="S57" i="14"/>
  <c r="T57" i="14"/>
  <c r="U57" i="14"/>
  <c r="V57" i="14"/>
  <c r="W57" i="14"/>
  <c r="X57" i="14"/>
  <c r="Y57" i="14"/>
  <c r="Z57" i="14"/>
  <c r="E86" i="14"/>
  <c r="G86" i="14"/>
  <c r="H86" i="14"/>
  <c r="I86" i="14"/>
  <c r="J86" i="14"/>
  <c r="K86" i="14"/>
  <c r="L86" i="14"/>
  <c r="M86" i="14"/>
  <c r="N86" i="14"/>
  <c r="O86" i="14"/>
  <c r="P86" i="14"/>
  <c r="Q86" i="14"/>
  <c r="R86" i="14"/>
  <c r="S86" i="14"/>
  <c r="T86" i="14"/>
  <c r="U86" i="14"/>
  <c r="V86" i="14"/>
  <c r="W86" i="14"/>
  <c r="X86" i="14"/>
  <c r="Y86" i="14"/>
  <c r="Z86" i="14"/>
  <c r="E88" i="14"/>
  <c r="G88" i="14"/>
  <c r="H88" i="14"/>
  <c r="I88" i="14"/>
  <c r="J88" i="14"/>
  <c r="K88" i="14"/>
  <c r="L88" i="14"/>
  <c r="M88" i="14"/>
  <c r="N88" i="14"/>
  <c r="O88" i="14"/>
  <c r="P88" i="14"/>
  <c r="Q88" i="14"/>
  <c r="R88" i="14"/>
  <c r="S88" i="14"/>
  <c r="T88" i="14"/>
  <c r="U88" i="14"/>
  <c r="G96" i="14"/>
  <c r="H96" i="14"/>
  <c r="I96" i="14"/>
  <c r="J96" i="14"/>
  <c r="K96" i="14"/>
  <c r="L96" i="14"/>
  <c r="M96" i="14"/>
  <c r="N96" i="14"/>
  <c r="O96" i="14"/>
  <c r="P96" i="14"/>
  <c r="Q96" i="14"/>
  <c r="R96" i="14"/>
  <c r="S96" i="14"/>
  <c r="T96" i="14"/>
  <c r="U96" i="14"/>
  <c r="V96" i="14"/>
  <c r="W96" i="14"/>
  <c r="X96" i="14"/>
  <c r="Y96" i="14"/>
  <c r="Z96" i="14"/>
  <c r="E100" i="14"/>
  <c r="G100" i="14"/>
  <c r="H100" i="14"/>
  <c r="I100" i="14"/>
  <c r="J100" i="14"/>
  <c r="K100" i="14"/>
  <c r="L100" i="14"/>
  <c r="M100" i="14"/>
  <c r="N100" i="14"/>
  <c r="O100" i="14"/>
  <c r="P100" i="14"/>
  <c r="Q100" i="14"/>
  <c r="R100" i="14"/>
  <c r="S100" i="14"/>
  <c r="T100" i="14"/>
  <c r="U100" i="14"/>
  <c r="V100" i="14"/>
  <c r="W100" i="14"/>
  <c r="X100" i="14"/>
  <c r="Y100" i="14"/>
  <c r="Z100" i="14"/>
  <c r="E101" i="14"/>
  <c r="G101" i="14"/>
  <c r="H101" i="14"/>
  <c r="I101" i="14"/>
  <c r="J101" i="14"/>
  <c r="K101" i="14"/>
  <c r="L101" i="14"/>
  <c r="M101" i="14"/>
  <c r="N101" i="14"/>
  <c r="O101" i="14"/>
  <c r="P101" i="14"/>
  <c r="Q101" i="14"/>
  <c r="R101" i="14"/>
  <c r="S101" i="14"/>
  <c r="T101" i="14"/>
  <c r="U101" i="14"/>
  <c r="V101" i="14"/>
  <c r="W101" i="14"/>
  <c r="X101" i="14"/>
  <c r="Y101" i="14"/>
  <c r="Z101" i="14"/>
  <c r="E108" i="14"/>
  <c r="G108" i="14"/>
  <c r="H108" i="14"/>
  <c r="I108" i="14"/>
  <c r="J108" i="14"/>
  <c r="K108" i="14"/>
  <c r="L108" i="14"/>
  <c r="M108" i="14"/>
  <c r="N108" i="14"/>
  <c r="O108" i="14"/>
  <c r="P108" i="14"/>
  <c r="Q108" i="14"/>
  <c r="R108" i="14"/>
  <c r="S108" i="14"/>
  <c r="T108" i="14"/>
  <c r="U108" i="14"/>
  <c r="V108" i="14"/>
  <c r="W108" i="14"/>
  <c r="X108" i="14"/>
  <c r="Y108" i="14"/>
  <c r="Z108" i="14"/>
  <c r="G117" i="14"/>
  <c r="H117" i="14"/>
  <c r="I117" i="14"/>
  <c r="J117" i="14"/>
  <c r="K117" i="14"/>
  <c r="L117" i="14"/>
  <c r="M117" i="14"/>
  <c r="N117" i="14"/>
  <c r="O117" i="14"/>
  <c r="P117" i="14"/>
  <c r="Q117" i="14"/>
  <c r="R117" i="14"/>
  <c r="S117" i="14"/>
  <c r="T117" i="14"/>
  <c r="U117" i="14"/>
  <c r="V117" i="14"/>
  <c r="W117" i="14"/>
  <c r="X117" i="14"/>
  <c r="Y117" i="14"/>
  <c r="Z117" i="14"/>
  <c r="G118" i="14"/>
  <c r="H118" i="14"/>
  <c r="I118" i="14"/>
  <c r="J118" i="14"/>
  <c r="K118" i="14"/>
  <c r="L118" i="14"/>
  <c r="M118" i="14"/>
  <c r="N118" i="14"/>
  <c r="O118" i="14"/>
  <c r="P118" i="14"/>
  <c r="Q118" i="14"/>
  <c r="R118" i="14"/>
  <c r="S118" i="14"/>
  <c r="T118" i="14"/>
  <c r="U118" i="14"/>
  <c r="V118" i="14"/>
  <c r="W118" i="14"/>
  <c r="X118" i="14"/>
  <c r="Y118" i="14"/>
  <c r="Z118" i="14"/>
  <c r="G124" i="14"/>
  <c r="H124" i="14"/>
  <c r="I124" i="14"/>
  <c r="J124" i="14"/>
  <c r="K124" i="14"/>
  <c r="L124" i="14"/>
  <c r="M124" i="14"/>
  <c r="N124" i="14"/>
  <c r="O124" i="14"/>
  <c r="P124" i="14"/>
  <c r="Q124" i="14"/>
  <c r="R124" i="14"/>
  <c r="S124" i="14"/>
  <c r="T124" i="14"/>
  <c r="U124" i="14"/>
  <c r="V124" i="14"/>
  <c r="W124" i="14"/>
  <c r="X124" i="14"/>
  <c r="Y124" i="14"/>
  <c r="Z124" i="14"/>
  <c r="E127" i="14"/>
  <c r="G127" i="14"/>
  <c r="H127" i="14"/>
  <c r="I127" i="14"/>
  <c r="J127" i="14"/>
  <c r="K127" i="14"/>
  <c r="L127" i="14"/>
  <c r="M127" i="14"/>
  <c r="N127" i="14"/>
  <c r="O127" i="14"/>
  <c r="P127" i="14"/>
  <c r="Q127" i="14"/>
  <c r="R127" i="14"/>
  <c r="S127" i="14"/>
  <c r="T127" i="14"/>
  <c r="U127" i="14"/>
  <c r="V127" i="14"/>
  <c r="W127" i="14"/>
  <c r="X127" i="14"/>
  <c r="Y127" i="14"/>
  <c r="Z127" i="14"/>
  <c r="E128" i="14"/>
  <c r="F128" i="14"/>
  <c r="G128" i="14"/>
  <c r="H128" i="14"/>
  <c r="I128" i="14"/>
  <c r="J128" i="14"/>
  <c r="K128" i="14"/>
  <c r="L128" i="14"/>
  <c r="M128" i="14"/>
  <c r="N128" i="14"/>
  <c r="O128" i="14"/>
  <c r="P128" i="14"/>
  <c r="Q128" i="14"/>
  <c r="R128" i="14"/>
  <c r="S128" i="14"/>
  <c r="T128" i="14"/>
  <c r="U128" i="14"/>
  <c r="V128" i="14"/>
  <c r="W128" i="14"/>
  <c r="X128" i="14"/>
  <c r="Y128" i="14"/>
  <c r="Z128" i="14"/>
  <c r="C129" i="14"/>
  <c r="E129" i="14"/>
  <c r="G129" i="14"/>
  <c r="H129" i="14"/>
  <c r="I129" i="14"/>
  <c r="J129" i="14"/>
  <c r="K129" i="14"/>
  <c r="L129" i="14"/>
  <c r="M129" i="14"/>
  <c r="N129" i="14"/>
  <c r="O129" i="14"/>
  <c r="P129" i="14"/>
  <c r="Q129" i="14"/>
  <c r="R129" i="14"/>
  <c r="S129" i="14"/>
  <c r="T129" i="14"/>
  <c r="U129" i="14"/>
  <c r="V129" i="14"/>
  <c r="W129" i="14"/>
  <c r="X129" i="14"/>
  <c r="Y129" i="14"/>
  <c r="Z129" i="14"/>
  <c r="D6" i="3"/>
  <c r="F6" i="3"/>
  <c r="D8" i="3"/>
  <c r="F8" i="3"/>
  <c r="D11" i="3"/>
  <c r="F11" i="3"/>
  <c r="D12" i="3"/>
  <c r="F12" i="3"/>
  <c r="D15" i="3"/>
  <c r="F15" i="3"/>
  <c r="D16" i="3"/>
  <c r="F16" i="3"/>
  <c r="D17" i="3"/>
  <c r="F17" i="3"/>
  <c r="D23" i="3"/>
  <c r="F23" i="3"/>
  <c r="G23" i="3"/>
  <c r="H23" i="3"/>
  <c r="I23" i="3"/>
  <c r="J23" i="3"/>
  <c r="K23" i="3"/>
  <c r="L23" i="3"/>
  <c r="M23" i="3"/>
  <c r="N23" i="3"/>
  <c r="O23" i="3"/>
  <c r="P23" i="3"/>
  <c r="Q23" i="3"/>
  <c r="R23" i="3"/>
  <c r="S23" i="3"/>
  <c r="T23" i="3"/>
  <c r="U23" i="3"/>
  <c r="V23" i="3"/>
  <c r="W23" i="3"/>
  <c r="X23" i="3"/>
  <c r="Y23" i="3"/>
  <c r="Z23" i="3"/>
  <c r="AA23" i="3"/>
  <c r="D24" i="3"/>
  <c r="F24" i="3"/>
  <c r="G24" i="3"/>
  <c r="H24" i="3"/>
  <c r="I24" i="3"/>
  <c r="J24" i="3"/>
  <c r="K24" i="3"/>
  <c r="L24" i="3"/>
  <c r="M24" i="3"/>
  <c r="N24" i="3"/>
  <c r="O24" i="3"/>
  <c r="P24" i="3"/>
  <c r="Q24" i="3"/>
  <c r="R24" i="3"/>
  <c r="S24" i="3"/>
  <c r="T24" i="3"/>
  <c r="U24" i="3"/>
  <c r="V24" i="3"/>
  <c r="W24" i="3"/>
  <c r="X24" i="3"/>
  <c r="Y24" i="3"/>
  <c r="Z24" i="3"/>
  <c r="AA24" i="3"/>
  <c r="D27" i="3"/>
  <c r="H27" i="3"/>
  <c r="I27" i="3"/>
  <c r="J27" i="3"/>
  <c r="K27" i="3"/>
  <c r="L27" i="3"/>
  <c r="M27" i="3"/>
  <c r="N27" i="3"/>
  <c r="O27" i="3"/>
  <c r="P27" i="3"/>
  <c r="Q27" i="3"/>
  <c r="R27" i="3"/>
  <c r="S27" i="3"/>
  <c r="T27" i="3"/>
  <c r="U27" i="3"/>
  <c r="V27" i="3"/>
  <c r="W27" i="3"/>
  <c r="X27" i="3"/>
  <c r="Y27" i="3"/>
  <c r="Z27" i="3"/>
  <c r="AA27" i="3"/>
  <c r="D28" i="3"/>
  <c r="H28" i="3"/>
  <c r="I28" i="3"/>
  <c r="J28" i="3"/>
  <c r="K28" i="3"/>
  <c r="L28" i="3"/>
  <c r="M28" i="3"/>
  <c r="N28" i="3"/>
  <c r="O28" i="3"/>
  <c r="P28" i="3"/>
  <c r="Q28" i="3"/>
  <c r="R28" i="3"/>
  <c r="S28" i="3"/>
  <c r="T28" i="3"/>
  <c r="U28" i="3"/>
  <c r="V28" i="3"/>
  <c r="W28" i="3"/>
  <c r="X28" i="3"/>
  <c r="Y28" i="3"/>
  <c r="Z28" i="3"/>
  <c r="AA28" i="3"/>
  <c r="D32" i="3"/>
  <c r="H32" i="3"/>
  <c r="I32" i="3"/>
  <c r="J32" i="3"/>
  <c r="K32" i="3"/>
  <c r="L32" i="3"/>
  <c r="M32" i="3"/>
  <c r="N32" i="3"/>
  <c r="O32" i="3"/>
  <c r="P32" i="3"/>
  <c r="Q32" i="3"/>
  <c r="R32" i="3"/>
  <c r="S32" i="3"/>
  <c r="T32" i="3"/>
  <c r="U32" i="3"/>
  <c r="V32" i="3"/>
  <c r="W32" i="3"/>
  <c r="X32" i="3"/>
  <c r="Y32" i="3"/>
  <c r="Z32" i="3"/>
  <c r="AA32" i="3"/>
  <c r="D33" i="3"/>
  <c r="H33" i="3"/>
  <c r="I33" i="3"/>
  <c r="J33" i="3"/>
  <c r="K33" i="3"/>
  <c r="L33" i="3"/>
  <c r="M33" i="3"/>
  <c r="N33" i="3"/>
  <c r="O33" i="3"/>
  <c r="P33" i="3"/>
  <c r="Q33" i="3"/>
  <c r="R33" i="3"/>
  <c r="S33" i="3"/>
  <c r="T33" i="3"/>
  <c r="U33" i="3"/>
  <c r="V33" i="3"/>
  <c r="W33" i="3"/>
  <c r="X33" i="3"/>
  <c r="Y33" i="3"/>
  <c r="Z33" i="3"/>
  <c r="AA33" i="3"/>
  <c r="G39" i="3"/>
  <c r="H39" i="3"/>
  <c r="I39" i="3"/>
  <c r="J39" i="3"/>
  <c r="K39" i="3"/>
  <c r="L39" i="3"/>
  <c r="M39" i="3"/>
  <c r="N39" i="3"/>
  <c r="O39" i="3"/>
  <c r="P39" i="3"/>
  <c r="Q39" i="3"/>
  <c r="R39" i="3"/>
  <c r="S39" i="3"/>
  <c r="T39" i="3"/>
  <c r="U39" i="3"/>
  <c r="V39" i="3"/>
  <c r="W39" i="3"/>
  <c r="D40" i="3"/>
  <c r="F40" i="3"/>
  <c r="D41" i="3"/>
  <c r="H41" i="3"/>
  <c r="I41" i="3"/>
  <c r="J41" i="3"/>
  <c r="K41" i="3"/>
  <c r="L41" i="3"/>
  <c r="M41" i="3"/>
  <c r="N41" i="3"/>
  <c r="O41" i="3"/>
  <c r="P41" i="3"/>
  <c r="Q41" i="3"/>
  <c r="R41" i="3"/>
  <c r="S41" i="3"/>
  <c r="T41" i="3"/>
  <c r="U41" i="3"/>
  <c r="V41" i="3"/>
  <c r="D42" i="3"/>
  <c r="H42" i="3"/>
  <c r="I42" i="3"/>
  <c r="J42" i="3"/>
  <c r="K42" i="3"/>
  <c r="L42" i="3"/>
  <c r="M42" i="3"/>
  <c r="N42" i="3"/>
  <c r="O42" i="3"/>
  <c r="P42" i="3"/>
  <c r="Q42" i="3"/>
  <c r="R42" i="3"/>
  <c r="S42" i="3"/>
  <c r="T42" i="3"/>
  <c r="U42" i="3"/>
  <c r="V42" i="3"/>
  <c r="D43" i="3"/>
  <c r="H43" i="3"/>
  <c r="I43" i="3"/>
  <c r="J43" i="3"/>
  <c r="K43" i="3"/>
  <c r="L43" i="3"/>
  <c r="M43" i="3"/>
  <c r="N43" i="3"/>
  <c r="O43" i="3"/>
  <c r="P43" i="3"/>
  <c r="Q43" i="3"/>
  <c r="R43" i="3"/>
  <c r="S43" i="3"/>
  <c r="T43" i="3"/>
  <c r="U43" i="3"/>
  <c r="V43" i="3"/>
  <c r="D44" i="3"/>
  <c r="F44" i="3"/>
  <c r="G44" i="3"/>
  <c r="H44" i="3"/>
  <c r="I44" i="3"/>
  <c r="J44" i="3"/>
  <c r="K44" i="3"/>
  <c r="L44" i="3"/>
  <c r="M44" i="3"/>
  <c r="N44" i="3"/>
  <c r="O44" i="3"/>
  <c r="P44" i="3"/>
  <c r="Q44" i="3"/>
  <c r="R44" i="3"/>
  <c r="S44" i="3"/>
  <c r="T44" i="3"/>
  <c r="U44" i="3"/>
  <c r="V44" i="3"/>
  <c r="G49" i="3"/>
  <c r="H49" i="3"/>
  <c r="I49" i="3"/>
  <c r="J49" i="3"/>
  <c r="K49" i="3"/>
  <c r="L49" i="3"/>
  <c r="M49" i="3"/>
  <c r="N49" i="3"/>
  <c r="O49" i="3"/>
  <c r="P49" i="3"/>
  <c r="Q49" i="3"/>
  <c r="R49" i="3"/>
  <c r="S49" i="3"/>
  <c r="T49" i="3"/>
  <c r="U49" i="3"/>
  <c r="V49" i="3"/>
  <c r="D50" i="3"/>
  <c r="F50" i="3"/>
  <c r="D51" i="3"/>
  <c r="H51" i="3"/>
  <c r="I51" i="3"/>
  <c r="J51" i="3"/>
  <c r="K51" i="3"/>
  <c r="L51" i="3"/>
  <c r="M51" i="3"/>
  <c r="N51" i="3"/>
  <c r="O51" i="3"/>
  <c r="P51" i="3"/>
  <c r="Q51" i="3"/>
  <c r="R51" i="3"/>
  <c r="S51" i="3"/>
  <c r="T51" i="3"/>
  <c r="U51" i="3"/>
  <c r="V51" i="3"/>
  <c r="D52" i="3"/>
  <c r="H52" i="3"/>
  <c r="I52" i="3"/>
  <c r="J52" i="3"/>
  <c r="K52" i="3"/>
  <c r="L52" i="3"/>
  <c r="M52" i="3"/>
  <c r="N52" i="3"/>
  <c r="O52" i="3"/>
  <c r="P52" i="3"/>
  <c r="Q52" i="3"/>
  <c r="R52" i="3"/>
  <c r="S52" i="3"/>
  <c r="T52" i="3"/>
  <c r="U52" i="3"/>
  <c r="V52" i="3"/>
  <c r="D53" i="3"/>
  <c r="H53" i="3"/>
  <c r="I53" i="3"/>
  <c r="J53" i="3"/>
  <c r="K53" i="3"/>
  <c r="L53" i="3"/>
  <c r="M53" i="3"/>
  <c r="N53" i="3"/>
  <c r="O53" i="3"/>
  <c r="P53" i="3"/>
  <c r="Q53" i="3"/>
  <c r="R53" i="3"/>
  <c r="S53" i="3"/>
  <c r="T53" i="3"/>
  <c r="U53" i="3"/>
  <c r="V53" i="3"/>
  <c r="D54" i="3"/>
  <c r="F54" i="3"/>
  <c r="G54" i="3"/>
  <c r="H54" i="3"/>
  <c r="I54" i="3"/>
  <c r="J54" i="3"/>
  <c r="K54" i="3"/>
  <c r="L54" i="3"/>
  <c r="M54" i="3"/>
  <c r="N54" i="3"/>
  <c r="O54" i="3"/>
  <c r="P54" i="3"/>
  <c r="Q54" i="3"/>
  <c r="R54" i="3"/>
  <c r="S54" i="3"/>
  <c r="T54" i="3"/>
  <c r="U54" i="3"/>
  <c r="V54" i="3"/>
  <c r="G79" i="3"/>
  <c r="H79" i="3"/>
  <c r="I79" i="3"/>
  <c r="J79" i="3"/>
  <c r="K79" i="3"/>
  <c r="L79" i="3"/>
  <c r="M79" i="3"/>
  <c r="N79" i="3"/>
  <c r="O79" i="3"/>
  <c r="P79" i="3"/>
  <c r="Q79" i="3"/>
  <c r="R79" i="3"/>
  <c r="S79" i="3"/>
  <c r="T79" i="3"/>
  <c r="U79" i="3"/>
  <c r="V79" i="3"/>
  <c r="W79" i="3"/>
  <c r="D80" i="3"/>
  <c r="F80" i="3"/>
  <c r="D81" i="3"/>
  <c r="H81" i="3"/>
  <c r="I81" i="3"/>
  <c r="J81" i="3"/>
  <c r="K81" i="3"/>
  <c r="L81" i="3"/>
  <c r="M81" i="3"/>
  <c r="N81" i="3"/>
  <c r="O81" i="3"/>
  <c r="P81" i="3"/>
  <c r="Q81" i="3"/>
  <c r="R81" i="3"/>
  <c r="S81" i="3"/>
  <c r="T81" i="3"/>
  <c r="U81" i="3"/>
  <c r="V81" i="3"/>
  <c r="D82" i="3"/>
  <c r="H82" i="3"/>
  <c r="I82" i="3"/>
  <c r="J82" i="3"/>
  <c r="K82" i="3"/>
  <c r="L82" i="3"/>
  <c r="M82" i="3"/>
  <c r="N82" i="3"/>
  <c r="O82" i="3"/>
  <c r="P82" i="3"/>
  <c r="Q82" i="3"/>
  <c r="R82" i="3"/>
  <c r="S82" i="3"/>
  <c r="T82" i="3"/>
  <c r="U82" i="3"/>
  <c r="V82" i="3"/>
  <c r="D83" i="3"/>
  <c r="H83" i="3"/>
  <c r="I83" i="3"/>
  <c r="J83" i="3"/>
  <c r="K83" i="3"/>
  <c r="L83" i="3"/>
  <c r="M83" i="3"/>
  <c r="N83" i="3"/>
  <c r="O83" i="3"/>
  <c r="P83" i="3"/>
  <c r="Q83" i="3"/>
  <c r="R83" i="3"/>
  <c r="S83" i="3"/>
  <c r="T83" i="3"/>
  <c r="U83" i="3"/>
  <c r="V83" i="3"/>
  <c r="F84" i="3"/>
  <c r="G84" i="3"/>
  <c r="H84" i="3"/>
  <c r="I84" i="3"/>
  <c r="J84" i="3"/>
  <c r="K84" i="3"/>
  <c r="L84" i="3"/>
  <c r="M84" i="3"/>
  <c r="N84" i="3"/>
  <c r="O84" i="3"/>
  <c r="P84" i="3"/>
  <c r="Q84" i="3"/>
  <c r="R84" i="3"/>
  <c r="S84" i="3"/>
  <c r="T84" i="3"/>
  <c r="U84" i="3"/>
  <c r="V84" i="3"/>
  <c r="G89" i="3"/>
  <c r="H89" i="3"/>
  <c r="I89" i="3"/>
  <c r="J89" i="3"/>
  <c r="K89" i="3"/>
  <c r="L89" i="3"/>
  <c r="M89" i="3"/>
  <c r="N89" i="3"/>
  <c r="O89" i="3"/>
  <c r="P89" i="3"/>
  <c r="Q89" i="3"/>
  <c r="R89" i="3"/>
  <c r="S89" i="3"/>
  <c r="T89" i="3"/>
  <c r="U89" i="3"/>
  <c r="V89" i="3"/>
  <c r="D90" i="3"/>
  <c r="F90" i="3"/>
  <c r="D91" i="3"/>
  <c r="H91" i="3"/>
  <c r="I91" i="3"/>
  <c r="J91" i="3"/>
  <c r="K91" i="3"/>
  <c r="L91" i="3"/>
  <c r="M91" i="3"/>
  <c r="N91" i="3"/>
  <c r="O91" i="3"/>
  <c r="P91" i="3"/>
  <c r="Q91" i="3"/>
  <c r="R91" i="3"/>
  <c r="S91" i="3"/>
  <c r="T91" i="3"/>
  <c r="U91" i="3"/>
  <c r="V91" i="3"/>
  <c r="D92" i="3"/>
  <c r="H92" i="3"/>
  <c r="I92" i="3"/>
  <c r="J92" i="3"/>
  <c r="K92" i="3"/>
  <c r="L92" i="3"/>
  <c r="M92" i="3"/>
  <c r="N92" i="3"/>
  <c r="O92" i="3"/>
  <c r="P92" i="3"/>
  <c r="Q92" i="3"/>
  <c r="R92" i="3"/>
  <c r="S92" i="3"/>
  <c r="T92" i="3"/>
  <c r="U92" i="3"/>
  <c r="V92" i="3"/>
  <c r="D93" i="3"/>
  <c r="H93" i="3"/>
  <c r="I93" i="3"/>
  <c r="J93" i="3"/>
  <c r="K93" i="3"/>
  <c r="L93" i="3"/>
  <c r="M93" i="3"/>
  <c r="N93" i="3"/>
  <c r="O93" i="3"/>
  <c r="P93" i="3"/>
  <c r="Q93" i="3"/>
  <c r="R93" i="3"/>
  <c r="S93" i="3"/>
  <c r="T93" i="3"/>
  <c r="U93" i="3"/>
  <c r="V93" i="3"/>
  <c r="F94" i="3"/>
  <c r="G94" i="3"/>
  <c r="H94" i="3"/>
  <c r="I94" i="3"/>
  <c r="J94" i="3"/>
  <c r="K94" i="3"/>
  <c r="L94" i="3"/>
  <c r="M94" i="3"/>
  <c r="N94" i="3"/>
  <c r="O94" i="3"/>
  <c r="P94" i="3"/>
  <c r="Q94" i="3"/>
  <c r="R94" i="3"/>
  <c r="S94" i="3"/>
  <c r="T94" i="3"/>
  <c r="U94" i="3"/>
  <c r="V94" i="3"/>
  <c r="D2" i="4"/>
  <c r="D4" i="4"/>
  <c r="F26" i="4"/>
  <c r="H26" i="4"/>
  <c r="I26" i="4"/>
  <c r="J26" i="4"/>
  <c r="K26" i="4"/>
  <c r="L26" i="4"/>
  <c r="M26" i="4"/>
  <c r="N26" i="4"/>
  <c r="O26" i="4"/>
  <c r="P26" i="4"/>
  <c r="Q26" i="4"/>
  <c r="R26" i="4"/>
  <c r="S26" i="4"/>
  <c r="T26" i="4"/>
  <c r="U26" i="4"/>
  <c r="V26" i="4"/>
  <c r="W26" i="4"/>
  <c r="X26" i="4"/>
  <c r="Y26" i="4"/>
  <c r="Z26" i="4"/>
  <c r="AA26" i="4"/>
  <c r="D27" i="4"/>
  <c r="H27" i="4"/>
  <c r="I27" i="4"/>
  <c r="J27" i="4"/>
  <c r="K27" i="4"/>
  <c r="L27" i="4"/>
  <c r="M27" i="4"/>
  <c r="N27" i="4"/>
  <c r="O27" i="4"/>
  <c r="P27" i="4"/>
  <c r="Q27" i="4"/>
  <c r="R27" i="4"/>
  <c r="S27" i="4"/>
  <c r="T27" i="4"/>
  <c r="U27" i="4"/>
  <c r="V27" i="4"/>
  <c r="D38" i="4"/>
  <c r="H38" i="4"/>
  <c r="I38" i="4"/>
  <c r="J38" i="4"/>
  <c r="K38" i="4"/>
  <c r="L38" i="4"/>
  <c r="M38" i="4"/>
  <c r="N38" i="4"/>
  <c r="O38" i="4"/>
  <c r="P38" i="4"/>
  <c r="Q38" i="4"/>
  <c r="R38" i="4"/>
  <c r="S38" i="4"/>
  <c r="T38" i="4"/>
  <c r="U38" i="4"/>
  <c r="V38" i="4"/>
  <c r="D44" i="4"/>
  <c r="D46" i="4"/>
  <c r="F54" i="4"/>
  <c r="H54" i="4"/>
  <c r="I54" i="4"/>
  <c r="J54" i="4"/>
  <c r="K54" i="4"/>
  <c r="L54" i="4"/>
  <c r="M54" i="4"/>
  <c r="N54" i="4"/>
  <c r="O54" i="4"/>
  <c r="P54" i="4"/>
  <c r="Q54" i="4"/>
  <c r="R54" i="4"/>
  <c r="S54" i="4"/>
  <c r="T54" i="4"/>
  <c r="U54" i="4"/>
  <c r="V54" i="4"/>
  <c r="W54" i="4"/>
  <c r="X54" i="4"/>
  <c r="Y54" i="4"/>
  <c r="Z54" i="4"/>
  <c r="AA54" i="4"/>
  <c r="D55" i="4"/>
  <c r="H55" i="4"/>
  <c r="I55" i="4"/>
  <c r="J55" i="4"/>
  <c r="K55" i="4"/>
  <c r="L55" i="4"/>
  <c r="M55" i="4"/>
  <c r="N55" i="4"/>
  <c r="O55" i="4"/>
  <c r="P55" i="4"/>
  <c r="Q55" i="4"/>
  <c r="R55" i="4"/>
  <c r="S55" i="4"/>
  <c r="T55" i="4"/>
  <c r="U55" i="4"/>
  <c r="V55" i="4"/>
  <c r="D66" i="4"/>
  <c r="H66" i="4"/>
  <c r="I66" i="4"/>
  <c r="J66" i="4"/>
  <c r="K66" i="4"/>
  <c r="L66" i="4"/>
  <c r="M66" i="4"/>
  <c r="N66" i="4"/>
  <c r="O66" i="4"/>
  <c r="P66" i="4"/>
  <c r="Q66" i="4"/>
  <c r="R66" i="4"/>
  <c r="S66" i="4"/>
  <c r="T66" i="4"/>
  <c r="U66" i="4"/>
  <c r="V66" i="4"/>
  <c r="D5" i="6"/>
  <c r="H5" i="6"/>
  <c r="I5" i="6"/>
  <c r="J5" i="6"/>
  <c r="K5" i="6"/>
  <c r="L5" i="6"/>
  <c r="M5" i="6"/>
  <c r="N5" i="6"/>
  <c r="O5" i="6"/>
  <c r="P5" i="6"/>
  <c r="Q5" i="6"/>
  <c r="R5" i="6"/>
  <c r="S5" i="6"/>
  <c r="T5" i="6"/>
  <c r="U5" i="6"/>
  <c r="V5" i="6"/>
  <c r="W5" i="6"/>
  <c r="X5" i="6"/>
  <c r="Y5" i="6"/>
  <c r="Z5" i="6"/>
  <c r="AA5" i="6"/>
  <c r="D6" i="6"/>
  <c r="H6" i="6"/>
  <c r="I6" i="6"/>
  <c r="J6" i="6"/>
  <c r="K6" i="6"/>
  <c r="L6" i="6"/>
  <c r="M6" i="6"/>
  <c r="N6" i="6"/>
  <c r="O6" i="6"/>
  <c r="P6" i="6"/>
  <c r="Q6" i="6"/>
  <c r="R6" i="6"/>
  <c r="S6" i="6"/>
  <c r="T6" i="6"/>
  <c r="U6" i="6"/>
  <c r="V6" i="6"/>
  <c r="D11" i="6"/>
  <c r="H11" i="6"/>
  <c r="I11" i="6"/>
  <c r="J11" i="6"/>
  <c r="K11" i="6"/>
  <c r="L11" i="6"/>
  <c r="M11" i="6"/>
  <c r="N11" i="6"/>
  <c r="O11" i="6"/>
  <c r="P11" i="6"/>
  <c r="Q11" i="6"/>
  <c r="R11" i="6"/>
  <c r="S11" i="6"/>
  <c r="T11" i="6"/>
  <c r="U11" i="6"/>
  <c r="V11" i="6"/>
  <c r="D16" i="6"/>
  <c r="H16" i="6"/>
  <c r="I16" i="6"/>
  <c r="J16" i="6"/>
  <c r="K16" i="6"/>
  <c r="L16" i="6"/>
  <c r="M16" i="6"/>
  <c r="N16" i="6"/>
  <c r="O16" i="6"/>
  <c r="P16" i="6"/>
  <c r="Q16" i="6"/>
  <c r="R16" i="6"/>
  <c r="S16" i="6"/>
  <c r="T16" i="6"/>
  <c r="U16" i="6"/>
  <c r="V16" i="6"/>
  <c r="W16" i="6"/>
  <c r="X16" i="6"/>
  <c r="Y16" i="6"/>
  <c r="Z16" i="6"/>
  <c r="AA16" i="6"/>
  <c r="D17" i="6"/>
  <c r="H17" i="6"/>
  <c r="I17" i="6"/>
  <c r="J17" i="6"/>
  <c r="K17" i="6"/>
  <c r="L17" i="6"/>
  <c r="M17" i="6"/>
  <c r="N17" i="6"/>
  <c r="O17" i="6"/>
  <c r="P17" i="6"/>
  <c r="Q17" i="6"/>
  <c r="R17" i="6"/>
  <c r="S17" i="6"/>
  <c r="T17" i="6"/>
  <c r="U17" i="6"/>
  <c r="V17" i="6"/>
  <c r="W17" i="6"/>
  <c r="X17" i="6"/>
  <c r="Y17" i="6"/>
  <c r="Z17" i="6"/>
  <c r="AA17" i="6"/>
  <c r="D18" i="6"/>
  <c r="AA18" i="6"/>
  <c r="D20" i="6"/>
  <c r="H20" i="6"/>
  <c r="I20" i="6"/>
  <c r="J20" i="6"/>
  <c r="K20" i="6"/>
  <c r="L20" i="6"/>
  <c r="M20" i="6"/>
  <c r="N20" i="6"/>
  <c r="O20" i="6"/>
  <c r="P20" i="6"/>
  <c r="Q20" i="6"/>
  <c r="R20" i="6"/>
  <c r="S20" i="6"/>
  <c r="T20" i="6"/>
  <c r="U20" i="6"/>
  <c r="V20" i="6"/>
  <c r="D21" i="6"/>
  <c r="H21" i="6"/>
  <c r="I21" i="6"/>
  <c r="J21" i="6"/>
  <c r="K21" i="6"/>
  <c r="L21" i="6"/>
  <c r="M21" i="6"/>
  <c r="N21" i="6"/>
  <c r="O21" i="6"/>
  <c r="P21" i="6"/>
  <c r="Q21" i="6"/>
  <c r="R21" i="6"/>
  <c r="S21" i="6"/>
  <c r="T21" i="6"/>
  <c r="U21" i="6"/>
  <c r="V21" i="6"/>
  <c r="D29" i="6"/>
  <c r="H29" i="6"/>
  <c r="I29" i="6"/>
  <c r="J29" i="6"/>
  <c r="K29" i="6"/>
  <c r="L29" i="6"/>
  <c r="M29" i="6"/>
  <c r="N29" i="6"/>
  <c r="O29" i="6"/>
  <c r="P29" i="6"/>
  <c r="Q29" i="6"/>
  <c r="R29" i="6"/>
  <c r="S29" i="6"/>
  <c r="T29" i="6"/>
  <c r="U29" i="6"/>
  <c r="V29" i="6"/>
  <c r="W29" i="6"/>
  <c r="X29" i="6"/>
  <c r="Y29" i="6"/>
  <c r="Z29" i="6"/>
  <c r="AA29" i="6"/>
  <c r="D30" i="6"/>
  <c r="H30" i="6"/>
  <c r="I30" i="6"/>
  <c r="J30" i="6"/>
  <c r="K30" i="6"/>
  <c r="L30" i="6"/>
  <c r="M30" i="6"/>
  <c r="N30" i="6"/>
  <c r="O30" i="6"/>
  <c r="P30" i="6"/>
  <c r="Q30" i="6"/>
  <c r="R30" i="6"/>
  <c r="S30" i="6"/>
  <c r="T30" i="6"/>
  <c r="U30" i="6"/>
  <c r="V30" i="6"/>
  <c r="D35" i="6"/>
  <c r="H35" i="6"/>
  <c r="I35" i="6"/>
  <c r="J35" i="6"/>
  <c r="K35" i="6"/>
  <c r="L35" i="6"/>
  <c r="M35" i="6"/>
  <c r="N35" i="6"/>
  <c r="O35" i="6"/>
  <c r="P35" i="6"/>
  <c r="Q35" i="6"/>
  <c r="R35" i="6"/>
  <c r="S35" i="6"/>
  <c r="T35" i="6"/>
  <c r="U35" i="6"/>
  <c r="V35" i="6"/>
  <c r="D40" i="6"/>
  <c r="H40" i="6"/>
  <c r="I40" i="6"/>
  <c r="J40" i="6"/>
  <c r="K40" i="6"/>
  <c r="L40" i="6"/>
  <c r="M40" i="6"/>
  <c r="N40" i="6"/>
  <c r="O40" i="6"/>
  <c r="P40" i="6"/>
  <c r="Q40" i="6"/>
  <c r="R40" i="6"/>
  <c r="S40" i="6"/>
  <c r="T40" i="6"/>
  <c r="U40" i="6"/>
  <c r="V40" i="6"/>
  <c r="W40" i="6"/>
  <c r="X40" i="6"/>
  <c r="Y40" i="6"/>
  <c r="Z40" i="6"/>
  <c r="AA40" i="6"/>
  <c r="D41" i="6"/>
  <c r="H41" i="6"/>
  <c r="I41" i="6"/>
  <c r="J41" i="6"/>
  <c r="K41" i="6"/>
  <c r="L41" i="6"/>
  <c r="M41" i="6"/>
  <c r="N41" i="6"/>
  <c r="O41" i="6"/>
  <c r="P41" i="6"/>
  <c r="Q41" i="6"/>
  <c r="R41" i="6"/>
  <c r="S41" i="6"/>
  <c r="T41" i="6"/>
  <c r="U41" i="6"/>
  <c r="V41" i="6"/>
  <c r="W41" i="6"/>
  <c r="X41" i="6"/>
  <c r="Y41" i="6"/>
  <c r="Z41" i="6"/>
  <c r="AA41" i="6"/>
  <c r="D42" i="6"/>
  <c r="AA42" i="6"/>
  <c r="D48" i="6"/>
  <c r="H48" i="6"/>
  <c r="I48" i="6"/>
  <c r="J48" i="6"/>
  <c r="K48" i="6"/>
  <c r="L48" i="6"/>
  <c r="M48" i="6"/>
  <c r="N48" i="6"/>
  <c r="O48" i="6"/>
  <c r="P48" i="6"/>
  <c r="Q48" i="6"/>
  <c r="R48" i="6"/>
  <c r="S48" i="6"/>
  <c r="T48" i="6"/>
  <c r="U48" i="6"/>
  <c r="V48" i="6"/>
  <c r="W48" i="6"/>
  <c r="X48" i="6"/>
  <c r="Y48" i="6"/>
  <c r="Z48" i="6"/>
  <c r="AA48" i="6"/>
  <c r="D58" i="6"/>
  <c r="H58" i="6"/>
  <c r="I58" i="6"/>
  <c r="J58" i="6"/>
  <c r="K58" i="6"/>
  <c r="L58" i="6"/>
  <c r="M58" i="6"/>
  <c r="N58" i="6"/>
  <c r="O58" i="6"/>
  <c r="P58" i="6"/>
  <c r="Q58" i="6"/>
  <c r="R58" i="6"/>
  <c r="S58" i="6"/>
  <c r="T58" i="6"/>
  <c r="U58" i="6"/>
  <c r="V58" i="6"/>
  <c r="W58" i="6"/>
  <c r="X58" i="6"/>
  <c r="Y58" i="6"/>
  <c r="Z58" i="6"/>
  <c r="AA58" i="6"/>
  <c r="D59" i="6"/>
  <c r="H59" i="6"/>
  <c r="I59" i="6"/>
  <c r="J59" i="6"/>
  <c r="K59" i="6"/>
  <c r="L59" i="6"/>
  <c r="M59" i="6"/>
  <c r="N59" i="6"/>
  <c r="O59" i="6"/>
  <c r="P59" i="6"/>
  <c r="Q59" i="6"/>
  <c r="R59" i="6"/>
  <c r="S59" i="6"/>
  <c r="T59" i="6"/>
  <c r="U59" i="6"/>
  <c r="V59" i="6"/>
  <c r="W59" i="6"/>
  <c r="X59" i="6"/>
  <c r="Y59" i="6"/>
  <c r="Z59" i="6"/>
  <c r="AA59" i="6"/>
  <c r="D60" i="6"/>
  <c r="AA60" i="6"/>
  <c r="D17" i="7"/>
  <c r="H17" i="7"/>
  <c r="I17" i="7"/>
  <c r="J17" i="7"/>
  <c r="K17" i="7"/>
  <c r="L17" i="7"/>
  <c r="M17" i="7"/>
  <c r="N17" i="7"/>
  <c r="O17" i="7"/>
  <c r="P17" i="7"/>
  <c r="Q17" i="7"/>
  <c r="R17" i="7"/>
  <c r="S17" i="7"/>
  <c r="T17" i="7"/>
  <c r="U17" i="7"/>
  <c r="V17" i="7"/>
  <c r="W17" i="7"/>
  <c r="X17" i="7"/>
  <c r="Y17" i="7"/>
  <c r="Z17" i="7"/>
  <c r="AA17" i="7"/>
  <c r="D19" i="7"/>
  <c r="H19" i="7"/>
  <c r="I19" i="7"/>
  <c r="J19" i="7"/>
  <c r="K19" i="7"/>
  <c r="L19" i="7"/>
  <c r="M19" i="7"/>
  <c r="N19" i="7"/>
  <c r="O19" i="7"/>
  <c r="P19" i="7"/>
  <c r="Q19" i="7"/>
  <c r="R19" i="7"/>
  <c r="S19" i="7"/>
  <c r="T19" i="7"/>
  <c r="U19" i="7"/>
  <c r="V19" i="7"/>
  <c r="W19" i="7"/>
  <c r="X19" i="7"/>
  <c r="Y19" i="7"/>
  <c r="Z19" i="7"/>
  <c r="AA19" i="7"/>
  <c r="D22" i="7"/>
  <c r="H22" i="7"/>
  <c r="I22" i="7"/>
  <c r="J22" i="7"/>
  <c r="K22" i="7"/>
  <c r="L22" i="7"/>
  <c r="M22" i="7"/>
  <c r="N22" i="7"/>
  <c r="O22" i="7"/>
  <c r="P22" i="7"/>
  <c r="Q22" i="7"/>
  <c r="R22" i="7"/>
  <c r="S22" i="7"/>
  <c r="T22" i="7"/>
  <c r="U22" i="7"/>
  <c r="V22" i="7"/>
  <c r="W22" i="7"/>
  <c r="X22" i="7"/>
  <c r="Y22" i="7"/>
  <c r="Z22" i="7"/>
  <c r="AA22" i="7"/>
  <c r="D26" i="7"/>
  <c r="H26" i="7"/>
  <c r="I26" i="7"/>
  <c r="J26" i="7"/>
  <c r="K26" i="7"/>
  <c r="L26" i="7"/>
  <c r="M26" i="7"/>
  <c r="N26" i="7"/>
  <c r="O26" i="7"/>
  <c r="P26" i="7"/>
  <c r="Q26" i="7"/>
  <c r="R26" i="7"/>
  <c r="S26" i="7"/>
  <c r="T26" i="7"/>
  <c r="U26" i="7"/>
  <c r="V26" i="7"/>
  <c r="W26" i="7"/>
  <c r="X26" i="7"/>
  <c r="Y26" i="7"/>
  <c r="Z26" i="7"/>
  <c r="AA26" i="7"/>
  <c r="D28" i="7"/>
  <c r="H28" i="7"/>
  <c r="I28" i="7"/>
  <c r="J28" i="7"/>
  <c r="K28" i="7"/>
  <c r="L28" i="7"/>
  <c r="M28" i="7"/>
  <c r="N28" i="7"/>
  <c r="O28" i="7"/>
  <c r="P28" i="7"/>
  <c r="Q28" i="7"/>
  <c r="R28" i="7"/>
  <c r="S28" i="7"/>
  <c r="T28" i="7"/>
  <c r="U28" i="7"/>
  <c r="V28" i="7"/>
  <c r="W28" i="7"/>
  <c r="X28" i="7"/>
  <c r="Y28" i="7"/>
  <c r="Z28" i="7"/>
  <c r="AA28" i="7"/>
  <c r="D38" i="7"/>
  <c r="H38" i="7"/>
  <c r="I38" i="7"/>
  <c r="J38" i="7"/>
  <c r="K38" i="7"/>
  <c r="L38" i="7"/>
  <c r="M38" i="7"/>
  <c r="N38" i="7"/>
  <c r="O38" i="7"/>
  <c r="P38" i="7"/>
  <c r="Q38" i="7"/>
  <c r="R38" i="7"/>
  <c r="S38" i="7"/>
  <c r="T38" i="7"/>
  <c r="U38" i="7"/>
  <c r="V38" i="7"/>
  <c r="W38" i="7"/>
  <c r="X38" i="7"/>
  <c r="Y38" i="7"/>
  <c r="Z38" i="7"/>
  <c r="AA38" i="7"/>
  <c r="D39" i="7"/>
  <c r="H39" i="7"/>
  <c r="I39" i="7"/>
  <c r="J39" i="7"/>
  <c r="K39" i="7"/>
  <c r="L39" i="7"/>
  <c r="M39" i="7"/>
  <c r="N39" i="7"/>
  <c r="O39" i="7"/>
  <c r="P39" i="7"/>
  <c r="Q39" i="7"/>
  <c r="R39" i="7"/>
  <c r="S39" i="7"/>
  <c r="T39" i="7"/>
  <c r="U39" i="7"/>
  <c r="V39" i="7"/>
  <c r="W39" i="7"/>
  <c r="X39" i="7"/>
  <c r="Y39" i="7"/>
  <c r="Z39" i="7"/>
  <c r="AA39" i="7"/>
  <c r="D40" i="7"/>
  <c r="AA40" i="7"/>
  <c r="D44" i="7"/>
  <c r="H44" i="7"/>
  <c r="I44" i="7"/>
  <c r="J44" i="7"/>
  <c r="K44" i="7"/>
  <c r="L44" i="7"/>
  <c r="M44" i="7"/>
  <c r="N44" i="7"/>
  <c r="O44" i="7"/>
  <c r="P44" i="7"/>
  <c r="Q44" i="7"/>
  <c r="R44" i="7"/>
  <c r="S44" i="7"/>
  <c r="T44" i="7"/>
  <c r="U44" i="7"/>
  <c r="V44" i="7"/>
  <c r="W44" i="7"/>
  <c r="X44" i="7"/>
  <c r="Y44" i="7"/>
  <c r="Z44" i="7"/>
  <c r="AA44" i="7"/>
  <c r="H45" i="7"/>
  <c r="I45" i="7"/>
  <c r="J45" i="7"/>
  <c r="K45" i="7"/>
  <c r="L45" i="7"/>
  <c r="M45" i="7"/>
  <c r="N45" i="7"/>
  <c r="O45" i="7"/>
  <c r="P45" i="7"/>
  <c r="Q45" i="7"/>
  <c r="R45" i="7"/>
  <c r="S45" i="7"/>
  <c r="T45" i="7"/>
  <c r="U45" i="7"/>
  <c r="V45" i="7"/>
  <c r="W45" i="7"/>
  <c r="X45" i="7"/>
  <c r="Y45" i="7"/>
  <c r="Z45" i="7"/>
  <c r="AA45" i="7"/>
  <c r="D46" i="7"/>
  <c r="H46" i="7"/>
  <c r="I46" i="7"/>
  <c r="J46" i="7"/>
  <c r="K46" i="7"/>
  <c r="L46" i="7"/>
  <c r="M46" i="7"/>
  <c r="N46" i="7"/>
  <c r="O46" i="7"/>
  <c r="P46" i="7"/>
  <c r="Q46" i="7"/>
  <c r="R46" i="7"/>
  <c r="S46" i="7"/>
  <c r="T46" i="7"/>
  <c r="U46" i="7"/>
  <c r="V46" i="7"/>
  <c r="W46" i="7"/>
  <c r="X46" i="7"/>
  <c r="Y46" i="7"/>
  <c r="Z46" i="7"/>
  <c r="AA46" i="7"/>
  <c r="D47" i="7"/>
  <c r="H47" i="7"/>
  <c r="I47" i="7"/>
  <c r="J47" i="7"/>
  <c r="K47" i="7"/>
  <c r="L47" i="7"/>
  <c r="M47" i="7"/>
  <c r="N47" i="7"/>
  <c r="O47" i="7"/>
  <c r="P47" i="7"/>
  <c r="Q47" i="7"/>
  <c r="R47" i="7"/>
  <c r="S47" i="7"/>
  <c r="T47" i="7"/>
  <c r="U47" i="7"/>
  <c r="V47" i="7"/>
  <c r="W47" i="7"/>
  <c r="X47" i="7"/>
  <c r="Y47" i="7"/>
  <c r="Z47" i="7"/>
  <c r="AA47" i="7"/>
  <c r="D48" i="7"/>
  <c r="H48" i="7"/>
  <c r="I48" i="7"/>
  <c r="J48" i="7"/>
  <c r="K48" i="7"/>
  <c r="L48" i="7"/>
  <c r="M48" i="7"/>
  <c r="N48" i="7"/>
  <c r="O48" i="7"/>
  <c r="P48" i="7"/>
  <c r="Q48" i="7"/>
  <c r="R48" i="7"/>
  <c r="S48" i="7"/>
  <c r="T48" i="7"/>
  <c r="U48" i="7"/>
  <c r="V48" i="7"/>
  <c r="W48" i="7"/>
  <c r="X48" i="7"/>
  <c r="Y48" i="7"/>
  <c r="Z48" i="7"/>
  <c r="AA48" i="7"/>
  <c r="D49" i="7"/>
  <c r="H49" i="7"/>
  <c r="I49" i="7"/>
  <c r="J49" i="7"/>
  <c r="K49" i="7"/>
  <c r="L49" i="7"/>
  <c r="M49" i="7"/>
  <c r="N49" i="7"/>
  <c r="O49" i="7"/>
  <c r="P49" i="7"/>
  <c r="Q49" i="7"/>
  <c r="R49" i="7"/>
  <c r="S49" i="7"/>
  <c r="T49" i="7"/>
  <c r="U49" i="7"/>
  <c r="V49" i="7"/>
  <c r="W49" i="7"/>
  <c r="X49" i="7"/>
  <c r="Y49" i="7"/>
  <c r="Z49" i="7"/>
  <c r="AA49" i="7"/>
  <c r="D8" i="8"/>
  <c r="H8" i="8"/>
  <c r="I8" i="8"/>
  <c r="J8" i="8"/>
  <c r="K8" i="8"/>
  <c r="L8" i="8"/>
  <c r="M8" i="8"/>
  <c r="N8" i="8"/>
  <c r="O8" i="8"/>
  <c r="P8" i="8"/>
  <c r="Q8" i="8"/>
  <c r="R8" i="8"/>
  <c r="S8" i="8"/>
  <c r="T8" i="8"/>
  <c r="U8" i="8"/>
  <c r="V8" i="8"/>
  <c r="W8" i="8"/>
  <c r="X8" i="8"/>
  <c r="Y8" i="8"/>
  <c r="Z8" i="8"/>
  <c r="AA8" i="8"/>
  <c r="D9" i="8"/>
  <c r="H9" i="8"/>
  <c r="I9" i="8"/>
  <c r="J9" i="8"/>
  <c r="K9" i="8"/>
  <c r="L9" i="8"/>
  <c r="M9" i="8"/>
  <c r="N9" i="8"/>
  <c r="O9" i="8"/>
  <c r="P9" i="8"/>
  <c r="Q9" i="8"/>
  <c r="R9" i="8"/>
  <c r="S9" i="8"/>
  <c r="T9" i="8"/>
  <c r="U9" i="8"/>
  <c r="V9" i="8"/>
  <c r="W9" i="8"/>
  <c r="X9" i="8"/>
  <c r="Y9" i="8"/>
  <c r="Z9" i="8"/>
  <c r="AA9" i="8"/>
  <c r="D10" i="8"/>
  <c r="H10" i="8"/>
  <c r="I10" i="8"/>
  <c r="J10" i="8"/>
  <c r="K10" i="8"/>
  <c r="L10" i="8"/>
  <c r="M10" i="8"/>
  <c r="N10" i="8"/>
  <c r="O10" i="8"/>
  <c r="P10" i="8"/>
  <c r="Q10" i="8"/>
  <c r="R10" i="8"/>
  <c r="S10" i="8"/>
  <c r="T10" i="8"/>
  <c r="U10" i="8"/>
  <c r="V10" i="8"/>
  <c r="W10" i="8"/>
  <c r="X10" i="8"/>
  <c r="Y10" i="8"/>
  <c r="Z10" i="8"/>
  <c r="AA10" i="8"/>
  <c r="D12" i="8"/>
  <c r="H12" i="8"/>
  <c r="I12" i="8"/>
  <c r="J12" i="8"/>
  <c r="K12" i="8"/>
  <c r="L12" i="8"/>
  <c r="M12" i="8"/>
  <c r="N12" i="8"/>
  <c r="O12" i="8"/>
  <c r="P12" i="8"/>
  <c r="Q12" i="8"/>
  <c r="R12" i="8"/>
  <c r="S12" i="8"/>
  <c r="T12" i="8"/>
  <c r="U12" i="8"/>
  <c r="V12" i="8"/>
  <c r="W12" i="8"/>
  <c r="X12" i="8"/>
  <c r="Y12" i="8"/>
  <c r="Z12" i="8"/>
  <c r="AA12" i="8"/>
  <c r="D14" i="8"/>
  <c r="H14" i="8"/>
  <c r="I14" i="8"/>
  <c r="J14" i="8"/>
  <c r="K14" i="8"/>
  <c r="L14" i="8"/>
  <c r="M14" i="8"/>
  <c r="N14" i="8"/>
  <c r="O14" i="8"/>
  <c r="P14" i="8"/>
  <c r="Q14" i="8"/>
  <c r="R14" i="8"/>
  <c r="S14" i="8"/>
  <c r="T14" i="8"/>
  <c r="U14" i="8"/>
  <c r="V14" i="8"/>
  <c r="W14" i="8"/>
  <c r="X14" i="8"/>
  <c r="Y14" i="8"/>
  <c r="Z14" i="8"/>
  <c r="AA14" i="8"/>
  <c r="D15" i="8"/>
  <c r="I15" i="8"/>
  <c r="J15" i="8"/>
  <c r="K15" i="8"/>
  <c r="L15" i="8"/>
  <c r="M15" i="8"/>
  <c r="N15" i="8"/>
  <c r="O15" i="8"/>
  <c r="P15" i="8"/>
  <c r="Q15" i="8"/>
  <c r="R15" i="8"/>
  <c r="S15" i="8"/>
  <c r="T15" i="8"/>
  <c r="U15" i="8"/>
  <c r="V15" i="8"/>
  <c r="W15" i="8"/>
  <c r="X15" i="8"/>
  <c r="Y15" i="8"/>
  <c r="Z15" i="8"/>
  <c r="AA15" i="8"/>
  <c r="I16" i="8"/>
  <c r="J16" i="8"/>
  <c r="K16" i="8"/>
  <c r="L16" i="8"/>
  <c r="M16" i="8"/>
  <c r="N16" i="8"/>
  <c r="O16" i="8"/>
  <c r="P16" i="8"/>
  <c r="Q16" i="8"/>
  <c r="R16" i="8"/>
  <c r="S16" i="8"/>
  <c r="T16" i="8"/>
  <c r="U16" i="8"/>
  <c r="V16" i="8"/>
  <c r="W16" i="8"/>
  <c r="X16" i="8"/>
  <c r="Y16" i="8"/>
  <c r="Z16" i="8"/>
  <c r="AA16" i="8"/>
  <c r="J17" i="8"/>
  <c r="K17" i="8"/>
  <c r="L17" i="8"/>
  <c r="M17" i="8"/>
  <c r="N17" i="8"/>
  <c r="O17" i="8"/>
  <c r="P17" i="8"/>
  <c r="Q17" i="8"/>
  <c r="R17" i="8"/>
  <c r="S17" i="8"/>
  <c r="T17" i="8"/>
  <c r="U17" i="8"/>
  <c r="V17" i="8"/>
  <c r="W17" i="8"/>
  <c r="X17" i="8"/>
  <c r="Y17" i="8"/>
  <c r="Z17" i="8"/>
  <c r="AA17" i="8"/>
  <c r="K18" i="8"/>
  <c r="L18" i="8"/>
  <c r="M18" i="8"/>
  <c r="N18" i="8"/>
  <c r="O18" i="8"/>
  <c r="P18" i="8"/>
  <c r="Q18" i="8"/>
  <c r="R18" i="8"/>
  <c r="S18" i="8"/>
  <c r="T18" i="8"/>
  <c r="U18" i="8"/>
  <c r="V18" i="8"/>
  <c r="W18" i="8"/>
  <c r="X18" i="8"/>
  <c r="Y18" i="8"/>
  <c r="Z18" i="8"/>
  <c r="AA18" i="8"/>
  <c r="L19" i="8"/>
  <c r="M19" i="8"/>
  <c r="N19" i="8"/>
  <c r="O19" i="8"/>
  <c r="P19" i="8"/>
  <c r="Q19" i="8"/>
  <c r="R19" i="8"/>
  <c r="S19" i="8"/>
  <c r="T19" i="8"/>
  <c r="U19" i="8"/>
  <c r="V19" i="8"/>
  <c r="W19" i="8"/>
  <c r="X19" i="8"/>
  <c r="Y19" i="8"/>
  <c r="Z19" i="8"/>
  <c r="AA19" i="8"/>
  <c r="M20" i="8"/>
  <c r="N20" i="8"/>
  <c r="O20" i="8"/>
  <c r="P20" i="8"/>
  <c r="Q20" i="8"/>
  <c r="R20" i="8"/>
  <c r="S20" i="8"/>
  <c r="T20" i="8"/>
  <c r="U20" i="8"/>
  <c r="V20" i="8"/>
  <c r="W20" i="8"/>
  <c r="X20" i="8"/>
  <c r="Y20" i="8"/>
  <c r="Z20" i="8"/>
  <c r="AA20" i="8"/>
  <c r="D21" i="8"/>
  <c r="H21" i="8"/>
  <c r="I21" i="8"/>
  <c r="J21" i="8"/>
  <c r="K21" i="8"/>
  <c r="L21" i="8"/>
  <c r="M21" i="8"/>
  <c r="N21" i="8"/>
  <c r="O21" i="8"/>
  <c r="P21" i="8"/>
  <c r="Q21" i="8"/>
  <c r="R21" i="8"/>
  <c r="S21" i="8"/>
  <c r="T21" i="8"/>
  <c r="U21" i="8"/>
  <c r="V21" i="8"/>
  <c r="W21" i="8"/>
  <c r="X21" i="8"/>
  <c r="Y21" i="8"/>
  <c r="Z21" i="8"/>
  <c r="AA21" i="8"/>
  <c r="D22" i="8"/>
  <c r="K22" i="8"/>
  <c r="L22" i="8"/>
  <c r="M22" i="8"/>
  <c r="N22" i="8"/>
  <c r="O22" i="8"/>
  <c r="P22" i="8"/>
  <c r="Q22" i="8"/>
  <c r="R22" i="8"/>
  <c r="S22" i="8"/>
  <c r="T22" i="8"/>
  <c r="U22" i="8"/>
  <c r="V22" i="8"/>
  <c r="W22" i="8"/>
  <c r="X22" i="8"/>
  <c r="Y22" i="8"/>
  <c r="Z22" i="8"/>
  <c r="AA22" i="8"/>
  <c r="D23" i="8"/>
  <c r="H23" i="8"/>
  <c r="I23" i="8"/>
  <c r="J23" i="8"/>
  <c r="K23" i="8"/>
  <c r="L23" i="8"/>
  <c r="M23" i="8"/>
  <c r="N23" i="8"/>
  <c r="O23" i="8"/>
  <c r="P23" i="8"/>
  <c r="Q23" i="8"/>
  <c r="R23" i="8"/>
  <c r="S23" i="8"/>
  <c r="T23" i="8"/>
  <c r="U23" i="8"/>
  <c r="V23" i="8"/>
  <c r="W23" i="8"/>
  <c r="X23" i="8"/>
  <c r="Y23" i="8"/>
  <c r="Z23" i="8"/>
  <c r="AA23" i="8"/>
  <c r="I24" i="8"/>
  <c r="J24" i="8"/>
  <c r="K24" i="8"/>
  <c r="L24" i="8"/>
  <c r="M24" i="8"/>
  <c r="N24" i="8"/>
  <c r="O24" i="8"/>
  <c r="P24" i="8"/>
  <c r="Q24" i="8"/>
  <c r="R24" i="8"/>
  <c r="S24" i="8"/>
  <c r="T24" i="8"/>
  <c r="U24" i="8"/>
  <c r="V24" i="8"/>
  <c r="W24" i="8"/>
  <c r="X24" i="8"/>
  <c r="Y24" i="8"/>
  <c r="Z24" i="8"/>
  <c r="AA24" i="8"/>
  <c r="D25" i="8"/>
  <c r="H25" i="8"/>
  <c r="I25" i="8"/>
  <c r="J25" i="8"/>
  <c r="K25" i="8"/>
  <c r="L25" i="8"/>
  <c r="M25" i="8"/>
  <c r="N25" i="8"/>
  <c r="O25" i="8"/>
  <c r="P25" i="8"/>
  <c r="Q25" i="8"/>
  <c r="R25" i="8"/>
  <c r="S25" i="8"/>
  <c r="T25" i="8"/>
  <c r="U25" i="8"/>
  <c r="V25" i="8"/>
  <c r="W25" i="8"/>
  <c r="X25" i="8"/>
  <c r="Y25" i="8"/>
  <c r="Z25" i="8"/>
  <c r="AA25" i="8"/>
  <c r="D26" i="8"/>
  <c r="H26" i="8"/>
  <c r="I26" i="8"/>
  <c r="J26" i="8"/>
  <c r="K26" i="8"/>
  <c r="L26" i="8"/>
  <c r="M26" i="8"/>
  <c r="N26" i="8"/>
  <c r="O26" i="8"/>
  <c r="P26" i="8"/>
  <c r="Q26" i="8"/>
  <c r="R26" i="8"/>
  <c r="S26" i="8"/>
  <c r="T26" i="8"/>
  <c r="U26" i="8"/>
  <c r="V26" i="8"/>
  <c r="W26" i="8"/>
  <c r="X26" i="8"/>
  <c r="Y26" i="8"/>
  <c r="Z26" i="8"/>
  <c r="AA26" i="8"/>
  <c r="H27" i="8"/>
  <c r="I27" i="8"/>
  <c r="J27" i="8"/>
  <c r="K27" i="8"/>
  <c r="L27" i="8"/>
  <c r="M27" i="8"/>
  <c r="N27" i="8"/>
  <c r="O27" i="8"/>
  <c r="P27" i="8"/>
  <c r="Q27" i="8"/>
  <c r="R27" i="8"/>
  <c r="S27" i="8"/>
  <c r="T27" i="8"/>
  <c r="U27" i="8"/>
  <c r="V27" i="8"/>
  <c r="W27" i="8"/>
  <c r="X27" i="8"/>
  <c r="Y27" i="8"/>
  <c r="Z27" i="8"/>
  <c r="AA27" i="8"/>
  <c r="H28" i="8"/>
  <c r="I28" i="8"/>
  <c r="J28" i="8"/>
  <c r="K28" i="8"/>
  <c r="L28" i="8"/>
  <c r="M28" i="8"/>
  <c r="N28" i="8"/>
  <c r="O28" i="8"/>
  <c r="P28" i="8"/>
  <c r="Q28" i="8"/>
  <c r="R28" i="8"/>
  <c r="S28" i="8"/>
  <c r="T28" i="8"/>
  <c r="U28" i="8"/>
  <c r="V28" i="8"/>
  <c r="W28" i="8"/>
  <c r="X28" i="8"/>
  <c r="Y28" i="8"/>
  <c r="Z28" i="8"/>
  <c r="AA28" i="8"/>
  <c r="D29" i="8"/>
  <c r="H29" i="8"/>
  <c r="I29" i="8"/>
  <c r="J29" i="8"/>
  <c r="K29" i="8"/>
  <c r="L29" i="8"/>
  <c r="M29" i="8"/>
  <c r="N29" i="8"/>
  <c r="O29" i="8"/>
  <c r="P29" i="8"/>
  <c r="Q29" i="8"/>
  <c r="R29" i="8"/>
  <c r="S29" i="8"/>
  <c r="T29" i="8"/>
  <c r="U29" i="8"/>
  <c r="V29" i="8"/>
  <c r="W29" i="8"/>
  <c r="X29" i="8"/>
  <c r="Y29" i="8"/>
  <c r="Z29" i="8"/>
  <c r="AA29" i="8"/>
  <c r="D30" i="8"/>
  <c r="H30" i="8"/>
  <c r="I30" i="8"/>
  <c r="J30" i="8"/>
  <c r="K30" i="8"/>
  <c r="L30" i="8"/>
  <c r="M30" i="8"/>
  <c r="N30" i="8"/>
  <c r="O30" i="8"/>
  <c r="P30" i="8"/>
  <c r="Q30" i="8"/>
  <c r="R30" i="8"/>
  <c r="S30" i="8"/>
  <c r="T30" i="8"/>
  <c r="U30" i="8"/>
  <c r="V30" i="8"/>
  <c r="W30" i="8"/>
  <c r="X30" i="8"/>
  <c r="Y30" i="8"/>
  <c r="Z30" i="8"/>
  <c r="AA30" i="8"/>
  <c r="D31" i="8"/>
  <c r="H31" i="8"/>
  <c r="I31" i="8"/>
  <c r="J31" i="8"/>
  <c r="K31" i="8"/>
  <c r="L31" i="8"/>
  <c r="M31" i="8"/>
  <c r="N31" i="8"/>
  <c r="O31" i="8"/>
  <c r="P31" i="8"/>
  <c r="Q31" i="8"/>
  <c r="R31" i="8"/>
  <c r="S31" i="8"/>
  <c r="T31" i="8"/>
  <c r="U31" i="8"/>
  <c r="V31" i="8"/>
  <c r="W31" i="8"/>
  <c r="X31" i="8"/>
  <c r="Y31" i="8"/>
  <c r="Z31" i="8"/>
  <c r="AA31" i="8"/>
  <c r="D32" i="8"/>
  <c r="H32" i="8"/>
  <c r="I32" i="8"/>
  <c r="J32" i="8"/>
  <c r="K32" i="8"/>
  <c r="L32" i="8"/>
  <c r="M32" i="8"/>
  <c r="N32" i="8"/>
  <c r="O32" i="8"/>
  <c r="P32" i="8"/>
  <c r="Q32" i="8"/>
  <c r="R32" i="8"/>
  <c r="S32" i="8"/>
  <c r="T32" i="8"/>
  <c r="U32" i="8"/>
  <c r="V32" i="8"/>
  <c r="W32" i="8"/>
  <c r="X32" i="8"/>
  <c r="Y32" i="8"/>
  <c r="Z32" i="8"/>
  <c r="AA32" i="8"/>
  <c r="D33" i="8"/>
  <c r="H33" i="8"/>
  <c r="I33" i="8"/>
  <c r="J33" i="8"/>
  <c r="K33" i="8"/>
  <c r="L33" i="8"/>
  <c r="M33" i="8"/>
  <c r="N33" i="8"/>
  <c r="O33" i="8"/>
  <c r="P33" i="8"/>
  <c r="Q33" i="8"/>
  <c r="R33" i="8"/>
  <c r="S33" i="8"/>
  <c r="T33" i="8"/>
  <c r="U33" i="8"/>
  <c r="V33" i="8"/>
  <c r="W33" i="8"/>
  <c r="X33" i="8"/>
  <c r="Y33" i="8"/>
  <c r="Z33" i="8"/>
  <c r="AA33" i="8"/>
  <c r="D34" i="8"/>
  <c r="H34" i="8"/>
  <c r="I34" i="8"/>
  <c r="J34" i="8"/>
  <c r="K34" i="8"/>
  <c r="L34" i="8"/>
  <c r="M34" i="8"/>
  <c r="N34" i="8"/>
  <c r="O34" i="8"/>
  <c r="P34" i="8"/>
  <c r="Q34" i="8"/>
  <c r="R34" i="8"/>
  <c r="S34" i="8"/>
  <c r="T34" i="8"/>
  <c r="U34" i="8"/>
  <c r="V34" i="8"/>
  <c r="W34" i="8"/>
  <c r="X34" i="8"/>
  <c r="Y34" i="8"/>
  <c r="Z34" i="8"/>
  <c r="AA34" i="8"/>
  <c r="D5" i="10"/>
  <c r="F5" i="10"/>
  <c r="H5" i="10"/>
  <c r="I5" i="10"/>
  <c r="J5" i="10"/>
  <c r="K5" i="10"/>
  <c r="L5" i="10"/>
  <c r="M5" i="10"/>
  <c r="N5" i="10"/>
  <c r="O5" i="10"/>
  <c r="P5" i="10"/>
  <c r="Q5" i="10"/>
  <c r="R5" i="10"/>
  <c r="S5" i="10"/>
  <c r="T5" i="10"/>
  <c r="U5" i="10"/>
  <c r="V5" i="10"/>
  <c r="W5" i="10"/>
  <c r="X5" i="10"/>
  <c r="Y5" i="10"/>
  <c r="Z5" i="10"/>
  <c r="AA5" i="10"/>
  <c r="D6" i="10"/>
  <c r="F6" i="10"/>
  <c r="D10" i="10"/>
  <c r="AA10" i="10"/>
  <c r="D12" i="10"/>
  <c r="H12" i="10"/>
  <c r="I12" i="10"/>
  <c r="J12" i="10"/>
  <c r="K12" i="10"/>
  <c r="L12" i="10"/>
  <c r="M12" i="10"/>
  <c r="N12" i="10"/>
  <c r="O12" i="10"/>
  <c r="P12" i="10"/>
  <c r="Q12" i="10"/>
  <c r="R12" i="10"/>
  <c r="S12" i="10"/>
  <c r="T12" i="10"/>
  <c r="U12" i="10"/>
  <c r="V12" i="10"/>
  <c r="W12" i="10"/>
  <c r="X12" i="10"/>
  <c r="Y12" i="10"/>
  <c r="Z12" i="10"/>
  <c r="AA12" i="10"/>
  <c r="D13" i="10"/>
  <c r="F13" i="10"/>
  <c r="H13" i="10"/>
  <c r="I13" i="10"/>
  <c r="J13" i="10"/>
  <c r="K13" i="10"/>
  <c r="L13" i="10"/>
  <c r="M13" i="10"/>
  <c r="N13" i="10"/>
  <c r="O13" i="10"/>
  <c r="P13" i="10"/>
  <c r="Q13" i="10"/>
  <c r="R13" i="10"/>
  <c r="S13" i="10"/>
  <c r="T13" i="10"/>
  <c r="U13" i="10"/>
  <c r="V13" i="10"/>
  <c r="W13" i="10"/>
  <c r="X13" i="10"/>
  <c r="Y13" i="10"/>
  <c r="Z13" i="10"/>
  <c r="AA13" i="10"/>
  <c r="D14" i="10"/>
  <c r="F14" i="10"/>
  <c r="D15" i="10"/>
  <c r="F15" i="10"/>
  <c r="D16" i="10"/>
  <c r="F16" i="10"/>
  <c r="D18" i="10"/>
  <c r="H18" i="10"/>
  <c r="I18" i="10"/>
  <c r="J18" i="10"/>
  <c r="K18" i="10"/>
  <c r="L18" i="10"/>
  <c r="M18" i="10"/>
  <c r="N18" i="10"/>
  <c r="O18" i="10"/>
  <c r="P18" i="10"/>
  <c r="Q18" i="10"/>
  <c r="R18" i="10"/>
  <c r="S18" i="10"/>
  <c r="T18" i="10"/>
  <c r="U18" i="10"/>
  <c r="V18" i="10"/>
  <c r="D19" i="10"/>
  <c r="H19" i="10"/>
  <c r="I19" i="10"/>
  <c r="J19" i="10"/>
  <c r="K19" i="10"/>
  <c r="L19" i="10"/>
  <c r="M19" i="10"/>
  <c r="N19" i="10"/>
  <c r="O19" i="10"/>
  <c r="P19" i="10"/>
  <c r="Q19" i="10"/>
  <c r="R19" i="10"/>
  <c r="S19" i="10"/>
  <c r="T19" i="10"/>
  <c r="U19" i="10"/>
  <c r="V19" i="10"/>
  <c r="D21" i="10"/>
  <c r="H21" i="10"/>
  <c r="I21" i="10"/>
  <c r="J21" i="10"/>
  <c r="K21" i="10"/>
  <c r="L21" i="10"/>
  <c r="M21" i="10"/>
  <c r="N21" i="10"/>
  <c r="O21" i="10"/>
  <c r="P21" i="10"/>
  <c r="Q21" i="10"/>
  <c r="R21" i="10"/>
  <c r="S21" i="10"/>
  <c r="T21" i="10"/>
  <c r="U21" i="10"/>
  <c r="V21" i="10"/>
  <c r="D22" i="10"/>
  <c r="H22" i="10"/>
  <c r="I22" i="10"/>
  <c r="J22" i="10"/>
  <c r="K22" i="10"/>
  <c r="L22" i="10"/>
  <c r="M22" i="10"/>
  <c r="N22" i="10"/>
  <c r="O22" i="10"/>
  <c r="P22" i="10"/>
  <c r="Q22" i="10"/>
  <c r="R22" i="10"/>
  <c r="S22" i="10"/>
  <c r="T22" i="10"/>
  <c r="U22" i="10"/>
  <c r="V22" i="10"/>
  <c r="W22" i="10"/>
  <c r="X22" i="10"/>
  <c r="Y22" i="10"/>
  <c r="Z22" i="10"/>
  <c r="AA22" i="10"/>
  <c r="D24" i="10"/>
  <c r="H24" i="10"/>
  <c r="I24" i="10"/>
  <c r="J24" i="10"/>
  <c r="K24" i="10"/>
  <c r="L24" i="10"/>
  <c r="M24" i="10"/>
  <c r="N24" i="10"/>
  <c r="O24" i="10"/>
  <c r="P24" i="10"/>
  <c r="Q24" i="10"/>
  <c r="R24" i="10"/>
  <c r="S24" i="10"/>
  <c r="T24" i="10"/>
  <c r="U24" i="10"/>
  <c r="V24" i="10"/>
  <c r="W24" i="10"/>
  <c r="X24" i="10"/>
  <c r="Y24" i="10"/>
  <c r="Z24" i="10"/>
  <c r="AA24" i="10"/>
  <c r="D25" i="10"/>
  <c r="H25" i="10"/>
  <c r="I25" i="10"/>
  <c r="J25" i="10"/>
  <c r="K25" i="10"/>
  <c r="L25" i="10"/>
  <c r="M25" i="10"/>
  <c r="N25" i="10"/>
  <c r="O25" i="10"/>
  <c r="P25" i="10"/>
  <c r="Q25" i="10"/>
  <c r="R25" i="10"/>
  <c r="S25" i="10"/>
  <c r="T25" i="10"/>
  <c r="U25" i="10"/>
  <c r="V25" i="10"/>
  <c r="W25" i="10"/>
  <c r="X25" i="10"/>
  <c r="Y25" i="10"/>
  <c r="Z25" i="10"/>
  <c r="AA25" i="10"/>
  <c r="D27" i="10"/>
  <c r="F27" i="10"/>
  <c r="H27" i="10"/>
  <c r="I27" i="10"/>
  <c r="J27" i="10"/>
  <c r="K27" i="10"/>
  <c r="L27" i="10"/>
  <c r="M27" i="10"/>
  <c r="N27" i="10"/>
  <c r="O27" i="10"/>
  <c r="P27" i="10"/>
  <c r="Q27" i="10"/>
  <c r="R27" i="10"/>
  <c r="S27" i="10"/>
  <c r="T27" i="10"/>
  <c r="U27" i="10"/>
  <c r="V27" i="10"/>
  <c r="W27" i="10"/>
  <c r="X27" i="10"/>
  <c r="Y27" i="10"/>
  <c r="Z27" i="10"/>
  <c r="AA27" i="10"/>
  <c r="F28" i="10"/>
  <c r="H28" i="10"/>
  <c r="I28" i="10"/>
  <c r="J28" i="10"/>
  <c r="K28" i="10"/>
  <c r="L28" i="10"/>
  <c r="M28" i="10"/>
  <c r="N28" i="10"/>
  <c r="O28" i="10"/>
  <c r="P28" i="10"/>
  <c r="Q28" i="10"/>
  <c r="R28" i="10"/>
  <c r="S28" i="10"/>
  <c r="T28" i="10"/>
  <c r="U28" i="10"/>
  <c r="V28" i="10"/>
  <c r="W28" i="10"/>
  <c r="X28" i="10"/>
  <c r="Y28" i="10"/>
  <c r="Z28" i="10"/>
  <c r="AA28" i="10"/>
  <c r="D29" i="10"/>
  <c r="K29" i="10"/>
  <c r="L29" i="10"/>
  <c r="M29" i="10"/>
  <c r="N29" i="10"/>
  <c r="O29" i="10"/>
  <c r="P29" i="10"/>
  <c r="Q29" i="10"/>
  <c r="R29" i="10"/>
  <c r="S29" i="10"/>
  <c r="T29" i="10"/>
  <c r="U29" i="10"/>
  <c r="V29" i="10"/>
  <c r="W29" i="10"/>
  <c r="X29" i="10"/>
  <c r="Y29" i="10"/>
  <c r="Z29" i="10"/>
  <c r="AA29" i="10"/>
  <c r="D30" i="10"/>
  <c r="F30" i="10"/>
  <c r="H30" i="10"/>
  <c r="I30" i="10"/>
  <c r="J30" i="10"/>
  <c r="K30" i="10"/>
  <c r="L30" i="10"/>
  <c r="M30" i="10"/>
  <c r="N30" i="10"/>
  <c r="O30" i="10"/>
  <c r="P30" i="10"/>
  <c r="Q30" i="10"/>
  <c r="R30" i="10"/>
  <c r="S30" i="10"/>
  <c r="T30" i="10"/>
  <c r="U30" i="10"/>
  <c r="V30" i="10"/>
  <c r="W30" i="10"/>
  <c r="X30" i="10"/>
  <c r="Y30" i="10"/>
  <c r="Z30" i="10"/>
  <c r="AA30" i="10"/>
  <c r="F31" i="10"/>
  <c r="H31" i="10"/>
  <c r="I31" i="10"/>
  <c r="J31" i="10"/>
  <c r="K31" i="10"/>
  <c r="L31" i="10"/>
  <c r="M31" i="10"/>
  <c r="N31" i="10"/>
  <c r="O31" i="10"/>
  <c r="P31" i="10"/>
  <c r="Q31" i="10"/>
  <c r="R31" i="10"/>
  <c r="S31" i="10"/>
  <c r="T31" i="10"/>
  <c r="U31" i="10"/>
  <c r="V31" i="10"/>
  <c r="W31" i="10"/>
  <c r="X31" i="10"/>
  <c r="Y31" i="10"/>
  <c r="Z31" i="10"/>
  <c r="AA31" i="10"/>
  <c r="D33" i="10"/>
  <c r="D34" i="10"/>
  <c r="D35" i="10"/>
  <c r="I35" i="10"/>
  <c r="J35" i="10"/>
  <c r="K35" i="10"/>
  <c r="L35" i="10"/>
  <c r="M35" i="10"/>
  <c r="N35" i="10"/>
  <c r="O35" i="10"/>
  <c r="P35" i="10"/>
  <c r="Q35" i="10"/>
  <c r="R35" i="10"/>
  <c r="S35" i="10"/>
  <c r="T35" i="10"/>
  <c r="U35" i="10"/>
  <c r="V35" i="10"/>
  <c r="W35" i="10"/>
  <c r="X35" i="10"/>
  <c r="Y35" i="10"/>
  <c r="Z35" i="10"/>
  <c r="AA35" i="10"/>
  <c r="D44" i="10"/>
  <c r="E52" i="10"/>
  <c r="F52" i="10"/>
  <c r="G52" i="10"/>
  <c r="H52" i="10"/>
  <c r="I52" i="10"/>
  <c r="J52" i="10"/>
  <c r="K52" i="10"/>
  <c r="L52" i="10"/>
  <c r="M52" i="10"/>
  <c r="N52" i="10"/>
  <c r="O52" i="10"/>
  <c r="P52" i="10"/>
  <c r="Q52" i="10"/>
  <c r="R52" i="10"/>
  <c r="S52" i="10"/>
  <c r="T52" i="10"/>
  <c r="U52" i="10"/>
  <c r="V52" i="10"/>
  <c r="W52" i="10"/>
  <c r="X52" i="10"/>
  <c r="Y52" i="10"/>
  <c r="E53" i="10"/>
  <c r="F53" i="10"/>
  <c r="G53" i="10"/>
  <c r="H53" i="10"/>
  <c r="I53" i="10"/>
  <c r="J53" i="10"/>
  <c r="K53" i="10"/>
  <c r="L53" i="10"/>
  <c r="M53" i="10"/>
  <c r="N53" i="10"/>
  <c r="O53" i="10"/>
  <c r="P53" i="10"/>
  <c r="Q53" i="10"/>
  <c r="R53" i="10"/>
  <c r="S53" i="10"/>
  <c r="T53" i="10"/>
  <c r="U53" i="10"/>
  <c r="V53" i="10"/>
  <c r="W53" i="10"/>
  <c r="X53" i="10"/>
  <c r="Y53" i="10"/>
  <c r="I54" i="10"/>
  <c r="J54" i="10"/>
  <c r="K54" i="10"/>
  <c r="L54" i="10"/>
  <c r="M54" i="10"/>
  <c r="N54" i="10"/>
  <c r="O54" i="10"/>
  <c r="P54" i="10"/>
  <c r="Q54" i="10"/>
  <c r="R54" i="10"/>
  <c r="S54" i="10"/>
  <c r="T54" i="10"/>
  <c r="U54" i="10"/>
  <c r="V54" i="10"/>
  <c r="W54" i="10"/>
  <c r="X54" i="10"/>
  <c r="Y54" i="10"/>
  <c r="E55" i="10"/>
  <c r="F55" i="10"/>
  <c r="G55" i="10"/>
  <c r="H55" i="10"/>
  <c r="I55" i="10"/>
  <c r="J55" i="10"/>
  <c r="K55" i="10"/>
  <c r="L55" i="10"/>
  <c r="M55" i="10"/>
  <c r="N55" i="10"/>
  <c r="O55" i="10"/>
  <c r="P55" i="10"/>
  <c r="Q55" i="10"/>
  <c r="R55" i="10"/>
  <c r="S55" i="10"/>
  <c r="T55" i="10"/>
  <c r="U55" i="10"/>
  <c r="V55" i="10"/>
  <c r="W55" i="10"/>
  <c r="X55" i="10"/>
  <c r="Y55" i="10"/>
  <c r="E56" i="10"/>
  <c r="F56" i="10"/>
  <c r="G56" i="10"/>
  <c r="H56" i="10"/>
  <c r="I56" i="10"/>
  <c r="J56" i="10"/>
  <c r="K56" i="10"/>
  <c r="L56" i="10"/>
  <c r="M56" i="10"/>
  <c r="N56" i="10"/>
  <c r="O56" i="10"/>
  <c r="P56" i="10"/>
  <c r="Q56" i="10"/>
  <c r="R56" i="10"/>
  <c r="S56" i="10"/>
  <c r="T56" i="10"/>
  <c r="U56" i="10"/>
  <c r="V56" i="10"/>
  <c r="W56" i="10"/>
  <c r="X56" i="10"/>
  <c r="Y56" i="10"/>
  <c r="D8" i="12"/>
  <c r="H8" i="12"/>
  <c r="I8" i="12"/>
  <c r="J8" i="12"/>
  <c r="K8" i="12"/>
  <c r="L8" i="12"/>
  <c r="M8" i="12"/>
  <c r="N8" i="12"/>
  <c r="O8" i="12"/>
  <c r="P8" i="12"/>
  <c r="Q8" i="12"/>
  <c r="R8" i="12"/>
  <c r="S8" i="12"/>
  <c r="T8" i="12"/>
  <c r="U8" i="12"/>
  <c r="V8" i="12"/>
  <c r="W8" i="12"/>
  <c r="X8" i="12"/>
  <c r="Y8" i="12"/>
  <c r="Z8" i="12"/>
  <c r="AA8" i="12"/>
  <c r="D9" i="12"/>
  <c r="H9" i="12"/>
  <c r="I9" i="12"/>
  <c r="J9" i="12"/>
  <c r="K9" i="12"/>
  <c r="L9" i="12"/>
  <c r="M9" i="12"/>
  <c r="N9" i="12"/>
  <c r="O9" i="12"/>
  <c r="P9" i="12"/>
  <c r="Q9" i="12"/>
  <c r="R9" i="12"/>
  <c r="S9" i="12"/>
  <c r="T9" i="12"/>
  <c r="U9" i="12"/>
  <c r="V9" i="12"/>
  <c r="W9" i="12"/>
  <c r="X9" i="12"/>
  <c r="Y9" i="12"/>
  <c r="Z9" i="12"/>
  <c r="AA9" i="12"/>
  <c r="D10" i="12"/>
  <c r="H10" i="12"/>
  <c r="I10" i="12"/>
  <c r="J10" i="12"/>
  <c r="K10" i="12"/>
  <c r="L10" i="12"/>
  <c r="M10" i="12"/>
  <c r="N10" i="12"/>
  <c r="O10" i="12"/>
  <c r="P10" i="12"/>
  <c r="Q10" i="12"/>
  <c r="R10" i="12"/>
  <c r="S10" i="12"/>
  <c r="T10" i="12"/>
  <c r="U10" i="12"/>
  <c r="V10" i="12"/>
  <c r="W10" i="12"/>
  <c r="X10" i="12"/>
  <c r="Y10" i="12"/>
  <c r="Z10" i="12"/>
  <c r="AA10" i="12"/>
  <c r="D12" i="12"/>
  <c r="H12" i="12"/>
  <c r="I12" i="12"/>
  <c r="J12" i="12"/>
  <c r="K12" i="12"/>
  <c r="L12" i="12"/>
  <c r="M12" i="12"/>
  <c r="N12" i="12"/>
  <c r="O12" i="12"/>
  <c r="P12" i="12"/>
  <c r="Q12" i="12"/>
  <c r="R12" i="12"/>
  <c r="S12" i="12"/>
  <c r="T12" i="12"/>
  <c r="U12" i="12"/>
  <c r="V12" i="12"/>
  <c r="W12" i="12"/>
  <c r="X12" i="12"/>
  <c r="Y12" i="12"/>
  <c r="Z12" i="12"/>
  <c r="AA12" i="12"/>
  <c r="D14" i="12"/>
  <c r="H14" i="12"/>
  <c r="I14" i="12"/>
  <c r="J14" i="12"/>
  <c r="K14" i="12"/>
  <c r="L14" i="12"/>
  <c r="M14" i="12"/>
  <c r="N14" i="12"/>
  <c r="O14" i="12"/>
  <c r="P14" i="12"/>
  <c r="Q14" i="12"/>
  <c r="R14" i="12"/>
  <c r="S14" i="12"/>
  <c r="T14" i="12"/>
  <c r="U14" i="12"/>
  <c r="V14" i="12"/>
  <c r="W14" i="12"/>
  <c r="X14" i="12"/>
  <c r="Y14" i="12"/>
  <c r="Z14" i="12"/>
  <c r="AA14" i="12"/>
  <c r="D15" i="12"/>
  <c r="I15" i="12"/>
  <c r="J15" i="12"/>
  <c r="K15" i="12"/>
  <c r="L15" i="12"/>
  <c r="M15" i="12"/>
  <c r="N15" i="12"/>
  <c r="O15" i="12"/>
  <c r="P15" i="12"/>
  <c r="Q15" i="12"/>
  <c r="R15" i="12"/>
  <c r="S15" i="12"/>
  <c r="T15" i="12"/>
  <c r="U15" i="12"/>
  <c r="V15" i="12"/>
  <c r="W15" i="12"/>
  <c r="X15" i="12"/>
  <c r="Y15" i="12"/>
  <c r="Z15" i="12"/>
  <c r="AA15" i="12"/>
  <c r="I16" i="12"/>
  <c r="J16" i="12"/>
  <c r="K16" i="12"/>
  <c r="L16" i="12"/>
  <c r="M16" i="12"/>
  <c r="N16" i="12"/>
  <c r="O16" i="12"/>
  <c r="P16" i="12"/>
  <c r="Q16" i="12"/>
  <c r="R16" i="12"/>
  <c r="S16" i="12"/>
  <c r="T16" i="12"/>
  <c r="U16" i="12"/>
  <c r="V16" i="12"/>
  <c r="W16" i="12"/>
  <c r="X16" i="12"/>
  <c r="Y16" i="12"/>
  <c r="Z16" i="12"/>
  <c r="AA16" i="12"/>
  <c r="J17" i="12"/>
  <c r="K17" i="12"/>
  <c r="L17" i="12"/>
  <c r="M17" i="12"/>
  <c r="N17" i="12"/>
  <c r="O17" i="12"/>
  <c r="P17" i="12"/>
  <c r="Q17" i="12"/>
  <c r="R17" i="12"/>
  <c r="S17" i="12"/>
  <c r="T17" i="12"/>
  <c r="U17" i="12"/>
  <c r="V17" i="12"/>
  <c r="W17" i="12"/>
  <c r="X17" i="12"/>
  <c r="Y17" i="12"/>
  <c r="Z17" i="12"/>
  <c r="AA17" i="12"/>
  <c r="K18" i="12"/>
  <c r="L18" i="12"/>
  <c r="M18" i="12"/>
  <c r="N18" i="12"/>
  <c r="O18" i="12"/>
  <c r="P18" i="12"/>
  <c r="Q18" i="12"/>
  <c r="R18" i="12"/>
  <c r="S18" i="12"/>
  <c r="T18" i="12"/>
  <c r="U18" i="12"/>
  <c r="V18" i="12"/>
  <c r="W18" i="12"/>
  <c r="X18" i="12"/>
  <c r="Y18" i="12"/>
  <c r="Z18" i="12"/>
  <c r="AA18" i="12"/>
  <c r="L19" i="12"/>
  <c r="M19" i="12"/>
  <c r="N19" i="12"/>
  <c r="O19" i="12"/>
  <c r="P19" i="12"/>
  <c r="Q19" i="12"/>
  <c r="R19" i="12"/>
  <c r="S19" i="12"/>
  <c r="T19" i="12"/>
  <c r="U19" i="12"/>
  <c r="V19" i="12"/>
  <c r="W19" i="12"/>
  <c r="X19" i="12"/>
  <c r="Y19" i="12"/>
  <c r="Z19" i="12"/>
  <c r="AA19" i="12"/>
  <c r="M20" i="12"/>
  <c r="N20" i="12"/>
  <c r="O20" i="12"/>
  <c r="P20" i="12"/>
  <c r="Q20" i="12"/>
  <c r="R20" i="12"/>
  <c r="S20" i="12"/>
  <c r="T20" i="12"/>
  <c r="U20" i="12"/>
  <c r="V20" i="12"/>
  <c r="W20" i="12"/>
  <c r="X20" i="12"/>
  <c r="Y20" i="12"/>
  <c r="Z20" i="12"/>
  <c r="AA20" i="12"/>
  <c r="D21" i="12"/>
  <c r="H21" i="12"/>
  <c r="I21" i="12"/>
  <c r="J21" i="12"/>
  <c r="K21" i="12"/>
  <c r="L21" i="12"/>
  <c r="M21" i="12"/>
  <c r="N21" i="12"/>
  <c r="O21" i="12"/>
  <c r="P21" i="12"/>
  <c r="Q21" i="12"/>
  <c r="R21" i="12"/>
  <c r="S21" i="12"/>
  <c r="T21" i="12"/>
  <c r="U21" i="12"/>
  <c r="V21" i="12"/>
  <c r="W21" i="12"/>
  <c r="X21" i="12"/>
  <c r="Y21" i="12"/>
  <c r="Z21" i="12"/>
  <c r="AA21" i="12"/>
  <c r="D22" i="12"/>
  <c r="K22" i="12"/>
  <c r="L22" i="12"/>
  <c r="M22" i="12"/>
  <c r="N22" i="12"/>
  <c r="O22" i="12"/>
  <c r="P22" i="12"/>
  <c r="Q22" i="12"/>
  <c r="R22" i="12"/>
  <c r="S22" i="12"/>
  <c r="T22" i="12"/>
  <c r="U22" i="12"/>
  <c r="V22" i="12"/>
  <c r="W22" i="12"/>
  <c r="X22" i="12"/>
  <c r="Y22" i="12"/>
  <c r="Z22" i="12"/>
  <c r="AA22" i="12"/>
  <c r="D23" i="12"/>
  <c r="H23" i="12"/>
  <c r="I23" i="12"/>
  <c r="J23" i="12"/>
  <c r="K23" i="12"/>
  <c r="L23" i="12"/>
  <c r="M23" i="12"/>
  <c r="N23" i="12"/>
  <c r="O23" i="12"/>
  <c r="P23" i="12"/>
  <c r="Q23" i="12"/>
  <c r="R23" i="12"/>
  <c r="S23" i="12"/>
  <c r="T23" i="12"/>
  <c r="U23" i="12"/>
  <c r="V23" i="12"/>
  <c r="W23" i="12"/>
  <c r="X23" i="12"/>
  <c r="Y23" i="12"/>
  <c r="Z23" i="12"/>
  <c r="AA23" i="12"/>
  <c r="D24" i="12"/>
  <c r="I24" i="12"/>
  <c r="J24" i="12"/>
  <c r="K24" i="12"/>
  <c r="L24" i="12"/>
  <c r="M24" i="12"/>
  <c r="N24" i="12"/>
  <c r="O24" i="12"/>
  <c r="P24" i="12"/>
  <c r="Q24" i="12"/>
  <c r="R24" i="12"/>
  <c r="S24" i="12"/>
  <c r="T24" i="12"/>
  <c r="U24" i="12"/>
  <c r="V24" i="12"/>
  <c r="W24" i="12"/>
  <c r="X24" i="12"/>
  <c r="Y24" i="12"/>
  <c r="Z24" i="12"/>
  <c r="AA24" i="12"/>
  <c r="D25" i="12"/>
  <c r="H25" i="12"/>
  <c r="I25" i="12"/>
  <c r="J25" i="12"/>
  <c r="K25" i="12"/>
  <c r="L25" i="12"/>
  <c r="M25" i="12"/>
  <c r="N25" i="12"/>
  <c r="O25" i="12"/>
  <c r="P25" i="12"/>
  <c r="Q25" i="12"/>
  <c r="R25" i="12"/>
  <c r="S25" i="12"/>
  <c r="T25" i="12"/>
  <c r="U25" i="12"/>
  <c r="V25" i="12"/>
  <c r="W25" i="12"/>
  <c r="X25" i="12"/>
  <c r="Y25" i="12"/>
  <c r="Z25" i="12"/>
  <c r="AA25" i="12"/>
  <c r="D26" i="12"/>
  <c r="H26" i="12"/>
  <c r="I26" i="12"/>
  <c r="J26" i="12"/>
  <c r="K26" i="12"/>
  <c r="L26" i="12"/>
  <c r="M26" i="12"/>
  <c r="N26" i="12"/>
  <c r="O26" i="12"/>
  <c r="P26" i="12"/>
  <c r="Q26" i="12"/>
  <c r="R26" i="12"/>
  <c r="S26" i="12"/>
  <c r="T26" i="12"/>
  <c r="U26" i="12"/>
  <c r="V26" i="12"/>
  <c r="W26" i="12"/>
  <c r="X26" i="12"/>
  <c r="Y26" i="12"/>
  <c r="Z26" i="12"/>
  <c r="AA26" i="12"/>
  <c r="H27" i="12"/>
  <c r="I27" i="12"/>
  <c r="J27" i="12"/>
  <c r="K27" i="12"/>
  <c r="L27" i="12"/>
  <c r="M27" i="12"/>
  <c r="N27" i="12"/>
  <c r="O27" i="12"/>
  <c r="P27" i="12"/>
  <c r="Q27" i="12"/>
  <c r="R27" i="12"/>
  <c r="S27" i="12"/>
  <c r="T27" i="12"/>
  <c r="U27" i="12"/>
  <c r="V27" i="12"/>
  <c r="W27" i="12"/>
  <c r="X27" i="12"/>
  <c r="Y27" i="12"/>
  <c r="Z27" i="12"/>
  <c r="AA27" i="12"/>
  <c r="H28" i="12"/>
  <c r="I28" i="12"/>
  <c r="J28" i="12"/>
  <c r="K28" i="12"/>
  <c r="L28" i="12"/>
  <c r="M28" i="12"/>
  <c r="N28" i="12"/>
  <c r="O28" i="12"/>
  <c r="P28" i="12"/>
  <c r="Q28" i="12"/>
  <c r="R28" i="12"/>
  <c r="S28" i="12"/>
  <c r="T28" i="12"/>
  <c r="U28" i="12"/>
  <c r="V28" i="12"/>
  <c r="W28" i="12"/>
  <c r="X28" i="12"/>
  <c r="Y28" i="12"/>
  <c r="Z28" i="12"/>
  <c r="AA28" i="12"/>
  <c r="D29" i="12"/>
  <c r="H29" i="12"/>
  <c r="I29" i="12"/>
  <c r="J29" i="12"/>
  <c r="K29" i="12"/>
  <c r="L29" i="12"/>
  <c r="M29" i="12"/>
  <c r="N29" i="12"/>
  <c r="O29" i="12"/>
  <c r="P29" i="12"/>
  <c r="Q29" i="12"/>
  <c r="R29" i="12"/>
  <c r="S29" i="12"/>
  <c r="T29" i="12"/>
  <c r="U29" i="12"/>
  <c r="V29" i="12"/>
  <c r="W29" i="12"/>
  <c r="X29" i="12"/>
  <c r="Y29" i="12"/>
  <c r="Z29" i="12"/>
  <c r="AA29" i="12"/>
  <c r="D30" i="12"/>
  <c r="H30" i="12"/>
  <c r="I30" i="12"/>
  <c r="J30" i="12"/>
  <c r="K30" i="12"/>
  <c r="L30" i="12"/>
  <c r="M30" i="12"/>
  <c r="N30" i="12"/>
  <c r="O30" i="12"/>
  <c r="P30" i="12"/>
  <c r="Q30" i="12"/>
  <c r="R30" i="12"/>
  <c r="S30" i="12"/>
  <c r="T30" i="12"/>
  <c r="U30" i="12"/>
  <c r="V30" i="12"/>
  <c r="W30" i="12"/>
  <c r="X30" i="12"/>
  <c r="Y30" i="12"/>
  <c r="Z30" i="12"/>
  <c r="AA30" i="12"/>
  <c r="D31" i="12"/>
  <c r="H31" i="12"/>
  <c r="I31" i="12"/>
  <c r="J31" i="12"/>
  <c r="K31" i="12"/>
  <c r="L31" i="12"/>
  <c r="M31" i="12"/>
  <c r="N31" i="12"/>
  <c r="O31" i="12"/>
  <c r="P31" i="12"/>
  <c r="Q31" i="12"/>
  <c r="R31" i="12"/>
  <c r="S31" i="12"/>
  <c r="T31" i="12"/>
  <c r="U31" i="12"/>
  <c r="V31" i="12"/>
  <c r="W31" i="12"/>
  <c r="X31" i="12"/>
  <c r="Y31" i="12"/>
  <c r="Z31" i="12"/>
  <c r="AA31" i="12"/>
  <c r="D32" i="12"/>
  <c r="H32" i="12"/>
  <c r="I32" i="12"/>
  <c r="J32" i="12"/>
  <c r="K32" i="12"/>
  <c r="L32" i="12"/>
  <c r="M32" i="12"/>
  <c r="N32" i="12"/>
  <c r="O32" i="12"/>
  <c r="P32" i="12"/>
  <c r="Q32" i="12"/>
  <c r="R32" i="12"/>
  <c r="S32" i="12"/>
  <c r="T32" i="12"/>
  <c r="U32" i="12"/>
  <c r="V32" i="12"/>
  <c r="W32" i="12"/>
  <c r="X32" i="12"/>
  <c r="Y32" i="12"/>
  <c r="Z32" i="12"/>
  <c r="AA32" i="12"/>
  <c r="D33" i="12"/>
  <c r="H33" i="12"/>
  <c r="I33" i="12"/>
  <c r="J33" i="12"/>
  <c r="K33" i="12"/>
  <c r="L33" i="12"/>
  <c r="M33" i="12"/>
  <c r="N33" i="12"/>
  <c r="O33" i="12"/>
  <c r="P33" i="12"/>
  <c r="Q33" i="12"/>
  <c r="R33" i="12"/>
  <c r="S33" i="12"/>
  <c r="T33" i="12"/>
  <c r="U33" i="12"/>
  <c r="V33" i="12"/>
  <c r="W33" i="12"/>
  <c r="X33" i="12"/>
  <c r="Y33" i="12"/>
  <c r="Z33" i="12"/>
  <c r="AA33" i="12"/>
  <c r="D34" i="12"/>
  <c r="H34" i="12"/>
  <c r="I34" i="12"/>
  <c r="J34" i="12"/>
  <c r="K34" i="12"/>
  <c r="L34" i="12"/>
  <c r="M34" i="12"/>
  <c r="N34" i="12"/>
  <c r="O34" i="12"/>
  <c r="P34" i="12"/>
  <c r="Q34" i="12"/>
  <c r="R34" i="12"/>
  <c r="S34" i="12"/>
  <c r="T34" i="12"/>
  <c r="U34" i="12"/>
  <c r="V34" i="12"/>
  <c r="W34" i="12"/>
  <c r="X34" i="12"/>
  <c r="Y34" i="12"/>
  <c r="Z34" i="12"/>
  <c r="AA34" i="12"/>
  <c r="D5" i="9"/>
  <c r="H5" i="9"/>
  <c r="I5" i="9"/>
  <c r="J5" i="9"/>
  <c r="K5" i="9"/>
  <c r="L5" i="9"/>
  <c r="M5" i="9"/>
  <c r="N5" i="9"/>
  <c r="O5" i="9"/>
  <c r="P5" i="9"/>
  <c r="Q5" i="9"/>
  <c r="R5" i="9"/>
  <c r="S5" i="9"/>
  <c r="T5" i="9"/>
  <c r="U5" i="9"/>
  <c r="V5" i="9"/>
  <c r="W5" i="9"/>
  <c r="X5" i="9"/>
  <c r="Y5" i="9"/>
  <c r="Z5" i="9"/>
  <c r="AA5" i="9"/>
  <c r="D9" i="9"/>
  <c r="AA9" i="9"/>
  <c r="D11" i="9"/>
  <c r="H11" i="9"/>
  <c r="I11" i="9"/>
  <c r="J11" i="9"/>
  <c r="K11" i="9"/>
  <c r="L11" i="9"/>
  <c r="M11" i="9"/>
  <c r="N11" i="9"/>
  <c r="O11" i="9"/>
  <c r="P11" i="9"/>
  <c r="Q11" i="9"/>
  <c r="R11" i="9"/>
  <c r="S11" i="9"/>
  <c r="T11" i="9"/>
  <c r="U11" i="9"/>
  <c r="V11" i="9"/>
  <c r="W11" i="9"/>
  <c r="X11" i="9"/>
  <c r="Y11" i="9"/>
  <c r="Z11" i="9"/>
  <c r="AA11" i="9"/>
  <c r="D12" i="9"/>
  <c r="H12" i="9"/>
  <c r="I12" i="9"/>
  <c r="J12" i="9"/>
  <c r="K12" i="9"/>
  <c r="L12" i="9"/>
  <c r="M12" i="9"/>
  <c r="N12" i="9"/>
  <c r="O12" i="9"/>
  <c r="P12" i="9"/>
  <c r="Q12" i="9"/>
  <c r="R12" i="9"/>
  <c r="S12" i="9"/>
  <c r="T12" i="9"/>
  <c r="U12" i="9"/>
  <c r="V12" i="9"/>
  <c r="W12" i="9"/>
  <c r="X12" i="9"/>
  <c r="Y12" i="9"/>
  <c r="Z12" i="9"/>
  <c r="AA12" i="9"/>
  <c r="D15" i="9"/>
  <c r="H15" i="9"/>
  <c r="I15" i="9"/>
  <c r="J15" i="9"/>
  <c r="K15" i="9"/>
  <c r="L15" i="9"/>
  <c r="M15" i="9"/>
  <c r="N15" i="9"/>
  <c r="O15" i="9"/>
  <c r="P15" i="9"/>
  <c r="Q15" i="9"/>
  <c r="R15" i="9"/>
  <c r="S15" i="9"/>
  <c r="T15" i="9"/>
  <c r="U15" i="9"/>
  <c r="V15" i="9"/>
  <c r="W15" i="9"/>
  <c r="X15" i="9"/>
  <c r="Y15" i="9"/>
  <c r="Z15" i="9"/>
  <c r="AA15" i="9"/>
  <c r="D17" i="9"/>
  <c r="H17" i="9"/>
  <c r="I17" i="9"/>
  <c r="J17" i="9"/>
  <c r="K17" i="9"/>
  <c r="L17" i="9"/>
  <c r="M17" i="9"/>
  <c r="N17" i="9"/>
  <c r="O17" i="9"/>
  <c r="P17" i="9"/>
  <c r="Q17" i="9"/>
  <c r="R17" i="9"/>
  <c r="S17" i="9"/>
  <c r="T17" i="9"/>
  <c r="U17" i="9"/>
  <c r="V17" i="9"/>
  <c r="W17" i="9"/>
  <c r="X17" i="9"/>
  <c r="Y17" i="9"/>
  <c r="Z17" i="9"/>
  <c r="AA17" i="9"/>
  <c r="D18" i="9"/>
  <c r="H18" i="9"/>
  <c r="I18" i="9"/>
  <c r="J18" i="9"/>
  <c r="K18" i="9"/>
  <c r="L18" i="9"/>
  <c r="M18" i="9"/>
  <c r="N18" i="9"/>
  <c r="O18" i="9"/>
  <c r="P18" i="9"/>
  <c r="Q18" i="9"/>
  <c r="R18" i="9"/>
  <c r="S18" i="9"/>
  <c r="T18" i="9"/>
  <c r="U18" i="9"/>
  <c r="V18" i="9"/>
  <c r="W18" i="9"/>
  <c r="X18" i="9"/>
  <c r="Y18" i="9"/>
  <c r="Z18" i="9"/>
  <c r="AA18" i="9"/>
  <c r="D20" i="9"/>
  <c r="H20" i="9"/>
  <c r="I20" i="9"/>
  <c r="J20" i="9"/>
  <c r="K20" i="9"/>
  <c r="L20" i="9"/>
  <c r="M20" i="9"/>
  <c r="N20" i="9"/>
  <c r="O20" i="9"/>
  <c r="P20" i="9"/>
  <c r="Q20" i="9"/>
  <c r="R20" i="9"/>
  <c r="S20" i="9"/>
  <c r="T20" i="9"/>
  <c r="U20" i="9"/>
  <c r="V20" i="9"/>
  <c r="W20" i="9"/>
  <c r="X20" i="9"/>
  <c r="Y20" i="9"/>
  <c r="Z20" i="9"/>
  <c r="AA20" i="9"/>
  <c r="H21" i="9"/>
  <c r="I21" i="9"/>
  <c r="J21" i="9"/>
  <c r="K21" i="9"/>
  <c r="L21" i="9"/>
  <c r="M21" i="9"/>
  <c r="N21" i="9"/>
  <c r="O21" i="9"/>
  <c r="P21" i="9"/>
  <c r="Q21" i="9"/>
  <c r="R21" i="9"/>
  <c r="S21" i="9"/>
  <c r="T21" i="9"/>
  <c r="U21" i="9"/>
  <c r="V21" i="9"/>
  <c r="W21" i="9"/>
  <c r="X21" i="9"/>
  <c r="Y21" i="9"/>
  <c r="Z21" i="9"/>
  <c r="AA21" i="9"/>
  <c r="D22" i="9"/>
  <c r="K22" i="9"/>
  <c r="L22" i="9"/>
  <c r="M22" i="9"/>
  <c r="N22" i="9"/>
  <c r="O22" i="9"/>
  <c r="P22" i="9"/>
  <c r="Q22" i="9"/>
  <c r="R22" i="9"/>
  <c r="S22" i="9"/>
  <c r="T22" i="9"/>
  <c r="U22" i="9"/>
  <c r="V22" i="9"/>
  <c r="W22" i="9"/>
  <c r="X22" i="9"/>
  <c r="Y22" i="9"/>
  <c r="Z22" i="9"/>
  <c r="AA22" i="9"/>
  <c r="D23" i="9"/>
  <c r="H23" i="9"/>
  <c r="I23" i="9"/>
  <c r="J23" i="9"/>
  <c r="K23" i="9"/>
  <c r="L23" i="9"/>
  <c r="M23" i="9"/>
  <c r="N23" i="9"/>
  <c r="O23" i="9"/>
  <c r="P23" i="9"/>
  <c r="Q23" i="9"/>
  <c r="R23" i="9"/>
  <c r="S23" i="9"/>
  <c r="T23" i="9"/>
  <c r="U23" i="9"/>
  <c r="V23" i="9"/>
  <c r="W23" i="9"/>
  <c r="X23" i="9"/>
  <c r="Y23" i="9"/>
  <c r="Z23" i="9"/>
  <c r="AA23" i="9"/>
  <c r="H24" i="9"/>
  <c r="I24" i="9"/>
  <c r="J24" i="9"/>
  <c r="K24" i="9"/>
  <c r="L24" i="9"/>
  <c r="M24" i="9"/>
  <c r="N24" i="9"/>
  <c r="O24" i="9"/>
  <c r="P24" i="9"/>
  <c r="Q24" i="9"/>
  <c r="R24" i="9"/>
  <c r="S24" i="9"/>
  <c r="T24" i="9"/>
  <c r="U24" i="9"/>
  <c r="V24" i="9"/>
  <c r="W24" i="9"/>
  <c r="X24" i="9"/>
  <c r="Y24" i="9"/>
  <c r="Z24" i="9"/>
  <c r="AA24" i="9"/>
  <c r="D26" i="9"/>
  <c r="D27" i="9"/>
  <c r="D28" i="9"/>
  <c r="I28" i="9"/>
  <c r="J28" i="9"/>
  <c r="K28" i="9"/>
  <c r="L28" i="9"/>
  <c r="M28" i="9"/>
  <c r="N28" i="9"/>
  <c r="O28" i="9"/>
  <c r="P28" i="9"/>
  <c r="Q28" i="9"/>
  <c r="R28" i="9"/>
  <c r="S28" i="9"/>
  <c r="T28" i="9"/>
  <c r="U28" i="9"/>
  <c r="V28" i="9"/>
  <c r="W28" i="9"/>
  <c r="X28" i="9"/>
  <c r="Y28" i="9"/>
  <c r="Z28" i="9"/>
  <c r="AA28" i="9"/>
  <c r="D29" i="9"/>
  <c r="I29" i="9"/>
  <c r="J29" i="9"/>
  <c r="K29" i="9"/>
  <c r="L29" i="9"/>
  <c r="M29" i="9"/>
  <c r="N29" i="9"/>
  <c r="O29" i="9"/>
  <c r="P29" i="9"/>
  <c r="Q29" i="9"/>
  <c r="R29" i="9"/>
  <c r="S29" i="9"/>
  <c r="T29" i="9"/>
  <c r="U29" i="9"/>
  <c r="V29" i="9"/>
  <c r="W29" i="9"/>
  <c r="X29" i="9"/>
  <c r="Y29" i="9"/>
  <c r="Z29" i="9"/>
  <c r="AA29" i="9"/>
  <c r="D35" i="9"/>
  <c r="F44" i="9"/>
  <c r="G44" i="9"/>
  <c r="H44" i="9"/>
  <c r="I44" i="9"/>
  <c r="J44" i="9"/>
  <c r="K44" i="9"/>
  <c r="L44" i="9"/>
  <c r="M44" i="9"/>
  <c r="N44" i="9"/>
  <c r="O44" i="9"/>
  <c r="P44" i="9"/>
  <c r="Q44" i="9"/>
  <c r="R44" i="9"/>
  <c r="S44" i="9"/>
  <c r="T44" i="9"/>
  <c r="U44" i="9"/>
  <c r="V44" i="9"/>
  <c r="W44" i="9"/>
  <c r="X44" i="9"/>
  <c r="Y44" i="9"/>
  <c r="F45" i="9"/>
  <c r="G45" i="9"/>
  <c r="H45" i="9"/>
  <c r="I45" i="9"/>
  <c r="J45" i="9"/>
  <c r="K45" i="9"/>
  <c r="L45" i="9"/>
  <c r="M45" i="9"/>
  <c r="N45" i="9"/>
  <c r="O45" i="9"/>
  <c r="P45" i="9"/>
  <c r="Q45" i="9"/>
  <c r="R45" i="9"/>
  <c r="S45" i="9"/>
  <c r="T45" i="9"/>
  <c r="U45" i="9"/>
  <c r="V45" i="9"/>
  <c r="W45" i="9"/>
  <c r="X45" i="9"/>
  <c r="Y45" i="9"/>
  <c r="I46" i="9"/>
  <c r="J46" i="9"/>
  <c r="K46" i="9"/>
  <c r="L46" i="9"/>
  <c r="M46" i="9"/>
  <c r="N46" i="9"/>
  <c r="O46" i="9"/>
  <c r="P46" i="9"/>
  <c r="Q46" i="9"/>
  <c r="R46" i="9"/>
  <c r="S46" i="9"/>
  <c r="T46" i="9"/>
  <c r="U46" i="9"/>
  <c r="V46" i="9"/>
  <c r="W46" i="9"/>
  <c r="X46" i="9"/>
  <c r="Y46" i="9"/>
  <c r="F47" i="9"/>
  <c r="G47" i="9"/>
  <c r="H47" i="9"/>
  <c r="I47" i="9"/>
  <c r="J47" i="9"/>
  <c r="K47" i="9"/>
  <c r="L47" i="9"/>
  <c r="M47" i="9"/>
  <c r="N47" i="9"/>
  <c r="O47" i="9"/>
  <c r="P47" i="9"/>
  <c r="Q47" i="9"/>
  <c r="R47" i="9"/>
  <c r="S47" i="9"/>
  <c r="T47" i="9"/>
  <c r="U47" i="9"/>
  <c r="V47" i="9"/>
  <c r="W47" i="9"/>
  <c r="X47" i="9"/>
  <c r="Y47" i="9"/>
  <c r="F48" i="9"/>
  <c r="G48" i="9"/>
  <c r="H48" i="9"/>
  <c r="I48" i="9"/>
  <c r="J48" i="9"/>
  <c r="K48" i="9"/>
  <c r="L48" i="9"/>
  <c r="M48" i="9"/>
  <c r="N48" i="9"/>
  <c r="O48" i="9"/>
  <c r="P48" i="9"/>
  <c r="Q48" i="9"/>
  <c r="R48" i="9"/>
  <c r="S48" i="9"/>
  <c r="T48" i="9"/>
  <c r="U48" i="9"/>
  <c r="V48" i="9"/>
  <c r="W48" i="9"/>
  <c r="X48" i="9"/>
  <c r="Y48" i="9"/>
  <c r="D5" i="11"/>
  <c r="H5" i="11"/>
  <c r="I5" i="11"/>
  <c r="J5" i="11"/>
  <c r="K5" i="11"/>
  <c r="L5" i="11"/>
  <c r="M5" i="11"/>
  <c r="N5" i="11"/>
  <c r="O5" i="11"/>
  <c r="P5" i="11"/>
  <c r="Q5" i="11"/>
  <c r="R5" i="11"/>
  <c r="S5" i="11"/>
  <c r="T5" i="11"/>
  <c r="U5" i="11"/>
  <c r="V5" i="11"/>
  <c r="W5" i="11"/>
  <c r="X5" i="11"/>
  <c r="Y5" i="11"/>
  <c r="Z5" i="11"/>
  <c r="AA5" i="11"/>
  <c r="D6" i="11"/>
  <c r="H6" i="11"/>
  <c r="I6" i="11"/>
  <c r="J6" i="11"/>
  <c r="K6" i="11"/>
  <c r="L6" i="11"/>
  <c r="M6" i="11"/>
  <c r="N6" i="11"/>
  <c r="O6" i="11"/>
  <c r="P6" i="11"/>
  <c r="Q6" i="11"/>
  <c r="R6" i="11"/>
  <c r="S6" i="11"/>
  <c r="T6" i="11"/>
  <c r="U6" i="11"/>
  <c r="V6" i="11"/>
  <c r="W6" i="11"/>
  <c r="X6" i="11"/>
  <c r="Y6" i="11"/>
  <c r="Z6" i="11"/>
  <c r="AA6" i="11"/>
  <c r="D11" i="11"/>
  <c r="H11" i="11"/>
  <c r="I11" i="11"/>
  <c r="J11" i="11"/>
  <c r="K11" i="11"/>
  <c r="L11" i="11"/>
  <c r="M11" i="11"/>
  <c r="N11" i="11"/>
  <c r="O11" i="11"/>
  <c r="P11" i="11"/>
  <c r="Q11" i="11"/>
  <c r="R11" i="11"/>
  <c r="S11" i="11"/>
  <c r="T11" i="11"/>
  <c r="U11" i="11"/>
  <c r="V11" i="11"/>
  <c r="W11" i="11"/>
  <c r="X11" i="11"/>
  <c r="Y11" i="11"/>
  <c r="Z11" i="11"/>
  <c r="AA11" i="11"/>
  <c r="D12" i="11"/>
  <c r="H12" i="11"/>
  <c r="I12" i="11"/>
  <c r="J12" i="11"/>
  <c r="K12" i="11"/>
  <c r="L12" i="11"/>
  <c r="M12" i="11"/>
  <c r="N12" i="11"/>
  <c r="O12" i="11"/>
  <c r="P12" i="11"/>
  <c r="Q12" i="11"/>
  <c r="R12" i="11"/>
  <c r="S12" i="11"/>
  <c r="T12" i="11"/>
  <c r="U12" i="11"/>
  <c r="V12" i="11"/>
  <c r="W12" i="11"/>
  <c r="X12" i="11"/>
  <c r="Y12" i="11"/>
  <c r="Z12" i="11"/>
  <c r="AA12" i="11"/>
  <c r="D13" i="11"/>
  <c r="H13" i="11"/>
  <c r="I13" i="11"/>
  <c r="J13" i="11"/>
  <c r="K13" i="11"/>
  <c r="L13" i="11"/>
  <c r="M13" i="11"/>
  <c r="N13" i="11"/>
  <c r="O13" i="11"/>
  <c r="P13" i="11"/>
  <c r="Q13" i="11"/>
  <c r="R13" i="11"/>
  <c r="S13" i="11"/>
  <c r="T13" i="11"/>
  <c r="U13" i="11"/>
  <c r="V13" i="11"/>
  <c r="W13" i="11"/>
  <c r="X13" i="11"/>
  <c r="Y13" i="11"/>
  <c r="Z13" i="11"/>
  <c r="AA13" i="11"/>
  <c r="D14" i="11"/>
  <c r="H14" i="11"/>
  <c r="I14" i="11"/>
  <c r="J14" i="11"/>
  <c r="K14" i="11"/>
  <c r="L14" i="11"/>
  <c r="M14" i="11"/>
  <c r="N14" i="11"/>
  <c r="O14" i="11"/>
  <c r="P14" i="11"/>
  <c r="Q14" i="11"/>
  <c r="R14" i="11"/>
  <c r="S14" i="11"/>
  <c r="T14" i="11"/>
  <c r="U14" i="11"/>
  <c r="V14" i="11"/>
  <c r="W14" i="11"/>
  <c r="X14" i="11"/>
  <c r="Y14" i="11"/>
  <c r="Z14" i="11"/>
  <c r="AA14" i="11"/>
  <c r="D15" i="11"/>
  <c r="H15" i="11"/>
  <c r="I15" i="11"/>
  <c r="J15" i="11"/>
  <c r="K15" i="11"/>
  <c r="L15" i="11"/>
  <c r="M15" i="11"/>
  <c r="N15" i="11"/>
  <c r="O15" i="11"/>
  <c r="P15" i="11"/>
  <c r="Q15" i="11"/>
  <c r="R15" i="11"/>
  <c r="S15" i="11"/>
  <c r="T15" i="11"/>
  <c r="U15" i="11"/>
  <c r="V15" i="11"/>
  <c r="W15" i="11"/>
  <c r="X15" i="11"/>
  <c r="Y15" i="11"/>
  <c r="Z15" i="11"/>
  <c r="AA15" i="11"/>
  <c r="D16" i="11"/>
  <c r="K16" i="11"/>
  <c r="L16" i="11"/>
  <c r="M16" i="11"/>
  <c r="N16" i="11"/>
  <c r="O16" i="11"/>
  <c r="P16" i="11"/>
  <c r="Q16" i="11"/>
  <c r="R16" i="11"/>
  <c r="S16" i="11"/>
  <c r="T16" i="11"/>
  <c r="U16" i="11"/>
  <c r="V16" i="11"/>
  <c r="W16" i="11"/>
  <c r="X16" i="11"/>
  <c r="Y16" i="11"/>
  <c r="Z16" i="11"/>
  <c r="AA16" i="11"/>
  <c r="D23" i="11"/>
  <c r="F23" i="11"/>
  <c r="H23" i="11"/>
  <c r="I23" i="11"/>
  <c r="J23" i="11"/>
  <c r="K23" i="11"/>
  <c r="L23" i="11"/>
  <c r="M23" i="11"/>
  <c r="N23" i="11"/>
  <c r="O23" i="11"/>
  <c r="P23" i="11"/>
  <c r="Q23" i="11"/>
  <c r="R23" i="11"/>
  <c r="S23" i="11"/>
  <c r="T23" i="11"/>
  <c r="U23" i="11"/>
  <c r="V23" i="11"/>
  <c r="W23" i="11"/>
  <c r="X23" i="11"/>
  <c r="Y23" i="11"/>
  <c r="Z23" i="11"/>
  <c r="AA23" i="11"/>
  <c r="D24" i="11"/>
  <c r="F24" i="11"/>
  <c r="D25" i="11"/>
  <c r="F25" i="11"/>
  <c r="D26" i="11"/>
  <c r="F26" i="11"/>
  <c r="D29" i="11"/>
  <c r="F29" i="11"/>
  <c r="H29" i="11"/>
  <c r="I29" i="11"/>
  <c r="J29" i="11"/>
  <c r="K29" i="11"/>
  <c r="L29" i="11"/>
  <c r="M29" i="11"/>
  <c r="N29" i="11"/>
  <c r="O29" i="11"/>
  <c r="P29" i="11"/>
  <c r="Q29" i="11"/>
  <c r="R29" i="11"/>
  <c r="S29" i="11"/>
  <c r="T29" i="11"/>
  <c r="U29" i="11"/>
  <c r="V29" i="11"/>
  <c r="W29" i="11"/>
  <c r="X29" i="11"/>
  <c r="Y29" i="11"/>
  <c r="Z29" i="11"/>
  <c r="AA29" i="11"/>
  <c r="D30" i="11"/>
  <c r="H30" i="11"/>
  <c r="I30" i="11"/>
  <c r="J30" i="11"/>
  <c r="K30" i="11"/>
  <c r="L30" i="11"/>
  <c r="M30" i="11"/>
  <c r="N30" i="11"/>
  <c r="O30" i="11"/>
  <c r="P30" i="11"/>
  <c r="Q30" i="11"/>
  <c r="R30" i="11"/>
  <c r="S30" i="11"/>
  <c r="T30" i="11"/>
  <c r="U30" i="11"/>
  <c r="V30" i="11"/>
  <c r="D31" i="11"/>
  <c r="F31" i="11"/>
  <c r="H31" i="11"/>
  <c r="I31" i="11"/>
  <c r="J31" i="11"/>
  <c r="K31" i="11"/>
  <c r="L31" i="11"/>
  <c r="M31" i="11"/>
  <c r="N31" i="11"/>
  <c r="O31" i="11"/>
  <c r="P31" i="11"/>
  <c r="Q31" i="11"/>
  <c r="R31" i="11"/>
  <c r="S31" i="11"/>
  <c r="T31" i="11"/>
  <c r="U31" i="11"/>
  <c r="V31" i="11"/>
  <c r="D32" i="11"/>
  <c r="H32" i="11"/>
  <c r="I32" i="11"/>
  <c r="J32" i="11"/>
  <c r="K32" i="11"/>
  <c r="L32" i="11"/>
  <c r="M32" i="11"/>
  <c r="N32" i="11"/>
  <c r="O32" i="11"/>
  <c r="P32" i="11"/>
  <c r="Q32" i="11"/>
  <c r="R32" i="11"/>
  <c r="S32" i="11"/>
  <c r="T32" i="11"/>
  <c r="U32" i="11"/>
  <c r="V32" i="11"/>
  <c r="W32" i="11"/>
  <c r="X32" i="11"/>
  <c r="Y32" i="11"/>
  <c r="Z32" i="11"/>
  <c r="AA32" i="11"/>
  <c r="D33" i="11"/>
  <c r="F33" i="11"/>
  <c r="H33" i="11"/>
  <c r="I33" i="11"/>
  <c r="J33" i="11"/>
  <c r="K33" i="11"/>
  <c r="L33" i="11"/>
  <c r="M33" i="11"/>
  <c r="N33" i="11"/>
  <c r="O33" i="11"/>
  <c r="P33" i="11"/>
  <c r="Q33" i="11"/>
  <c r="R33" i="11"/>
  <c r="S33" i="11"/>
  <c r="T33" i="11"/>
  <c r="U33" i="11"/>
  <c r="V33" i="11"/>
  <c r="W33" i="11"/>
  <c r="X33" i="11"/>
  <c r="Y33" i="11"/>
  <c r="Z33" i="11"/>
  <c r="AA33" i="11"/>
  <c r="F34" i="11"/>
  <c r="G34" i="11"/>
  <c r="H34" i="11"/>
  <c r="I34" i="11"/>
  <c r="J34" i="11"/>
  <c r="K34" i="11"/>
  <c r="L34" i="11"/>
  <c r="M34" i="11"/>
  <c r="N34" i="11"/>
  <c r="O34" i="11"/>
  <c r="P34" i="11"/>
  <c r="Q34" i="11"/>
  <c r="R34" i="11"/>
  <c r="S34" i="11"/>
  <c r="T34" i="11"/>
  <c r="U34" i="11"/>
  <c r="V34" i="11"/>
  <c r="W34" i="11"/>
  <c r="X34" i="11"/>
  <c r="Y34" i="11"/>
  <c r="Z34" i="11"/>
  <c r="AA34" i="11"/>
  <c r="H42" i="11"/>
  <c r="I42" i="11"/>
  <c r="J42" i="11"/>
  <c r="K42" i="11"/>
  <c r="L42" i="11"/>
  <c r="M42" i="11"/>
  <c r="N42" i="11"/>
  <c r="O42" i="11"/>
  <c r="P42" i="11"/>
  <c r="Q42" i="11"/>
  <c r="R42" i="11"/>
  <c r="S42" i="11"/>
  <c r="T42" i="11"/>
  <c r="U42" i="11"/>
  <c r="V42" i="11"/>
  <c r="W42" i="11"/>
  <c r="X42" i="11"/>
  <c r="Y42" i="11"/>
  <c r="Z42" i="11"/>
  <c r="AA42" i="11"/>
  <c r="D11" i="15"/>
  <c r="D13" i="15"/>
  <c r="D16" i="15"/>
  <c r="D17" i="15"/>
  <c r="D18" i="15"/>
  <c r="D19" i="15"/>
  <c r="D20" i="15"/>
  <c r="D21" i="15"/>
  <c r="D22" i="15"/>
  <c r="D23" i="15"/>
  <c r="D24" i="15"/>
  <c r="D25" i="15"/>
  <c r="H78" i="2"/>
  <c r="H79" i="2"/>
  <c r="H80" i="2"/>
  <c r="H86" i="2"/>
  <c r="H94" i="2"/>
  <c r="H96" i="2"/>
  <c r="H143" i="2"/>
  <c r="E11" i="5"/>
  <c r="E12" i="5"/>
</calcChain>
</file>

<file path=xl/comments1.xml><?xml version="1.0" encoding="utf-8"?>
<comments xmlns="http://schemas.openxmlformats.org/spreadsheetml/2006/main">
  <authors>
    <author>HP</author>
  </authors>
  <commentList>
    <comment ref="F2" authorId="0">
      <text>
        <r>
          <rPr>
            <b/>
            <sz val="9"/>
            <rFont val="宋体"/>
            <charset val="134"/>
          </rPr>
          <t>HP:</t>
        </r>
        <r>
          <rPr>
            <sz val="9"/>
            <rFont val="宋体"/>
            <charset val="134"/>
          </rPr>
          <t xml:space="preserve">
引用维护板块内容</t>
        </r>
      </text>
    </comment>
  </commentList>
</comments>
</file>

<file path=xl/comments2.xml><?xml version="1.0" encoding="utf-8"?>
<comments xmlns="http://schemas.openxmlformats.org/spreadsheetml/2006/main">
  <authors>
    <author>HP</author>
  </authors>
  <commentList>
    <comment ref="D6" authorId="0">
      <text>
        <r>
          <rPr>
            <b/>
            <sz val="9"/>
            <rFont val="宋体"/>
            <charset val="134"/>
          </rPr>
          <t>HP:</t>
        </r>
        <r>
          <rPr>
            <sz val="9"/>
            <rFont val="宋体"/>
            <charset val="134"/>
          </rPr>
          <t xml:space="preserve">
反算、敏感性分析、蒙特卡洛
</t>
        </r>
      </text>
    </comment>
    <comment ref="D9" authorId="0">
      <text>
        <r>
          <rPr>
            <b/>
            <sz val="9"/>
            <rFont val="宋体"/>
            <charset val="134"/>
          </rPr>
          <t>HP:</t>
        </r>
        <r>
          <rPr>
            <sz val="9"/>
            <rFont val="宋体"/>
            <charset val="134"/>
          </rPr>
          <t xml:space="preserve">
蒙特卡洛分析、敏感性分析     反算
</t>
        </r>
      </text>
    </comment>
    <comment ref="D12" authorId="0">
      <text>
        <r>
          <rPr>
            <b/>
            <sz val="9"/>
            <rFont val="宋体"/>
            <charset val="134"/>
          </rPr>
          <t>HP:</t>
        </r>
        <r>
          <rPr>
            <sz val="9"/>
            <rFont val="宋体"/>
            <charset val="134"/>
          </rPr>
          <t xml:space="preserve">
蒙特卡洛分析、敏感性分析     反算
</t>
        </r>
      </text>
    </comment>
    <comment ref="F12" authorId="0">
      <text>
        <r>
          <rPr>
            <b/>
            <sz val="9"/>
            <rFont val="宋体"/>
            <charset val="134"/>
          </rPr>
          <t>HP:</t>
        </r>
        <r>
          <rPr>
            <sz val="9"/>
            <rFont val="宋体"/>
            <charset val="134"/>
          </rPr>
          <t xml:space="preserve">
表三成本表</t>
        </r>
      </text>
    </comment>
  </commentList>
</comments>
</file>

<file path=xl/sharedStrings.xml><?xml version="1.0" encoding="utf-8"?>
<sst xmlns="http://schemas.openxmlformats.org/spreadsheetml/2006/main" count="2169" uniqueCount="686">
  <si>
    <t>参数输入表中：</t>
  </si>
  <si>
    <t>标黄项为相对固定模块</t>
  </si>
  <si>
    <t>标绿项为对成本类、收入类数据进行分类，成本参数按照：“生产成本/销售费用/管理费用/研发费用”划分；收入参数按照：“营业收入/其他收入/营业外收入”划分</t>
  </si>
  <si>
    <t>标橙项为固定的分类原则</t>
  </si>
  <si>
    <t>标紫项为在参数表中不需要手动输入、勾选的内容，根据其他输入参数自动计算得出，可不在参数输入界面呈现。</t>
  </si>
  <si>
    <t>标红项为引用同样红色sheet中相关数据</t>
  </si>
  <si>
    <t>标蓝项为可不展示内容，大部分为中间过程计算表/中间计算过程</t>
  </si>
  <si>
    <r>
      <rPr>
        <sz val="11"/>
        <color theme="1"/>
        <rFont val="微软雅黑"/>
        <charset val="134"/>
      </rPr>
      <t>【</t>
    </r>
    <r>
      <rPr>
        <b/>
        <sz val="11"/>
        <color theme="1"/>
        <rFont val="微软雅黑"/>
        <charset val="134"/>
      </rPr>
      <t>成本费用表】</t>
    </r>
    <r>
      <rPr>
        <sz val="11"/>
        <color theme="1"/>
        <rFont val="微软雅黑"/>
        <charset val="134"/>
      </rPr>
      <t>、【</t>
    </r>
    <r>
      <rPr>
        <b/>
        <sz val="11"/>
        <color theme="1"/>
        <rFont val="微软雅黑"/>
        <charset val="134"/>
      </rPr>
      <t>收入税金表】</t>
    </r>
    <r>
      <rPr>
        <sz val="11"/>
        <color theme="1"/>
        <rFont val="微软雅黑"/>
        <charset val="134"/>
      </rPr>
      <t>、【</t>
    </r>
    <r>
      <rPr>
        <b/>
        <sz val="11"/>
        <color theme="1"/>
        <rFont val="微软雅黑"/>
        <charset val="134"/>
      </rPr>
      <t>利润表】</t>
    </r>
    <r>
      <rPr>
        <sz val="11"/>
        <color theme="1"/>
        <rFont val="微软雅黑"/>
        <charset val="134"/>
      </rPr>
      <t>体现的是会计报表相关数据，涉及到的收入及成本数据均为不含增值税金额，</t>
    </r>
    <r>
      <rPr>
        <b/>
        <sz val="11"/>
        <color theme="1"/>
        <rFont val="微软雅黑"/>
        <charset val="134"/>
      </rPr>
      <t>不含税金额计算公式为： 【含税金额/（1+增值税税率）】；增值税计算公式为：【不含税金额*增值税税率】或【含税金额/（1+增值税税率）*增值税税率】</t>
    </r>
  </si>
  <si>
    <r>
      <rPr>
        <sz val="11"/>
        <color theme="1"/>
        <rFont val="微软雅黑"/>
        <charset val="134"/>
      </rPr>
      <t>【</t>
    </r>
    <r>
      <rPr>
        <b/>
        <sz val="11"/>
        <color theme="1"/>
        <rFont val="微软雅黑"/>
        <charset val="134"/>
      </rPr>
      <t>成本费用表</t>
    </r>
    <r>
      <rPr>
        <sz val="11"/>
        <color theme="1"/>
        <rFont val="微软雅黑"/>
        <charset val="134"/>
      </rPr>
      <t>】中各项成本按照：一、营业总成本：（1）生产成本；（2）销售费用；（3）管理费用；（4）研发费用；（5）财务费用；二、营业外支出，进行划分，其中需重点关注</t>
    </r>
    <r>
      <rPr>
        <b/>
        <sz val="11"/>
        <color theme="1"/>
        <rFont val="微软雅黑"/>
        <charset val="134"/>
      </rPr>
      <t>长期待摊费用成本项</t>
    </r>
    <r>
      <rPr>
        <sz val="11"/>
        <color theme="1"/>
        <rFont val="微软雅黑"/>
        <charset val="134"/>
      </rPr>
      <t>，在成本费用表中以逐年摊销的形式出现。</t>
    </r>
  </si>
  <si>
    <r>
      <rPr>
        <sz val="11"/>
        <color theme="1"/>
        <rFont val="微软雅黑"/>
        <charset val="134"/>
      </rPr>
      <t>【</t>
    </r>
    <r>
      <rPr>
        <b/>
        <sz val="11"/>
        <color theme="1"/>
        <rFont val="微软雅黑"/>
        <charset val="134"/>
      </rPr>
      <t>成本费用表</t>
    </r>
    <r>
      <rPr>
        <sz val="11"/>
        <color theme="1"/>
        <rFont val="微软雅黑"/>
        <charset val="134"/>
      </rPr>
      <t>】中标蓝的内容为不展示内容，为中间计算表，其中数据均还原成含税金额，用于后续的【</t>
    </r>
    <r>
      <rPr>
        <b/>
        <sz val="11"/>
        <color theme="1"/>
        <rFont val="微软雅黑"/>
        <charset val="134"/>
      </rPr>
      <t>现金流量表</t>
    </r>
    <r>
      <rPr>
        <sz val="11"/>
        <color theme="1"/>
        <rFont val="微软雅黑"/>
        <charset val="134"/>
      </rPr>
      <t>】引用</t>
    </r>
  </si>
  <si>
    <r>
      <rPr>
        <sz val="11"/>
        <color theme="1"/>
        <rFont val="微软雅黑"/>
        <charset val="134"/>
      </rPr>
      <t>【</t>
    </r>
    <r>
      <rPr>
        <b/>
        <sz val="11"/>
        <color theme="1"/>
        <rFont val="微软雅黑"/>
        <charset val="134"/>
      </rPr>
      <t>收入表</t>
    </r>
    <r>
      <rPr>
        <sz val="11"/>
        <color theme="1"/>
        <rFont val="微软雅黑"/>
        <charset val="134"/>
      </rPr>
      <t>】中各项收入按照：一、营业收入；二、其他收入；三、营业外收入，营业收入及营业外收入需展示二级目录（具体的收入项）</t>
    </r>
  </si>
  <si>
    <r>
      <rPr>
        <sz val="11"/>
        <color theme="1"/>
        <rFont val="微软雅黑"/>
        <charset val="134"/>
      </rPr>
      <t>【</t>
    </r>
    <r>
      <rPr>
        <b/>
        <sz val="11"/>
        <color theme="1"/>
        <rFont val="微软雅黑"/>
        <charset val="134"/>
      </rPr>
      <t>现金流量表</t>
    </r>
    <r>
      <rPr>
        <sz val="11"/>
        <color theme="1"/>
        <rFont val="微软雅黑"/>
        <charset val="134"/>
      </rPr>
      <t>】体现的是公司账上实际收到或支付的现金流，因此涉及到的收入及成本数据均为含增值税金额，数据需引用成本费用表中还原后的含税金额或参数输入表中的含税金额。同时，收入数据需关注付款比例及回款期限的应用。原理为当年的部分比例收入的滞后支付，第一年的某项收入现金流为预测现金流*首年支付比例，第二年的某项收入现金流为：当年预测现金流*当年支付比例+上一年预测现金流*（1-上一年支付比例）</t>
    </r>
  </si>
  <si>
    <r>
      <rPr>
        <sz val="11"/>
        <color theme="1"/>
        <rFont val="微软雅黑"/>
        <charset val="134"/>
      </rPr>
      <t>【</t>
    </r>
    <r>
      <rPr>
        <b/>
        <sz val="11"/>
        <color theme="1"/>
        <rFont val="微软雅黑"/>
        <charset val="134"/>
      </rPr>
      <t>现金流量表-财务计划</t>
    </r>
    <r>
      <rPr>
        <sz val="11"/>
        <color theme="1"/>
        <rFont val="微软雅黑"/>
        <charset val="134"/>
      </rPr>
      <t>】增加IF判定条件，当某年的累计盈余资金&lt;“流动资金（本项目为960万元）”+次年的“生产经营现金支出合计（成本费用表标蓝表第一行）”，给出明显提示（允许用户在参数输入界面填写各年度短期借款当期借款金额及还本金额，再重新生成新的结果）</t>
    </r>
  </si>
  <si>
    <t>投资概算</t>
  </si>
  <si>
    <t>序号</t>
  </si>
  <si>
    <t>科目</t>
  </si>
  <si>
    <t>计取基数</t>
  </si>
  <si>
    <t>进项税率</t>
  </si>
  <si>
    <t>进项税</t>
  </si>
  <si>
    <t>设备购置费</t>
  </si>
  <si>
    <t>建安工程费</t>
  </si>
  <si>
    <t>其他费用</t>
  </si>
  <si>
    <t>预备费</t>
  </si>
  <si>
    <t>储能投资</t>
  </si>
  <si>
    <t>送出线路投资</t>
  </si>
  <si>
    <t>配套支持资金</t>
  </si>
  <si>
    <t>静态总投资</t>
  </si>
  <si>
    <t>建设期利息</t>
  </si>
  <si>
    <t>动态总投资</t>
  </si>
  <si>
    <t>流动资金</t>
  </si>
  <si>
    <t>可抵扣进项税</t>
  </si>
  <si>
    <t>可抵扣进项税为后台计算，不需要作为成果展示</t>
  </si>
  <si>
    <t>【风储】财务评价计算模型边界条件输入参数表</t>
  </si>
  <si>
    <t>类别</t>
  </si>
  <si>
    <t>参数</t>
  </si>
  <si>
    <t>操作类型</t>
  </si>
  <si>
    <t>收入/成本归类</t>
  </si>
  <si>
    <t>参数释义/计算公式</t>
  </si>
  <si>
    <t>数值</t>
  </si>
  <si>
    <t>单位</t>
  </si>
  <si>
    <t>取值说明</t>
  </si>
  <si>
    <t>备注</t>
  </si>
  <si>
    <t>基础信息</t>
  </si>
  <si>
    <t>建设期</t>
  </si>
  <si>
    <t>手动输入</t>
  </si>
  <si>
    <t>月</t>
  </si>
  <si>
    <t>在初核阶段，不含升压站的集中式光伏项目建设期一般按5个月计算，含升压站的按7个月计算，大型基地项目根据实际情况调整。</t>
  </si>
  <si>
    <t>动工年月</t>
  </si>
  <si>
    <t>手动输入/下拉菜单选择【日历】</t>
  </si>
  <si>
    <t>年/月</t>
  </si>
  <si>
    <t>施工进度安排</t>
  </si>
  <si>
    <t>%</t>
  </si>
  <si>
    <t>建设期第1年</t>
  </si>
  <si>
    <t>建设期第2年</t>
  </si>
  <si>
    <t>运营期</t>
  </si>
  <si>
    <t>年</t>
  </si>
  <si>
    <t>原则上按照20年考虑</t>
  </si>
  <si>
    <t>项目所在地</t>
  </si>
  <si>
    <t>下拉菜单选择</t>
  </si>
  <si>
    <t>判定是否属于西部地区</t>
  </si>
  <si>
    <t>所在省份</t>
  </si>
  <si>
    <t>所在市、县</t>
  </si>
  <si>
    <t>生产相关</t>
  </si>
  <si>
    <t>实际装机容量</t>
  </si>
  <si>
    <t>MW</t>
  </si>
  <si>
    <t>1MW=1000kW</t>
  </si>
  <si>
    <t>储能额定功率</t>
  </si>
  <si>
    <t>储能容量</t>
  </si>
  <si>
    <t>MWh</t>
  </si>
  <si>
    <t>年均利用小时数</t>
  </si>
  <si>
    <t>h</t>
  </si>
  <si>
    <t>发电量</t>
  </si>
  <si>
    <t>自动计算</t>
  </si>
  <si>
    <t>各年上网电量=年利用小时数*实际装机容量</t>
  </si>
  <si>
    <t>年均</t>
  </si>
  <si>
    <t>上网电量</t>
  </si>
  <si>
    <t>各年上网电量=（（年利用小时数*实际装机容量）-数能融合消纳电量）*（1-限电率）</t>
  </si>
  <si>
    <t>1MWh=0.1万度电</t>
  </si>
  <si>
    <t>运营期第1年</t>
  </si>
  <si>
    <t>运营期第2年</t>
  </si>
  <si>
    <t>运营期第3年</t>
  </si>
  <si>
    <t>运营期第4年</t>
  </si>
  <si>
    <t>运营期第5年</t>
  </si>
  <si>
    <t>运营期第6年</t>
  </si>
  <si>
    <t>运营期第7年</t>
  </si>
  <si>
    <t>运营期第8年</t>
  </si>
  <si>
    <t>运营期第9年</t>
  </si>
  <si>
    <t>运营期第10年</t>
  </si>
  <si>
    <t>运营期第11年</t>
  </si>
  <si>
    <t>运营期第12年</t>
  </si>
  <si>
    <t>运营期第13年</t>
  </si>
  <si>
    <t>运营期第14年</t>
  </si>
  <si>
    <t>运营期第15年</t>
  </si>
  <si>
    <t>运营期第16年</t>
  </si>
  <si>
    <t>运营期第17年</t>
  </si>
  <si>
    <t>运营期第18年</t>
  </si>
  <si>
    <t>运营期第19年</t>
  </si>
  <si>
    <t>运营期第20年</t>
  </si>
  <si>
    <t>上网电价</t>
  </si>
  <si>
    <t>元/kWh</t>
  </si>
  <si>
    <t>……</t>
  </si>
  <si>
    <t>限电率</t>
  </si>
  <si>
    <t>数能融合消纳风电电量占比</t>
  </si>
  <si>
    <t>数能融合机制电价</t>
  </si>
  <si>
    <t>手动输入/下拉菜单选择【增值税税率】</t>
  </si>
  <si>
    <t>增值税税率（自动生成含税和不含税价）：13%/9%/6%/0%</t>
  </si>
  <si>
    <t>万元</t>
  </si>
  <si>
    <t>项目静态总投资</t>
  </si>
  <si>
    <t>投资概算1-7合计</t>
  </si>
  <si>
    <t>静态总投资（自主投资）</t>
  </si>
  <si>
    <t>静态总投资（自主投资）=项目静态总投资-建设补贴</t>
  </si>
  <si>
    <t>计入总投资的资本化利息，直接引用资金筹措表数据</t>
  </si>
  <si>
    <r>
      <rPr>
        <b/>
        <sz val="12"/>
        <color theme="1"/>
        <rFont val="宋体"/>
        <charset val="134"/>
        <scheme val="minor"/>
      </rPr>
      <t>项目动态总投资</t>
    </r>
    <r>
      <rPr>
        <b/>
        <sz val="10"/>
        <color theme="1"/>
        <rFont val="宋体"/>
        <charset val="134"/>
        <scheme val="minor"/>
      </rPr>
      <t xml:space="preserve"> (不含流动资金)</t>
    </r>
  </si>
  <si>
    <r>
      <rPr>
        <sz val="11"/>
        <color theme="1"/>
        <rFont val="宋体"/>
        <charset val="134"/>
        <scheme val="minor"/>
      </rPr>
      <t>项目动态总投资</t>
    </r>
    <r>
      <rPr>
        <sz val="9"/>
        <color theme="1"/>
        <rFont val="宋体"/>
        <charset val="134"/>
        <scheme val="minor"/>
      </rPr>
      <t>（不含流动资金）</t>
    </r>
    <r>
      <rPr>
        <sz val="11"/>
        <color theme="1"/>
        <rFont val="宋体"/>
        <charset val="134"/>
        <scheme val="minor"/>
      </rPr>
      <t>=项目静态总投资+建设期利息</t>
    </r>
  </si>
  <si>
    <r>
      <rPr>
        <b/>
        <sz val="12"/>
        <color theme="1"/>
        <rFont val="宋体"/>
        <charset val="134"/>
        <scheme val="minor"/>
      </rPr>
      <t>动态总投资</t>
    </r>
    <r>
      <rPr>
        <b/>
        <sz val="10"/>
        <color theme="1"/>
        <rFont val="宋体"/>
        <charset val="134"/>
        <scheme val="minor"/>
      </rPr>
      <t>（自主投资_不含流动资金）</t>
    </r>
  </si>
  <si>
    <r>
      <rPr>
        <sz val="11"/>
        <color theme="1"/>
        <rFont val="宋体"/>
        <charset val="134"/>
        <scheme val="minor"/>
      </rPr>
      <t>动态总投资</t>
    </r>
    <r>
      <rPr>
        <sz val="9"/>
        <color theme="1"/>
        <rFont val="宋体"/>
        <charset val="134"/>
        <scheme val="minor"/>
      </rPr>
      <t>（自主投资</t>
    </r>
    <r>
      <rPr>
        <sz val="9"/>
        <color theme="1"/>
        <rFont val="宋体"/>
        <charset val="134"/>
        <scheme val="minor"/>
      </rPr>
      <t>_</t>
    </r>
    <r>
      <rPr>
        <sz val="9"/>
        <color theme="1"/>
        <rFont val="宋体"/>
        <charset val="134"/>
        <scheme val="minor"/>
      </rPr>
      <t>不含流动资金）</t>
    </r>
    <r>
      <rPr>
        <sz val="11"/>
        <color theme="1"/>
        <rFont val="宋体"/>
        <charset val="134"/>
        <scheme val="minor"/>
      </rPr>
      <t>=静态总投资（自主投资）+建设期利息</t>
    </r>
  </si>
  <si>
    <t>手动输入后自动计算</t>
  </si>
  <si>
    <t>自定义计算规则</t>
  </si>
  <si>
    <t>建议按照30元/kW考虑</t>
  </si>
  <si>
    <t>流动资金取费单价</t>
  </si>
  <si>
    <t>流动资金=实际装机容量*流动资金取费单价/10000</t>
  </si>
  <si>
    <t>元/kW</t>
  </si>
  <si>
    <t>根据项目设计概算梳理出设备类、建安类、服务类投资，再分别按照对应适用税率（现行标准为13%、9%、6%）计算出可抵扣增值税额</t>
  </si>
  <si>
    <t>建设补贴</t>
  </si>
  <si>
    <t>投融资相关</t>
  </si>
  <si>
    <t>资本金比例</t>
  </si>
  <si>
    <t>资本金比例原则上在20%-30%之间</t>
  </si>
  <si>
    <t>资本金</t>
  </si>
  <si>
    <t>资本金=资金筹措动态总投资*资本金比例</t>
  </si>
  <si>
    <t>宽限期</t>
  </si>
  <si>
    <t>建设期仅付息，不还本</t>
  </si>
  <si>
    <t>建设期利息贷款利率</t>
  </si>
  <si>
    <t>用于计算建设期利息的贷款利率</t>
  </si>
  <si>
    <t>长期贷款利率</t>
  </si>
  <si>
    <t>原则上按照开发主体在项目所在地实际融资水平取值，不得高于同期限银行贷款基础利率（LPR）</t>
  </si>
  <si>
    <t>短期贷款利率</t>
  </si>
  <si>
    <t>长期借款本金偿还方式</t>
  </si>
  <si>
    <t>等额本息/等额本金/其他</t>
  </si>
  <si>
    <t>长期借款本金还款期限</t>
  </si>
  <si>
    <t>还款期限建议取值15年，最终根据与银行沟通协商情况据实调整</t>
  </si>
  <si>
    <t>流动资金中资本金占比</t>
  </si>
  <si>
    <t>项目公司注册资本</t>
  </si>
  <si>
    <t>盈余公积金</t>
  </si>
  <si>
    <t>法定盈余公积金提取上限</t>
  </si>
  <si>
    <t>法定盈余公积金按当年净利润10%提取，累计提取至注册资本的50%不再提取</t>
  </si>
  <si>
    <t>法定盈余公积金提取比例</t>
  </si>
  <si>
    <t>默认成固定值</t>
  </si>
  <si>
    <t>法定盈余公积金按当年净利润10%提取</t>
  </si>
  <si>
    <t>任意盈余公积金提取比例</t>
  </si>
  <si>
    <t>短期借款</t>
  </si>
  <si>
    <t>短期借款额</t>
  </si>
  <si>
    <t>手动输入（运营期各年），初始默认各年为0</t>
  </si>
  <si>
    <t>短期借款还本</t>
  </si>
  <si>
    <t>成本费用</t>
  </si>
  <si>
    <t>材料费</t>
  </si>
  <si>
    <t>生产成本/销售费用/管理费用/研发费用</t>
  </si>
  <si>
    <t>在运营期前5年（质保期内）将材料费和运行维护费用合并考虑，建议取值不低于1万元/兆瓦/年；自运营期第6年起单独考虑材料费，建议取值不低于0.1万元/兆瓦/年。
（对于外委运维，应结合运维合同约定的工作界面，视情况进行调整）</t>
  </si>
  <si>
    <t>前端自定义</t>
  </si>
  <si>
    <t>运营期1-5年</t>
  </si>
  <si>
    <t>万元/兆瓦/年</t>
  </si>
  <si>
    <t>运营期6-10年</t>
  </si>
  <si>
    <t>运营期11-15年</t>
  </si>
  <si>
    <t>运营期16-20年</t>
  </si>
  <si>
    <t>增值税税率（自动生成含税和不含税数据）</t>
  </si>
  <si>
    <t>13%/9%/6%/0%</t>
  </si>
  <si>
    <t>维修费</t>
  </si>
  <si>
    <t>生产成本/管理费用</t>
  </si>
  <si>
    <t>在运营期前5年（质保期内）将材料费和运行维护费用合并考虑，建议取值不低于1万元/兆瓦/年；自运营期第6年开始单独考虑运行维修费，结合固定资产磨损状态，建议第六年按照不低于项目固定资产原值0.3%取值，之后每5年上调不低于0.1%。
（对于外委运维，应结合运维合同约定的工作界面，视情况进行调整）</t>
  </si>
  <si>
    <t>取费基数</t>
  </si>
  <si>
    <t>费率</t>
  </si>
  <si>
    <t>增值税税率（自动生成含税和不含数据）</t>
  </si>
  <si>
    <t>保险费</t>
  </si>
  <si>
    <t>管理费用</t>
  </si>
  <si>
    <t>原则上应按照实际购买险种和对应集采价格进行计算。
如暂无固定统一的保险供应商及价格，在运营期前5年（质保期内）建议按照项目固定资产现值0.011%取值，自运营期第6年开始取值0.031%。</t>
  </si>
  <si>
    <t>可自定义25年费率</t>
  </si>
  <si>
    <t>增值税税率（自动生成含税和不含税价）</t>
  </si>
  <si>
    <t>生产人员薪酬及福利</t>
  </si>
  <si>
    <t>生产成本</t>
  </si>
  <si>
    <t>生产人员（正式/劳务派遣）</t>
  </si>
  <si>
    <t>（1）正式员工
①人员数量：定员原则上100MW以内不超过12人，陆上风电梅50MW增加1人，装机规模低于100MW，定员不低于4人。</t>
  </si>
  <si>
    <t>正式员工</t>
  </si>
  <si>
    <t>人</t>
  </si>
  <si>
    <t>劳务派遣</t>
  </si>
  <si>
    <t>人均工资</t>
  </si>
  <si>
    <r>
      <rPr>
        <sz val="12"/>
        <rFont val="宋体"/>
        <charset val="134"/>
      </rPr>
      <t>万元/人</t>
    </r>
    <r>
      <rPr>
        <sz val="12"/>
        <rFont val="宋体"/>
        <charset val="134"/>
      </rPr>
      <t>/年</t>
    </r>
  </si>
  <si>
    <t>正式员工工资</t>
  </si>
  <si>
    <t>劳务派遣工资</t>
  </si>
  <si>
    <t>社会保险及福利费用系数</t>
  </si>
  <si>
    <t>上涨系数调整</t>
  </si>
  <si>
    <t>可自定义增长形式</t>
  </si>
  <si>
    <t>其他费用（单价）</t>
  </si>
  <si>
    <t>万元/MW</t>
  </si>
  <si>
    <t>建议按照1万元/兆瓦/年取值。
（对于外委运维，应结合运维合同约定的工作界面，视情况进行调整）</t>
  </si>
  <si>
    <t>场地租金费用</t>
  </si>
  <si>
    <t>租地面积</t>
  </si>
  <si>
    <t>亩</t>
  </si>
  <si>
    <t>租金单价</t>
  </si>
  <si>
    <t>元/亩/年</t>
  </si>
  <si>
    <t>期末拆除费用</t>
  </si>
  <si>
    <t>固定资产原值*拆除费率，初核阶段建议可按照固定资产原值2%估算。</t>
  </si>
  <si>
    <t>储能费用</t>
  </si>
  <si>
    <t>元/kw/年</t>
  </si>
  <si>
    <t>资产折旧摊销</t>
  </si>
  <si>
    <t>不需要归类</t>
  </si>
  <si>
    <t>固定资产折旧</t>
  </si>
  <si>
    <t>固定资产原值</t>
  </si>
  <si>
    <t>固定资产原值=项目动态总投资（自主投资_不含流动资金）-可抵扣进项税=项目静态总投资-建设补贴+建设期利息-可抵扣进项税</t>
  </si>
  <si>
    <t>9.1.1</t>
  </si>
  <si>
    <t>固定资产折旧计提方式</t>
  </si>
  <si>
    <t>直线法/其他(手动填写各年的折旧额)</t>
  </si>
  <si>
    <t>原则上采用平均年限法进行折旧，折旧年限取值15年，残值率取值5%</t>
  </si>
  <si>
    <t>9.1.2</t>
  </si>
  <si>
    <t>固定资产折旧年限</t>
  </si>
  <si>
    <t>9.1.3</t>
  </si>
  <si>
    <t>固定资产残值率</t>
  </si>
  <si>
    <t>无形资产摊销</t>
  </si>
  <si>
    <t>9.2.1</t>
  </si>
  <si>
    <t>无形资产原值</t>
  </si>
  <si>
    <t>9.2.2</t>
  </si>
  <si>
    <t>无形资产摊销计提方式</t>
  </si>
  <si>
    <t>9.2.3</t>
  </si>
  <si>
    <t>无形资产摊销年限</t>
  </si>
  <si>
    <t>9.2.4</t>
  </si>
  <si>
    <t>无形资产残值率</t>
  </si>
  <si>
    <t>计入长期待摊的成本项</t>
  </si>
  <si>
    <t>适用于一次性支付多年租金等情形</t>
  </si>
  <si>
    <t>计入长期待摊的成本金额</t>
  </si>
  <si>
    <t>摊销计提方式</t>
  </si>
  <si>
    <t>直线法/其他</t>
  </si>
  <si>
    <t>摊销年限</t>
  </si>
  <si>
    <t>大修及更新重置（维持运营投资）</t>
  </si>
  <si>
    <t>（维持运营投资）设备更新改造</t>
  </si>
  <si>
    <t>大修及更新重置投资</t>
  </si>
  <si>
    <t>折旧摊销计提方式</t>
  </si>
  <si>
    <t>大修及更新重置投资折旧年限</t>
  </si>
  <si>
    <t>大修及更新重置投资残值率</t>
  </si>
  <si>
    <t>增值税进项税</t>
  </si>
  <si>
    <t>大修及更新重置进项税=大修及更新重置投资/（1+增值税税率（自动生成含税和不含税价））*增值税税率（自动生成含税和不含税价）</t>
  </si>
  <si>
    <t>营业外支出</t>
  </si>
  <si>
    <t>营业外支出金额</t>
  </si>
  <si>
    <t>捐赠/税前分红/扶贫支出等</t>
  </si>
  <si>
    <t>收入</t>
  </si>
  <si>
    <t>营业收入</t>
  </si>
  <si>
    <t>发电销售收入</t>
  </si>
  <si>
    <t>发电收入=上网电量*（上网电价-电网辅助服务分摊-两个细则考核）</t>
  </si>
  <si>
    <t>上网售电收入</t>
  </si>
  <si>
    <t>1.1.1</t>
  </si>
  <si>
    <t>直接引用生产相关数据</t>
  </si>
  <si>
    <t>1.1.2</t>
  </si>
  <si>
    <t>1.1.3</t>
  </si>
  <si>
    <t>电网辅助服务分摊</t>
  </si>
  <si>
    <t>原则上按照项目所在地（最多不超过本省）同类型项目的近两年实际平均水平考虑。</t>
  </si>
  <si>
    <t>1.1.4</t>
  </si>
  <si>
    <t>两个细则考核</t>
  </si>
  <si>
    <t>1.1.5</t>
  </si>
  <si>
    <t>数能融合消纳电量收入</t>
  </si>
  <si>
    <t>1.2.1</t>
  </si>
  <si>
    <t>数能融合消纳电量</t>
  </si>
  <si>
    <t>1.2.2</t>
  </si>
  <si>
    <t>其他收入</t>
  </si>
  <si>
    <t>可自定义名称及计算规则</t>
  </si>
  <si>
    <t>数量</t>
  </si>
  <si>
    <t>收入单价</t>
  </si>
  <si>
    <t>营业外收入</t>
  </si>
  <si>
    <r>
      <rPr>
        <b/>
        <sz val="12"/>
        <rFont val="宋体"/>
        <charset val="134"/>
      </rPr>
      <t>政府运营补贴收入</t>
    </r>
    <r>
      <rPr>
        <b/>
        <sz val="10"/>
        <rFont val="宋体"/>
        <charset val="134"/>
      </rPr>
      <t>（一次性）</t>
    </r>
  </si>
  <si>
    <t>3.1.1</t>
  </si>
  <si>
    <t>补贴金额</t>
  </si>
  <si>
    <t>3.1.2</t>
  </si>
  <si>
    <t>递延收益确认</t>
  </si>
  <si>
    <t>税金</t>
  </si>
  <si>
    <t>增值税优惠政策</t>
  </si>
  <si>
    <t>常规/即征即退</t>
  </si>
  <si>
    <t>即征即退</t>
  </si>
  <si>
    <t>菜单项</t>
  </si>
  <si>
    <t>增值税退税优惠</t>
  </si>
  <si>
    <t>企业所得税优惠政策</t>
  </si>
  <si>
    <t>下拉菜单选择
（可多选）</t>
  </si>
  <si>
    <t>常规/所得税三免三减半/西部地区的鼓励类产业企业</t>
  </si>
  <si>
    <t>三免三减半</t>
  </si>
  <si>
    <t>①所得税三免三减半：自取得第一笔发电收入所属纳税年度起，免除第1-3年所得税，减半征收第4-6年所得税。
②若符合西部地区的鼓励类产业企业政策：根据《关于延续西部大开发企业所得税政策的公告》和《西部地区鼓励类产业目录》，对于符合相应应条件的西部地区项目，在2030年及以前的运营期可进一步考虑所得税率减按15%执行的优惠政策。</t>
  </si>
  <si>
    <t>常规</t>
  </si>
  <si>
    <t>无所得税优惠</t>
  </si>
  <si>
    <t>所得税三免三减半</t>
  </si>
  <si>
    <t>自取得第一笔发电收入所属纳税年度起，免除第1-3年所得税，减半征收第4-6年所得税</t>
  </si>
  <si>
    <t>西部地区的鼓励类产业企业</t>
  </si>
  <si>
    <t>2030年前所得税适用15%税率</t>
  </si>
  <si>
    <t>2030年前适用15%所得税税率</t>
  </si>
  <si>
    <t>城市维护建设税税率</t>
  </si>
  <si>
    <t>所在地为市区的，税率7%；
所在地为县城、镇的，税率为5%；
所在地不在市区、县城或镇的，税率为1%。</t>
  </si>
  <si>
    <t>城建税税率（市区）</t>
  </si>
  <si>
    <t>城建税税率（县城、镇）</t>
  </si>
  <si>
    <t>城建税税率（其他）</t>
  </si>
  <si>
    <t>教育费附加费</t>
  </si>
  <si>
    <r>
      <rPr>
        <sz val="12"/>
        <rFont val="宋体"/>
        <charset val="134"/>
      </rPr>
      <t>教育费附加=（实际缴纳的增值税+营业税+消费税）×</t>
    </r>
    <r>
      <rPr>
        <b/>
        <sz val="12"/>
        <rFont val="宋体"/>
        <charset val="134"/>
      </rPr>
      <t>3%</t>
    </r>
    <r>
      <rPr>
        <sz val="11"/>
        <color theme="1"/>
        <rFont val="宋体"/>
        <charset val="134"/>
        <scheme val="minor"/>
      </rPr>
      <t xml:space="preserve">
地方教育附加=（实际缴纳的增值税+营业税+消费税）×</t>
    </r>
    <r>
      <rPr>
        <b/>
        <sz val="12"/>
        <rFont val="宋体"/>
        <charset val="134"/>
      </rPr>
      <t>2%</t>
    </r>
  </si>
  <si>
    <t>教育附加税率</t>
  </si>
  <si>
    <t>地方教育附加税率</t>
  </si>
  <si>
    <t>城镇土地使用税</t>
  </si>
  <si>
    <t>应税土地面积</t>
  </si>
  <si>
    <t>㎡</t>
  </si>
  <si>
    <t>城镇土地使用税税收标准</t>
  </si>
  <si>
    <t>元/㎡</t>
  </si>
  <si>
    <t>维护板块</t>
  </si>
  <si>
    <t>增值税税率（自动生成含税和不含税价）（进项税）</t>
  </si>
  <si>
    <t>增值税税率（自动生成含税和不含税价）（销项税）</t>
  </si>
  <si>
    <t>售电收入</t>
  </si>
  <si>
    <t>参数表中标黄为相对固定模块，成本、收入板块中非固定模块建议设置成可选可添加形式，由操作者自定义名称、计算方式及具体参数进行计算。</t>
  </si>
  <si>
    <t>所有收入、成本参数需同步勾选对应增值税税率（自动生成含税和不含税价）</t>
  </si>
  <si>
    <t>资金筹措表</t>
  </si>
  <si>
    <t>合计</t>
  </si>
  <si>
    <t>动态总投资（自主投资）</t>
  </si>
  <si>
    <t>资金来源</t>
  </si>
  <si>
    <t>2.1.1</t>
  </si>
  <si>
    <t>用于建设投资</t>
  </si>
  <si>
    <t>2.1.2</t>
  </si>
  <si>
    <t>用于建设期利息</t>
  </si>
  <si>
    <t>2.1.3</t>
  </si>
  <si>
    <t>用于流动资金</t>
  </si>
  <si>
    <t>债务资金</t>
  </si>
  <si>
    <t>2.2.1</t>
  </si>
  <si>
    <t>营运资本变动</t>
  </si>
  <si>
    <t>项目</t>
  </si>
  <si>
    <t>流动资产</t>
  </si>
  <si>
    <t>货币资金</t>
  </si>
  <si>
    <t>应收账款</t>
  </si>
  <si>
    <t>存货</t>
  </si>
  <si>
    <r>
      <rPr>
        <sz val="12"/>
        <color theme="1"/>
        <rFont val="微软雅黑"/>
        <charset val="134"/>
      </rPr>
      <t>其他流动资产</t>
    </r>
    <r>
      <rPr>
        <sz val="10"/>
        <color theme="1"/>
        <rFont val="微软雅黑"/>
        <charset val="134"/>
      </rPr>
      <t>（留抵税额）</t>
    </r>
  </si>
  <si>
    <t>流动负债</t>
  </si>
  <si>
    <t>预收款项</t>
  </si>
  <si>
    <t>应付职工薪酬</t>
  </si>
  <si>
    <t>应交税费</t>
  </si>
  <si>
    <t>应付股利</t>
  </si>
  <si>
    <t>其他流动负债</t>
  </si>
  <si>
    <r>
      <rPr>
        <b/>
        <sz val="12"/>
        <color theme="1"/>
        <rFont val="微软雅黑"/>
        <charset val="134"/>
      </rPr>
      <t>借款还本付息表</t>
    </r>
    <r>
      <rPr>
        <b/>
        <sz val="10"/>
        <color theme="1"/>
        <rFont val="微软雅黑"/>
        <charset val="134"/>
      </rPr>
      <t>（长期借款）</t>
    </r>
  </si>
  <si>
    <t>期初借款累计</t>
  </si>
  <si>
    <t>当期借款</t>
  </si>
  <si>
    <t>当期还本付息</t>
  </si>
  <si>
    <r>
      <rPr>
        <sz val="12"/>
        <color theme="1"/>
        <rFont val="微软雅黑"/>
        <charset val="134"/>
      </rPr>
      <t>其中：还本</t>
    </r>
    <r>
      <rPr>
        <sz val="10"/>
        <color rgb="FFFF0000"/>
        <rFont val="微软雅黑"/>
        <charset val="134"/>
      </rPr>
      <t>（等额本息）</t>
    </r>
  </si>
  <si>
    <t xml:space="preserve">      付息</t>
  </si>
  <si>
    <t>期末借款余额</t>
  </si>
  <si>
    <r>
      <rPr>
        <sz val="12"/>
        <color theme="1"/>
        <rFont val="微软雅黑"/>
        <charset val="134"/>
      </rPr>
      <t>其中：还本</t>
    </r>
    <r>
      <rPr>
        <sz val="10"/>
        <color rgb="FF00B050"/>
        <rFont val="微软雅黑"/>
        <charset val="134"/>
      </rPr>
      <t>（等额本金）</t>
    </r>
  </si>
  <si>
    <r>
      <rPr>
        <b/>
        <sz val="12"/>
        <color theme="1"/>
        <rFont val="微软雅黑"/>
        <charset val="134"/>
      </rPr>
      <t>借款还本付息表</t>
    </r>
    <r>
      <rPr>
        <b/>
        <sz val="10"/>
        <color theme="1"/>
        <rFont val="微软雅黑"/>
        <charset val="134"/>
      </rPr>
      <t>（流动资金借款）</t>
    </r>
  </si>
  <si>
    <t>一</t>
  </si>
  <si>
    <t>二</t>
  </si>
  <si>
    <t>三</t>
  </si>
  <si>
    <t>其中：还本</t>
  </si>
  <si>
    <t>四</t>
  </si>
  <si>
    <r>
      <rPr>
        <b/>
        <sz val="12"/>
        <color theme="1"/>
        <rFont val="微软雅黑"/>
        <charset val="134"/>
      </rPr>
      <t>借款还本付息表</t>
    </r>
    <r>
      <rPr>
        <b/>
        <sz val="10"/>
        <color theme="1"/>
        <rFont val="微软雅黑"/>
        <charset val="134"/>
      </rPr>
      <t>（短期借款）</t>
    </r>
  </si>
  <si>
    <r>
      <rPr>
        <b/>
        <sz val="12"/>
        <color theme="1"/>
        <rFont val="微软雅黑"/>
        <charset val="134"/>
      </rPr>
      <t>借款还本付息表</t>
    </r>
    <r>
      <rPr>
        <b/>
        <sz val="10"/>
        <color theme="1"/>
        <rFont val="微软雅黑"/>
        <charset val="134"/>
      </rPr>
      <t>（</t>
    </r>
    <r>
      <rPr>
        <b/>
        <sz val="10"/>
        <color rgb="FFFF0000"/>
        <rFont val="微软雅黑"/>
        <charset val="134"/>
      </rPr>
      <t>汇总—等额本息</t>
    </r>
    <r>
      <rPr>
        <b/>
        <sz val="10"/>
        <color theme="1"/>
        <rFont val="微软雅黑"/>
        <charset val="134"/>
      </rPr>
      <t>）</t>
    </r>
  </si>
  <si>
    <r>
      <rPr>
        <b/>
        <sz val="12"/>
        <color theme="1"/>
        <rFont val="微软雅黑"/>
        <charset val="134"/>
      </rPr>
      <t>借款还本付息表</t>
    </r>
    <r>
      <rPr>
        <b/>
        <sz val="10"/>
        <color theme="1"/>
        <rFont val="微软雅黑"/>
        <charset val="134"/>
      </rPr>
      <t>（</t>
    </r>
    <r>
      <rPr>
        <b/>
        <sz val="10"/>
        <color rgb="FF00B050"/>
        <rFont val="微软雅黑"/>
        <charset val="134"/>
      </rPr>
      <t>汇总—等额本金</t>
    </r>
    <r>
      <rPr>
        <b/>
        <sz val="10"/>
        <color theme="1"/>
        <rFont val="微软雅黑"/>
        <charset val="134"/>
      </rPr>
      <t>）</t>
    </r>
  </si>
  <si>
    <t>当期借款引用“资金筹措表”对应年份债务资金数据</t>
  </si>
  <si>
    <t>等额本金/等额本息/其他，作为参数输入表—投融资相关板块中的可选择情形，匹配如下不同的计算方法</t>
  </si>
  <si>
    <t>（1）等额本息情形下，还本付息采用年金公式先得出每年的 本金+利息 之和（固定值），再结合各年度期初及当期借款金额计算出各年度应付利息，进而推算出每年偿还的本金。</t>
  </si>
  <si>
    <t>（2）等额本金情形下，每年的本金偿还为固定值（建设期借款总额/还款年限），再结合各年度期初及当期借款金额计算出各年度应付利息。</t>
  </si>
  <si>
    <t>（3）其他情形下，运营期每年的本金偿还设置为手动输入项</t>
  </si>
  <si>
    <t>短期借款每年的当期借款及还本直接引用参数表的数据（初始默认为0）</t>
  </si>
  <si>
    <t>中间过程引用（隐藏）</t>
  </si>
  <si>
    <t>动态总投资（自主投资_不含流动资金）</t>
  </si>
  <si>
    <t>固定资产原值=项目动态总投资（自主投资_不含流动资金）-可抵扣进项税-无形资产原值=项目静态总投资-建设补贴+建设期利息-可抵扣进项税-无形资产原值</t>
  </si>
  <si>
    <t>折旧方式</t>
  </si>
  <si>
    <t>折旧年限</t>
  </si>
  <si>
    <t>残值率</t>
  </si>
  <si>
    <t>长期待摊费用（第1年）</t>
  </si>
  <si>
    <t>长期待摊费用=计入长期待摊的成本项/（1+增值税税率）</t>
  </si>
  <si>
    <t>长期待摊费用（第6年）</t>
  </si>
  <si>
    <t>长期待摊费用（第11年）</t>
  </si>
  <si>
    <t>长期待摊费用（第16年）</t>
  </si>
  <si>
    <t>摊销方式</t>
  </si>
  <si>
    <t>大修及更新重置资产原值</t>
  </si>
  <si>
    <t>折旧摊销表-资本金</t>
  </si>
  <si>
    <t>固定资产净值</t>
  </si>
  <si>
    <t>当期固定资产折旧</t>
  </si>
  <si>
    <t>期初长期待摊费用</t>
  </si>
  <si>
    <t>当期新增长期待摊费用</t>
  </si>
  <si>
    <t>当期摊销</t>
  </si>
  <si>
    <t>期末期初长期待摊费用</t>
  </si>
  <si>
    <t>无形资产净值</t>
  </si>
  <si>
    <t>当期无形资产摊销</t>
  </si>
  <si>
    <t>期初大修及更新重置资产净值</t>
  </si>
  <si>
    <t>当期新增大修及更新重置资产</t>
  </si>
  <si>
    <t>当期大修及更新重置资产折旧摊销</t>
  </si>
  <si>
    <t>期末大修及更新重置资产净值</t>
  </si>
  <si>
    <t>当期折旧摊销</t>
  </si>
  <si>
    <t>上述为“直线法”下折旧摊销计算，若在参数输入表中下拉菜单选择为“其他”，设置为手动输入各年份折旧额/摊销额</t>
  </si>
  <si>
    <r>
      <rPr>
        <sz val="11"/>
        <color rgb="FFFF0000"/>
        <rFont val="微软雅黑"/>
        <charset val="134"/>
      </rPr>
      <t>全投资情形下的固定资产原值=</t>
    </r>
    <r>
      <rPr>
        <b/>
        <sz val="11"/>
        <color rgb="FFFF0000"/>
        <rFont val="微软雅黑"/>
        <charset val="134"/>
      </rPr>
      <t>静态总投资（自主投资）</t>
    </r>
    <r>
      <rPr>
        <sz val="11"/>
        <color rgb="FFFF0000"/>
        <rFont val="微软雅黑"/>
        <charset val="134"/>
      </rPr>
      <t>-可抵扣进项税-无形资产原值；资本金情形下的固定资产原值采用的是“</t>
    </r>
    <r>
      <rPr>
        <b/>
        <sz val="11"/>
        <color rgb="FFFF0000"/>
        <rFont val="微软雅黑"/>
        <charset val="134"/>
      </rPr>
      <t>项目动态总投资（自主投资_不含流动资金）</t>
    </r>
    <r>
      <rPr>
        <sz val="11"/>
        <color rgb="FFFF0000"/>
        <rFont val="微软雅黑"/>
        <charset val="134"/>
      </rPr>
      <t>”</t>
    </r>
  </si>
  <si>
    <t>折旧方式、残值率及折旧年限与资本金情形保持一致</t>
  </si>
  <si>
    <t>折旧摊销表-全投资</t>
  </si>
  <si>
    <r>
      <rPr>
        <sz val="11"/>
        <color theme="1"/>
        <rFont val="微软雅黑"/>
        <charset val="134"/>
      </rPr>
      <t>固定资产净值</t>
    </r>
    <r>
      <rPr>
        <sz val="9"/>
        <color theme="1"/>
        <rFont val="微软雅黑"/>
        <charset val="134"/>
      </rPr>
      <t>（全投资）</t>
    </r>
  </si>
  <si>
    <t>成本费用表-资本金</t>
  </si>
  <si>
    <t>营业总成本</t>
  </si>
  <si>
    <t>长期待摊费用当期摊销</t>
  </si>
  <si>
    <t>营业相关资产折旧及摊销</t>
  </si>
  <si>
    <t>销售费用</t>
  </si>
  <si>
    <t xml:space="preserve">保险费 </t>
  </si>
  <si>
    <t>研发费用</t>
  </si>
  <si>
    <t>财务费用</t>
  </si>
  <si>
    <t>长期借款利息</t>
  </si>
  <si>
    <t>流动资金利息</t>
  </si>
  <si>
    <t>短期借款利息</t>
  </si>
  <si>
    <t>成本费用表-全投资</t>
  </si>
  <si>
    <t>成本现金支出表（隐藏）</t>
  </si>
  <si>
    <t>生产经营现金支出合计</t>
  </si>
  <si>
    <t>生产相关现金支出</t>
  </si>
  <si>
    <t>长期待摊实际支出</t>
  </si>
  <si>
    <t>销售费用现金支出</t>
  </si>
  <si>
    <t>管理费用现金支出</t>
  </si>
  <si>
    <t>研发费用现金支出</t>
  </si>
  <si>
    <t>营业外现金支出</t>
  </si>
  <si>
    <t>收入表</t>
  </si>
  <si>
    <t>万度</t>
  </si>
  <si>
    <r>
      <rPr>
        <sz val="12"/>
        <color theme="1"/>
        <rFont val="微软雅黑"/>
        <charset val="134"/>
      </rPr>
      <t>上网电价</t>
    </r>
    <r>
      <rPr>
        <sz val="10"/>
        <color theme="1"/>
        <rFont val="微软雅黑"/>
        <charset val="134"/>
      </rPr>
      <t>（含税）</t>
    </r>
  </si>
  <si>
    <t>元/度</t>
  </si>
  <si>
    <t>数能融合售电收入</t>
  </si>
  <si>
    <r>
      <rPr>
        <sz val="12"/>
        <color theme="1"/>
        <rFont val="微软雅黑"/>
        <charset val="134"/>
      </rPr>
      <t>数能融合机制电价</t>
    </r>
    <r>
      <rPr>
        <sz val="10"/>
        <color theme="1"/>
        <rFont val="微软雅黑"/>
        <charset val="134"/>
      </rPr>
      <t>（含税）</t>
    </r>
  </si>
  <si>
    <t>政府一次性运营补贴收入</t>
  </si>
  <si>
    <t>增值税即征即退</t>
  </si>
  <si>
    <t>税金表</t>
  </si>
  <si>
    <t>当期实缴增值税</t>
  </si>
  <si>
    <t>增值税销项税</t>
  </si>
  <si>
    <t>发电收入销项税</t>
  </si>
  <si>
    <t>其他收入销项税</t>
  </si>
  <si>
    <t>建设投资进项税</t>
  </si>
  <si>
    <t>营业成本进项税</t>
  </si>
  <si>
    <t>3.2.1</t>
  </si>
  <si>
    <t>生产成本进项税</t>
  </si>
  <si>
    <t>计入长期待摊成本项</t>
  </si>
  <si>
    <t>3.2.2</t>
  </si>
  <si>
    <t>销售费用进项税</t>
  </si>
  <si>
    <t>3.2.3</t>
  </si>
  <si>
    <t>管理费用进项税</t>
  </si>
  <si>
    <t>3.2.4</t>
  </si>
  <si>
    <t>研发费用进项税</t>
  </si>
  <si>
    <t>营业外支出进项税</t>
  </si>
  <si>
    <t>大修及更新重置进项税</t>
  </si>
  <si>
    <t>销项税-进项税</t>
  </si>
  <si>
    <t>期末可抵扣进项税余额</t>
  </si>
  <si>
    <t>增值税附加税</t>
  </si>
  <si>
    <t>城市维护建设税</t>
  </si>
  <si>
    <t>教育附加</t>
  </si>
  <si>
    <t>地方教育附加</t>
  </si>
  <si>
    <t>增值税即征即退为参数输入表，税金板块可选条件参数，若选择为常规，即没有增值税即征即退优惠，退税比例为0%；若选择即征即退，同步输入即征即退的比例，第n年增值税即征即退金额=第n年当期实缴增值税*退税比例</t>
  </si>
  <si>
    <t>标黄部分为相对固定模块，适用于所有项目</t>
  </si>
  <si>
    <t>标蓝部分为计算中间过程，可不展示</t>
  </si>
  <si>
    <t>流动资金估算表</t>
  </si>
  <si>
    <t>现金</t>
  </si>
  <si>
    <t>预付账款</t>
  </si>
  <si>
    <t>应付账款</t>
  </si>
  <si>
    <t>预收账款</t>
  </si>
  <si>
    <t>流动资金当期增加额</t>
  </si>
  <si>
    <t>流动资金估算表用于计算某一项收入当年利润表确认收入与现金流量表中实际到账收入有差额时，差额计入应收账款中。</t>
  </si>
  <si>
    <t>关联至参数表中应发收入与实发收入不完全相等的收入项，本模型中为“发电补贴”</t>
  </si>
  <si>
    <t>利润表-资本金</t>
  </si>
  <si>
    <t>营业总收入</t>
  </si>
  <si>
    <t>营业税金及附加</t>
  </si>
  <si>
    <t>政府一次性运营补贴收入—递延收益</t>
  </si>
  <si>
    <t>增值税即征即退收入</t>
  </si>
  <si>
    <r>
      <rPr>
        <b/>
        <sz val="12"/>
        <color theme="1"/>
        <rFont val="微软雅黑"/>
        <charset val="134"/>
      </rPr>
      <t>利润总额</t>
    </r>
    <r>
      <rPr>
        <b/>
        <sz val="9"/>
        <color theme="1"/>
        <rFont val="微软雅黑"/>
        <charset val="134"/>
      </rPr>
      <t>（1+4-2-3-5）</t>
    </r>
  </si>
  <si>
    <t>弥补以前年度亏损</t>
  </si>
  <si>
    <t>弥补前序第一年亏损</t>
  </si>
  <si>
    <t>弥补前序第二年亏损</t>
  </si>
  <si>
    <t>弥补前序第三年亏损</t>
  </si>
  <si>
    <t>弥补前序第四年亏损</t>
  </si>
  <si>
    <t>弥补前序第五年亏损</t>
  </si>
  <si>
    <t>应税所得额</t>
  </si>
  <si>
    <t>企业所得税</t>
  </si>
  <si>
    <r>
      <rPr>
        <b/>
        <sz val="12"/>
        <color rgb="FFFF0000"/>
        <rFont val="微软雅黑"/>
        <charset val="134"/>
      </rPr>
      <t>净利润</t>
    </r>
    <r>
      <rPr>
        <b/>
        <sz val="10"/>
        <color rgb="FFFF0000"/>
        <rFont val="微软雅黑"/>
        <charset val="134"/>
      </rPr>
      <t>（6-9）</t>
    </r>
  </si>
  <si>
    <t>期初未分配的利润</t>
  </si>
  <si>
    <r>
      <rPr>
        <sz val="12"/>
        <rFont val="微软雅黑"/>
        <charset val="134"/>
      </rPr>
      <t>可供分配的利润</t>
    </r>
    <r>
      <rPr>
        <sz val="10"/>
        <rFont val="微软雅黑"/>
        <charset val="134"/>
      </rPr>
      <t>（10+11）</t>
    </r>
  </si>
  <si>
    <t>提取法定盈余公积金</t>
  </si>
  <si>
    <t>期初法定盈余公积金上限缺口</t>
  </si>
  <si>
    <t>期末法定盈余公积金累计</t>
  </si>
  <si>
    <r>
      <rPr>
        <sz val="12"/>
        <color theme="1"/>
        <rFont val="微软雅黑"/>
        <charset val="134"/>
      </rPr>
      <t>可供投资者分配的利润</t>
    </r>
    <r>
      <rPr>
        <sz val="10"/>
        <color theme="1"/>
        <rFont val="微软雅黑"/>
        <charset val="134"/>
      </rPr>
      <t>（12-13）</t>
    </r>
  </si>
  <si>
    <t>提取任意盈余公积金</t>
  </si>
  <si>
    <t>各投资方利润分配</t>
  </si>
  <si>
    <r>
      <rPr>
        <sz val="12"/>
        <color theme="1"/>
        <rFont val="微软雅黑"/>
        <charset val="134"/>
      </rPr>
      <t>未分配利润</t>
    </r>
    <r>
      <rPr>
        <sz val="10"/>
        <color theme="1"/>
        <rFont val="微软雅黑"/>
        <charset val="134"/>
      </rPr>
      <t>（14-15-16）</t>
    </r>
  </si>
  <si>
    <r>
      <rPr>
        <sz val="12"/>
        <color theme="1"/>
        <rFont val="微软雅黑"/>
        <charset val="134"/>
      </rPr>
      <t>息税前利润</t>
    </r>
    <r>
      <rPr>
        <sz val="10"/>
        <color theme="1"/>
        <rFont val="微软雅黑"/>
        <charset val="134"/>
      </rPr>
      <t>（利润总额+利息支出）</t>
    </r>
  </si>
  <si>
    <t>息税折旧摊销前利润</t>
  </si>
  <si>
    <t>利润表里的收入、成本均为不含税价</t>
  </si>
  <si>
    <t>政府一次性运营补贴收入—递延收益，引用自参数输入表“政府一次性补贴收入—递延收益确认”</t>
  </si>
  <si>
    <t>弥补以前年度亏损，按照5年为期限，滚动计算。</t>
  </si>
  <si>
    <t>现金流量表-资本金</t>
  </si>
  <si>
    <t>现金流入</t>
  </si>
  <si>
    <t>回收固定资产余值</t>
  </si>
  <si>
    <t>回收流动资金</t>
  </si>
  <si>
    <t>现金流出</t>
  </si>
  <si>
    <t>工程建设投资</t>
  </si>
  <si>
    <t>项目资本金</t>
  </si>
  <si>
    <t>长期借款</t>
  </si>
  <si>
    <t>支付流动资金</t>
  </si>
  <si>
    <t>债务性支出</t>
  </si>
  <si>
    <t>长期借款本金偿还</t>
  </si>
  <si>
    <t>流动资金借款本金偿还</t>
  </si>
  <si>
    <t>借款利息支付</t>
  </si>
  <si>
    <t>生产经营支出</t>
  </si>
  <si>
    <t>增值税缴纳</t>
  </si>
  <si>
    <t>运营期资本性支出</t>
  </si>
  <si>
    <t>税前净现金流量（1-2）</t>
  </si>
  <si>
    <t>累计税前净现金流量</t>
  </si>
  <si>
    <t>税后净现金流量（3-5）</t>
  </si>
  <si>
    <t>累计税后净现金流量</t>
  </si>
  <si>
    <t>资本金内部收益率（税前）</t>
  </si>
  <si>
    <t>资本金内部收益率（税后）</t>
  </si>
  <si>
    <t>投资回收期</t>
  </si>
  <si>
    <t>现金流量表中各年的发电补贴收入数据引用参数表中输入的实发数据（含税且考虑滞后支付情形，即本年度实际支付比例＋上年度剩余支付比例）</t>
  </si>
  <si>
    <t>政府一次性运营补贴收入，在运营期第1年引用参数表中政府一次性补贴总额</t>
  </si>
  <si>
    <t>标蓝色部分为可隐藏内容</t>
  </si>
  <si>
    <t>现金流出中借款本金偿还，关联还本付息表中长期贷款本金偿还</t>
  </si>
  <si>
    <t>Check</t>
  </si>
  <si>
    <t>建设期为1年时，IRR计算要利用下面的公式计算</t>
  </si>
  <si>
    <t>建设</t>
  </si>
  <si>
    <t>利润表-全投资</t>
  </si>
  <si>
    <r>
      <rPr>
        <b/>
        <sz val="12"/>
        <color theme="1"/>
        <rFont val="微软雅黑"/>
        <charset val="134"/>
      </rPr>
      <t>营业总成本</t>
    </r>
    <r>
      <rPr>
        <b/>
        <sz val="10"/>
        <color theme="1"/>
        <rFont val="微软雅黑"/>
        <charset val="134"/>
      </rPr>
      <t>（全投资）</t>
    </r>
  </si>
  <si>
    <t>调整所得税</t>
  </si>
  <si>
    <r>
      <rPr>
        <b/>
        <sz val="12"/>
        <color theme="1"/>
        <rFont val="微软雅黑"/>
        <charset val="134"/>
      </rPr>
      <t>净利润</t>
    </r>
    <r>
      <rPr>
        <b/>
        <sz val="10"/>
        <color theme="1"/>
        <rFont val="微软雅黑"/>
        <charset val="134"/>
      </rPr>
      <t>（6-9）</t>
    </r>
  </si>
  <si>
    <r>
      <rPr>
        <sz val="12"/>
        <color theme="1"/>
        <rFont val="微软雅黑"/>
        <charset val="134"/>
      </rPr>
      <t>可供分配的利润</t>
    </r>
    <r>
      <rPr>
        <sz val="10"/>
        <color theme="1"/>
        <rFont val="微软雅黑"/>
        <charset val="134"/>
      </rPr>
      <t>（10+11）</t>
    </r>
  </si>
  <si>
    <t>现金流量表-全投资</t>
  </si>
  <si>
    <t>建设投资</t>
  </si>
  <si>
    <t>全投资内部收益率（税前）</t>
  </si>
  <si>
    <t>全投资内部收益率（税后）</t>
  </si>
  <si>
    <t>投资回收期(税后)</t>
  </si>
  <si>
    <t>投资回收期(税前)</t>
  </si>
  <si>
    <t>现金流量表中各年的发电补贴收入数据引用参数表中输入的实发数据</t>
  </si>
  <si>
    <t>现金流量表-财务计划</t>
  </si>
  <si>
    <t>经营活动净现金流量（1.1-1.2）</t>
  </si>
  <si>
    <t>销售收入</t>
  </si>
  <si>
    <t>删除</t>
  </si>
  <si>
    <t>增值税实缴</t>
  </si>
  <si>
    <t>税金及附加税</t>
  </si>
  <si>
    <t>投资活动净现金流量（2.1-2.2）</t>
  </si>
  <si>
    <t>筹资活动净现金流量（3.1-3.2）</t>
  </si>
  <si>
    <t>项目资本金投入</t>
  </si>
  <si>
    <t>流动资金借款</t>
  </si>
  <si>
    <t>偿还债务本金</t>
  </si>
  <si>
    <t>各种利息支出</t>
  </si>
  <si>
    <t>应付利润（股利分配）</t>
  </si>
  <si>
    <t>项目公司账面净现金流量（1+2+3）</t>
  </si>
  <si>
    <t>五</t>
  </si>
  <si>
    <t>累计盈余资金</t>
  </si>
  <si>
    <t>增加IF判定条件，当某年的累计盈余资金&lt;“流动资金（本项目为960万元）”+次年的“生产经营现金支出合计（成本费用表标蓝表第一行）”，给出明显提示（允许用户在参数输入界面填写各年度短期借款当期借款金额及还本金额，再重新生成新的结果）</t>
  </si>
  <si>
    <t>不含短期借款的累计盈余资金</t>
  </si>
  <si>
    <t>借款合计</t>
  </si>
  <si>
    <t>资产合计</t>
  </si>
  <si>
    <t xml:space="preserve">  货币资金</t>
  </si>
  <si>
    <t>△结算备付金</t>
  </si>
  <si>
    <t>△拆出资金</t>
  </si>
  <si>
    <t xml:space="preserve">  交易性金融资产</t>
  </si>
  <si>
    <t>☆以公允价值计量且其变动计入当期损益的金融资产</t>
  </si>
  <si>
    <t xml:space="preserve">  衍生金融资产</t>
  </si>
  <si>
    <t xml:space="preserve">  应收票据</t>
  </si>
  <si>
    <t xml:space="preserve">  应收账款</t>
  </si>
  <si>
    <t xml:space="preserve">  应收款项融资</t>
  </si>
  <si>
    <t xml:space="preserve">  预付款项</t>
  </si>
  <si>
    <t>△应收保费</t>
  </si>
  <si>
    <t>△应收分保账款</t>
  </si>
  <si>
    <t>△应收分保合同准备金</t>
  </si>
  <si>
    <t xml:space="preserve">  应收资金集中管理款</t>
  </si>
  <si>
    <t xml:space="preserve">  其他应收款</t>
  </si>
  <si>
    <t>其中：应收股利</t>
  </si>
  <si>
    <t>△买入返售金融资产</t>
  </si>
  <si>
    <t xml:space="preserve">  存货</t>
  </si>
  <si>
    <t>其中：原材料</t>
  </si>
  <si>
    <t>库存商品（产成品）</t>
  </si>
  <si>
    <t xml:space="preserve">  合同资产</t>
  </si>
  <si>
    <t xml:space="preserve">  持有待售资产</t>
  </si>
  <si>
    <t xml:space="preserve">  一年内到期的非流动资产</t>
  </si>
  <si>
    <t xml:space="preserve">  其他流动资产</t>
  </si>
  <si>
    <t>非流动资产</t>
  </si>
  <si>
    <t>△发放贷款和垫款</t>
  </si>
  <si>
    <t xml:space="preserve">  债权投资</t>
  </si>
  <si>
    <t>☆可供出售金融资产</t>
  </si>
  <si>
    <t xml:space="preserve">  其他债权投资</t>
  </si>
  <si>
    <t>☆持有至到期投资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</si>
  <si>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</si>
  <si>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</si>
  <si>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</si>
  <si>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</si>
  <si>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</si>
  <si>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</si>
  <si>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</si>
  <si>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</si>
  <si>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</si>
  <si>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</si>
  <si>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</si>
  <si>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</si>
  <si>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</si>
  <si>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</si>
  <si>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</si>
  <si>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</si>
  <si>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</si>
  <si>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</si>
  <si>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</si>
  <si>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 xml:space="preserve">  其中：特准储备物资</t>
  </si>
  <si>
    <t>负债合计</t>
  </si>
  <si>
    <t xml:space="preserve">  短期借款</t>
  </si>
  <si>
    <t>△向中央银行借款</t>
  </si>
  <si>
    <t>△拆入资金</t>
  </si>
  <si>
    <t xml:space="preserve">  交易性金融负债</t>
  </si>
  <si>
    <t>☆以公允价值计量且其变动计入当期损益的金融负债</t>
  </si>
  <si>
    <t xml:space="preserve">  衍生金融负债</t>
  </si>
  <si>
    <t xml:space="preserve">  应付票据</t>
  </si>
  <si>
    <t xml:space="preserve">  应付账款</t>
  </si>
  <si>
    <t xml:space="preserve">  预收款项</t>
  </si>
  <si>
    <t xml:space="preserve">  合同负债</t>
  </si>
  <si>
    <t>△卖出回购金融资产款</t>
  </si>
  <si>
    <t>△吸收存款及同业存放</t>
  </si>
  <si>
    <t>△代理买卖证券款</t>
  </si>
  <si>
    <t>△代理承销证券款</t>
  </si>
  <si>
    <t xml:space="preserve">  应付职工薪酬</t>
  </si>
  <si>
    <t>其中：应付工资</t>
  </si>
  <si>
    <t xml:space="preserve">      应付福利费</t>
  </si>
  <si>
    <t xml:space="preserve">      #其中：职工奖励及福利基金</t>
  </si>
  <si>
    <t xml:space="preserve">  应交税费</t>
  </si>
  <si>
    <t>其中：应交税金</t>
  </si>
  <si>
    <t xml:space="preserve">  其他应付款</t>
  </si>
  <si>
    <t>其中：应付股利</t>
  </si>
  <si>
    <t>△应付手续费及佣金</t>
  </si>
  <si>
    <t>△应付分保账款</t>
  </si>
  <si>
    <t xml:space="preserve">  持有待售负债</t>
  </si>
  <si>
    <t xml:space="preserve">  一年内到期的非流动负债</t>
  </si>
  <si>
    <t xml:space="preserve">  其他流动负债</t>
  </si>
  <si>
    <t>非流动负债</t>
  </si>
  <si>
    <t>△保险合同准备金</t>
  </si>
  <si>
    <t xml:space="preserve">  长期借款</t>
  </si>
  <si>
    <t xml:space="preserve">  应付债券</t>
  </si>
  <si>
    <t>其中：优先股</t>
  </si>
  <si>
    <t xml:space="preserve">      永续债</t>
  </si>
  <si>
    <t xml:space="preserve">  租赁负债</t>
  </si>
  <si>
    <t xml:space="preserve">  长期应付款</t>
  </si>
  <si>
    <t xml:space="preserve">  长期应付职工薪酬</t>
  </si>
  <si>
    <t xml:space="preserve">  预计负债</t>
  </si>
  <si>
    <t xml:space="preserve">  递延收益</t>
  </si>
  <si>
    <t xml:space="preserve">  递延所得税负债</t>
  </si>
  <si>
    <t xml:space="preserve">  其他非流动负债</t>
  </si>
  <si>
    <t>其中：特准储备基金</t>
  </si>
  <si>
    <t>所有者权益（或股东权益）</t>
  </si>
  <si>
    <t xml:space="preserve">  实收资本（或股本）</t>
  </si>
  <si>
    <t>国家资本</t>
  </si>
  <si>
    <t>国有法人资本</t>
  </si>
  <si>
    <t>集体资本</t>
  </si>
  <si>
    <t>民营资本</t>
  </si>
  <si>
    <t>外商资本</t>
  </si>
  <si>
    <t xml:space="preserve"> #减：已归还投资</t>
  </si>
  <si>
    <t xml:space="preserve">  实收资本（或股本）净额</t>
  </si>
  <si>
    <t xml:space="preserve">  其他权益工具</t>
  </si>
  <si>
    <t xml:space="preserve">  资本公积</t>
  </si>
  <si>
    <t xml:space="preserve">  减：库存股</t>
  </si>
  <si>
    <t xml:space="preserve">  其他综合收益</t>
  </si>
  <si>
    <t>其中：外币报表折算差额</t>
  </si>
  <si>
    <t xml:space="preserve">  专项储备</t>
  </si>
  <si>
    <t xml:space="preserve">  盈余公积</t>
  </si>
  <si>
    <t>其中：法定公积金</t>
  </si>
  <si>
    <t xml:space="preserve">      任意公积金</t>
  </si>
  <si>
    <t xml:space="preserve">     #储备基金</t>
  </si>
  <si>
    <t xml:space="preserve">     #企业发展基金</t>
  </si>
  <si>
    <t xml:space="preserve">     #利润归还投资</t>
  </si>
  <si>
    <t>△一般风险准备</t>
  </si>
  <si>
    <t xml:space="preserve">  未分配利润</t>
  </si>
  <si>
    <t xml:space="preserve">  归属于母公司所有者权益（或股东权益）合计</t>
  </si>
  <si>
    <t xml:space="preserve"> *少数股东权益</t>
  </si>
  <si>
    <t>负债和所有者权益合计</t>
  </si>
  <si>
    <t>Check：资产-负债和所有者权益合计</t>
  </si>
  <si>
    <t>1</t>
  </si>
  <si>
    <t>系统容量</t>
  </si>
  <si>
    <t>风电系统容量</t>
  </si>
  <si>
    <t>储能系统容量</t>
  </si>
  <si>
    <t>MW/MWh</t>
  </si>
  <si>
    <t>参数输入表!H14/参数输入表!H15</t>
  </si>
  <si>
    <t>年售电量</t>
  </si>
  <si>
    <t>风电系统年上网电量</t>
  </si>
  <si>
    <t>数能融合年消纳电量</t>
  </si>
  <si>
    <t>年均电价</t>
  </si>
  <si>
    <t>风电系统经营期年均电价（含增值税）</t>
  </si>
  <si>
    <t>数能融合经营期机制电价（含增值税）</t>
  </si>
  <si>
    <t>项目总投资</t>
  </si>
  <si>
    <t>表三成本表C6项生产成本运营期平均值做敏感性分析、蒙特卡洛</t>
  </si>
  <si>
    <t>销售收入总额（不含增值税）</t>
  </si>
  <si>
    <t>总成本费用</t>
  </si>
  <si>
    <t>销售税金附加总额</t>
  </si>
  <si>
    <t>利润总额</t>
  </si>
  <si>
    <t>项目投资回收期（所得税前）</t>
  </si>
  <si>
    <t>项目投资回收期（所得税后）</t>
  </si>
  <si>
    <t>项目投资财务内部收益率（所得税前）</t>
  </si>
  <si>
    <t>反算依据指标，数值由操作者自动输入</t>
  </si>
  <si>
    <t>项目投资财务内部收益率（所得税后）</t>
  </si>
  <si>
    <t>资本金财务内部收益率</t>
  </si>
  <si>
    <t>资产负债率（最大值）</t>
  </si>
  <si>
    <t>盈亏平衡点（生产能力利用率）</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</si>
</sst>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_ "/>
    <numFmt numFmtId="177" formatCode="0.0000_ "/>
    <numFmt numFmtId="178" formatCode="0.00_ "/>
    <numFmt numFmtId="179" formatCode="0_ "/>
    <numFmt numFmtId="180" formatCode="0.0%"/>
    <numFmt numFmtId="181" formatCode="#,##0.00_ "/>
    <numFmt numFmtId="182" formatCode="0.000%"/>
  </numFmts>
  <fonts count="61">
    <font>
      <sz val="11"/>
      <color theme="1"/>
      <name val="宋体"/>
      <charset val="134"/>
      <scheme val="minor"/>
    </font>
    <font>
      <b/>
      <sz val="10"/>
      <color indexed="8"/>
      <name val="宋体"/>
      <charset val="134"/>
    </font>
    <font>
      <sz val="10"/>
      <color indexed="8"/>
      <name val="宋体"/>
      <charset val="134"/>
    </font>
    <font>
      <sz val="11"/>
      <color rgb="FFFF0000"/>
      <name val="宋体"/>
      <charset val="134"/>
      <scheme val="minor"/>
    </font>
    <font>
      <sz val="12"/>
      <color rgb="FFFF0000"/>
      <name val="宋体"/>
      <charset val="134"/>
      <scheme val="major"/>
    </font>
    <font>
      <sz val="12"/>
      <color theme="0" tint="-0.34998626667073579"/>
      <name val="宋体"/>
      <charset val="134"/>
      <scheme val="major"/>
    </font>
    <font>
      <sz val="12"/>
      <color theme="1"/>
      <name val="宋体"/>
      <charset val="134"/>
      <scheme val="major"/>
    </font>
    <font>
      <b/>
      <sz val="12"/>
      <color theme="1"/>
      <name val="宋体"/>
      <charset val="134"/>
      <scheme val="major"/>
    </font>
    <font>
      <b/>
      <sz val="12"/>
      <color rgb="FFFF0000"/>
      <name val="宋体"/>
      <charset val="134"/>
      <scheme val="major"/>
    </font>
    <font>
      <b/>
      <sz val="12"/>
      <color theme="0" tint="-0.34998626667073579"/>
      <name val="宋体"/>
      <charset val="134"/>
      <scheme val="major"/>
    </font>
    <font>
      <sz val="12"/>
      <color theme="5"/>
      <name val="微软雅黑"/>
      <charset val="134"/>
    </font>
    <font>
      <sz val="12"/>
      <color theme="1"/>
      <name val="微软雅黑"/>
      <charset val="134"/>
    </font>
    <font>
      <b/>
      <i/>
      <sz val="12"/>
      <color rgb="FFC00000"/>
      <name val="微软雅黑"/>
      <charset val="134"/>
    </font>
    <font>
      <b/>
      <sz val="12"/>
      <color theme="1"/>
      <name val="微软雅黑"/>
      <charset val="134"/>
    </font>
    <font>
      <sz val="16"/>
      <color rgb="FFFF0000"/>
      <name val="微软雅黑"/>
      <charset val="134"/>
    </font>
    <font>
      <sz val="11"/>
      <color theme="1"/>
      <name val="微软雅黑"/>
      <charset val="134"/>
    </font>
    <font>
      <b/>
      <i/>
      <sz val="11"/>
      <color rgb="FFC00000"/>
      <name val="微软雅黑"/>
      <charset val="134"/>
    </font>
    <font>
      <b/>
      <sz val="12"/>
      <color indexed="8"/>
      <name val="微软雅黑"/>
      <charset val="134"/>
    </font>
    <font>
      <sz val="12"/>
      <color indexed="8"/>
      <name val="微软雅黑"/>
      <charset val="134"/>
    </font>
    <font>
      <b/>
      <sz val="12"/>
      <color rgb="FFFF0000"/>
      <name val="微软雅黑"/>
      <charset val="134"/>
    </font>
    <font>
      <b/>
      <sz val="12"/>
      <color rgb="FFC00000"/>
      <name val="微软雅黑"/>
      <charset val="134"/>
    </font>
    <font>
      <b/>
      <sz val="11"/>
      <color theme="1"/>
      <name val="微软雅黑"/>
      <charset val="134"/>
    </font>
    <font>
      <b/>
      <sz val="10"/>
      <color theme="1"/>
      <name val="微软雅黑"/>
      <charset val="134"/>
    </font>
    <font>
      <sz val="10"/>
      <color theme="1"/>
      <name val="微软雅黑"/>
      <charset val="134"/>
    </font>
    <font>
      <sz val="12"/>
      <color rgb="FFFF0000"/>
      <name val="微软雅黑"/>
      <charset val="134"/>
    </font>
    <font>
      <sz val="11"/>
      <color rgb="FFFF0000"/>
      <name val="微软雅黑"/>
      <charset val="134"/>
    </font>
    <font>
      <sz val="11"/>
      <name val="微软雅黑"/>
      <charset val="134"/>
    </font>
    <font>
      <sz val="10"/>
      <color rgb="FFFF0000"/>
      <name val="微软雅黑"/>
      <charset val="134"/>
    </font>
    <font>
      <sz val="12"/>
      <name val="微软雅黑"/>
      <charset val="134"/>
    </font>
    <font>
      <sz val="10"/>
      <name val="微软雅黑"/>
      <charset val="134"/>
    </font>
    <font>
      <sz val="14"/>
      <color rgb="FFFF0000"/>
      <name val="微软雅黑"/>
      <charset val="134"/>
    </font>
    <font>
      <b/>
      <sz val="14"/>
      <color theme="1"/>
      <name val="微软雅黑"/>
      <charset val="134"/>
    </font>
    <font>
      <sz val="11"/>
      <name val="宋体"/>
      <charset val="134"/>
      <scheme val="minor"/>
    </font>
    <font>
      <sz val="12"/>
      <color theme="1"/>
      <name val="宋体"/>
      <charset val="134"/>
      <scheme val="minor"/>
    </font>
    <font>
      <sz val="16"/>
      <color theme="1"/>
      <name val="宋体"/>
      <charset val="134"/>
      <scheme val="minor"/>
    </font>
    <font>
      <sz val="16"/>
      <name val="黑体"/>
      <charset val="134"/>
    </font>
    <font>
      <sz val="12"/>
      <name val="黑体"/>
      <charset val="134"/>
    </font>
    <font>
      <b/>
      <sz val="12"/>
      <name val="宋体"/>
      <charset val="134"/>
    </font>
    <font>
      <b/>
      <sz val="11"/>
      <color theme="1"/>
      <name val="宋体"/>
      <charset val="134"/>
      <scheme val="minor"/>
    </font>
    <font>
      <b/>
      <sz val="12"/>
      <color theme="1"/>
      <name val="宋体"/>
      <charset val="134"/>
      <scheme val="minor"/>
    </font>
    <font>
      <sz val="12"/>
      <name val="宋体"/>
      <charset val="134"/>
    </font>
    <font>
      <b/>
      <sz val="11"/>
      <name val="宋体"/>
      <charset val="134"/>
      <scheme val="minor"/>
    </font>
    <font>
      <b/>
      <sz val="12"/>
      <name val="宋体"/>
      <charset val="134"/>
      <scheme val="minor"/>
    </font>
    <font>
      <sz val="16"/>
      <name val="宋体"/>
      <charset val="134"/>
      <scheme val="minor"/>
    </font>
    <font>
      <sz val="12"/>
      <name val="宋体"/>
      <charset val="134"/>
      <scheme val="minor"/>
    </font>
    <font>
      <sz val="12"/>
      <color rgb="FFFF0000"/>
      <name val="宋体"/>
      <charset val="134"/>
    </font>
    <font>
      <b/>
      <sz val="14"/>
      <color rgb="FFFF0000"/>
      <name val="宋体"/>
      <charset val="134"/>
      <scheme val="minor"/>
    </font>
    <font>
      <b/>
      <sz val="12"/>
      <name val="微软雅黑"/>
      <charset val="134"/>
    </font>
    <font>
      <sz val="11"/>
      <color theme="1"/>
      <name val="宋体"/>
      <charset val="134"/>
      <scheme val="minor"/>
    </font>
    <font>
      <b/>
      <sz val="10"/>
      <color rgb="FFFF0000"/>
      <name val="微软雅黑"/>
      <charset val="134"/>
    </font>
    <font>
      <sz val="10"/>
      <color rgb="FF00B050"/>
      <name val="微软雅黑"/>
      <charset val="134"/>
    </font>
    <font>
      <sz val="9"/>
      <color theme="1"/>
      <name val="宋体"/>
      <charset val="134"/>
      <scheme val="minor"/>
    </font>
    <font>
      <b/>
      <sz val="10"/>
      <color theme="1"/>
      <name val="宋体"/>
      <charset val="134"/>
      <scheme val="minor"/>
    </font>
    <font>
      <b/>
      <sz val="9"/>
      <color theme="1"/>
      <name val="微软雅黑"/>
      <charset val="134"/>
    </font>
    <font>
      <b/>
      <sz val="10"/>
      <color rgb="FF00B050"/>
      <name val="微软雅黑"/>
      <charset val="134"/>
    </font>
    <font>
      <sz val="9"/>
      <color theme="1"/>
      <name val="微软雅黑"/>
      <charset val="134"/>
    </font>
    <font>
      <b/>
      <sz val="10"/>
      <name val="宋体"/>
      <charset val="134"/>
    </font>
    <font>
      <b/>
      <sz val="11"/>
      <color rgb="FFFF0000"/>
      <name val="微软雅黑"/>
      <charset val="134"/>
    </font>
    <font>
      <b/>
      <sz val="9"/>
      <name val="宋体"/>
      <charset val="134"/>
    </font>
    <font>
      <sz val="9"/>
      <name val="宋体"/>
      <charset val="134"/>
    </font>
    <font>
      <sz val="9"/>
      <name val="宋体"/>
      <charset val="134"/>
      <scheme val="minor"/>
    </font>
  </fonts>
  <fills count="20">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79992065187536243"/>
        <bgColor indexed="64"/>
      </patternFill>
    </fill>
    <fill>
      <patternFill patternType="solid">
        <fgColor theme="4" tint="0.79992065187536243"/>
        <bgColor indexed="64"/>
      </patternFill>
    </fill>
    <fill>
      <patternFill patternType="solid">
        <fgColor rgb="FFFFFF00"/>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5117038483843"/>
        <bgColor indexed="64"/>
      </patternFill>
    </fill>
    <fill>
      <patternFill patternType="solid">
        <fgColor theme="0" tint="-0.14996795556505021"/>
        <bgColor indexed="64"/>
      </patternFill>
    </fill>
    <fill>
      <patternFill patternType="solid">
        <fgColor theme="5" tint="0.79992065187536243"/>
        <bgColor indexed="64"/>
      </patternFill>
    </fill>
    <fill>
      <patternFill patternType="solid">
        <fgColor theme="2"/>
        <bgColor indexed="64"/>
      </patternFill>
    </fill>
    <fill>
      <patternFill patternType="solid">
        <fgColor rgb="FF0070C0"/>
        <bgColor indexed="64"/>
      </patternFill>
    </fill>
    <fill>
      <patternFill patternType="solid">
        <fgColor rgb="FFFFC000"/>
        <bgColor indexed="64"/>
      </patternFill>
    </fill>
    <fill>
      <patternFill patternType="solid">
        <fgColor rgb="FF7030A0"/>
        <bgColor indexed="64"/>
      </patternFill>
    </fill>
    <fill>
      <patternFill patternType="solid">
        <fgColor theme="4" tint="0.39994506668294322"/>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style="thin">
        <color auto="1"/>
      </right>
      <top/>
      <bottom/>
      <diagonal/>
    </border>
  </borders>
  <cellStyleXfs count="2">
    <xf numFmtId="0" fontId="0" fillId="0" borderId="0">
      <alignment vertical="center"/>
    </xf>
    <xf numFmtId="9" fontId="48" fillId="0" borderId="0" applyFont="0" applyFill="0" applyBorder="0" applyAlignment="0" applyProtection="0">
      <alignment vertical="center"/>
    </xf>
  </cellStyleXfs>
  <cellXfs count="352">
    <xf numFmtId="0" fontId="0" fillId="0" borderId="0" xfId="0">
      <alignment vertical="center"/>
    </xf>
    <xf numFmtId="0" fontId="1" fillId="2" borderId="1" xfId="0" applyNumberFormat="1" applyFont="1" applyFill="1" applyBorder="1" applyAlignment="1" applyProtection="1">
      <alignment horizontal="center"/>
    </xf>
    <xf numFmtId="0" fontId="2" fillId="2" borderId="1" xfId="0" applyNumberFormat="1" applyFont="1" applyFill="1" applyBorder="1" applyAlignment="1" applyProtection="1">
      <alignment horizontal="left" vertical="center"/>
    </xf>
    <xf numFmtId="0" fontId="2" fillId="2" borderId="1" xfId="0" applyNumberFormat="1" applyFont="1" applyFill="1" applyBorder="1" applyAlignment="1" applyProtection="1">
      <alignment horizontal="center" vertical="center"/>
    </xf>
    <xf numFmtId="0" fontId="0" fillId="0" borderId="2" xfId="0" applyBorder="1" applyAlignment="1">
      <alignment horizontal="center" vertical="center"/>
    </xf>
    <xf numFmtId="49" fontId="0" fillId="0" borderId="2" xfId="0" applyNumberFormat="1" applyBorder="1" applyAlignment="1">
      <alignment horizontal="center" vertical="center"/>
    </xf>
    <xf numFmtId="176" fontId="0" fillId="3" borderId="2" xfId="0" applyNumberFormat="1" applyFill="1" applyBorder="1" applyAlignment="1">
      <alignment horizontal="center" vertical="center"/>
    </xf>
    <xf numFmtId="177" fontId="0" fillId="3" borderId="2" xfId="0" applyNumberFormat="1" applyFill="1" applyBorder="1" applyAlignment="1">
      <alignment horizontal="center" vertical="center"/>
    </xf>
    <xf numFmtId="178" fontId="0" fillId="0" borderId="2" xfId="0" applyNumberFormat="1" applyBorder="1" applyAlignment="1">
      <alignment horizontal="center" vertical="center"/>
    </xf>
    <xf numFmtId="178" fontId="0" fillId="3" borderId="2" xfId="0" applyNumberFormat="1" applyFill="1" applyBorder="1" applyAlignment="1">
      <alignment horizontal="center" vertical="center"/>
    </xf>
    <xf numFmtId="0" fontId="0" fillId="3" borderId="0" xfId="0" applyFill="1">
      <alignment vertical="center"/>
    </xf>
    <xf numFmtId="10" fontId="0" fillId="4" borderId="2" xfId="0" applyNumberFormat="1" applyFill="1" applyBorder="1" applyAlignment="1">
      <alignment horizontal="center" vertical="center"/>
    </xf>
    <xf numFmtId="10" fontId="0" fillId="0" borderId="2" xfId="0" applyNumberFormat="1" applyBorder="1" applyAlignment="1">
      <alignment horizontal="center"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6" fillId="0" borderId="0" xfId="0" applyFont="1" applyAlignment="1">
      <alignment horizontal="center" vertical="center"/>
    </xf>
    <xf numFmtId="0" fontId="7" fillId="6" borderId="3" xfId="0" applyFont="1" applyFill="1" applyBorder="1" applyAlignment="1">
      <alignment horizontal="center" vertical="center"/>
    </xf>
    <xf numFmtId="0" fontId="7" fillId="7" borderId="3" xfId="0" applyFont="1" applyFill="1" applyBorder="1" applyAlignment="1">
      <alignment horizontal="center" vertical="center"/>
    </xf>
    <xf numFmtId="0" fontId="8" fillId="8" borderId="3" xfId="0" applyFont="1" applyFill="1" applyBorder="1" applyAlignment="1">
      <alignment horizontal="center" vertical="center"/>
    </xf>
    <xf numFmtId="0" fontId="8" fillId="8" borderId="3" xfId="0" applyFont="1" applyFill="1" applyBorder="1">
      <alignment vertical="center"/>
    </xf>
    <xf numFmtId="0" fontId="6" fillId="8" borderId="3" xfId="0" applyFont="1" applyFill="1" applyBorder="1" applyAlignment="1">
      <alignment horizontal="center" vertical="center"/>
    </xf>
    <xf numFmtId="178" fontId="8" fillId="8" borderId="6" xfId="0" applyNumberFormat="1" applyFont="1" applyFill="1" applyBorder="1">
      <alignment vertical="center"/>
    </xf>
    <xf numFmtId="0" fontId="7" fillId="0" borderId="3" xfId="0" applyFont="1" applyBorder="1" applyAlignment="1">
      <alignment horizontal="center" vertical="center"/>
    </xf>
    <xf numFmtId="0" fontId="7" fillId="0" borderId="3" xfId="0" applyFont="1" applyBorder="1">
      <alignment vertical="center"/>
    </xf>
    <xf numFmtId="0" fontId="6" fillId="0" borderId="3" xfId="0" applyFont="1" applyBorder="1" applyAlignment="1">
      <alignment horizontal="center" vertical="center"/>
    </xf>
    <xf numFmtId="178" fontId="7" fillId="0" borderId="6" xfId="0" applyNumberFormat="1" applyFont="1" applyBorder="1">
      <alignment vertical="center"/>
    </xf>
    <xf numFmtId="0" fontId="6" fillId="0" borderId="3" xfId="0" applyFont="1" applyBorder="1" applyAlignment="1">
      <alignment horizontal="left" vertical="center" indent="2"/>
    </xf>
    <xf numFmtId="178" fontId="6" fillId="0" borderId="6" xfId="0" applyNumberFormat="1" applyFont="1" applyBorder="1">
      <alignment vertical="center"/>
    </xf>
    <xf numFmtId="0" fontId="6" fillId="0" borderId="3" xfId="0" applyFont="1" applyBorder="1" applyAlignment="1">
      <alignment horizontal="left" vertical="center" indent="4"/>
    </xf>
    <xf numFmtId="0" fontId="6" fillId="0" borderId="3" xfId="0" applyFont="1" applyBorder="1" applyAlignment="1">
      <alignment horizontal="left" vertical="center" indent="6"/>
    </xf>
    <xf numFmtId="0" fontId="6" fillId="0" borderId="3" xfId="0" applyFont="1" applyBorder="1" applyAlignment="1">
      <alignment horizontal="left" vertical="center" indent="5"/>
    </xf>
    <xf numFmtId="0" fontId="4" fillId="8" borderId="3" xfId="0" applyFont="1" applyFill="1" applyBorder="1" applyAlignment="1">
      <alignment horizontal="center" vertical="center"/>
    </xf>
    <xf numFmtId="0" fontId="5" fillId="0" borderId="0" xfId="0" applyFont="1" applyAlignment="1">
      <alignment horizontal="center" vertical="center"/>
    </xf>
    <xf numFmtId="0" fontId="9" fillId="0" borderId="0" xfId="0" applyFont="1">
      <alignment vertical="center"/>
    </xf>
    <xf numFmtId="178" fontId="5" fillId="0" borderId="0" xfId="0" applyNumberFormat="1" applyFont="1">
      <alignment vertical="center"/>
    </xf>
    <xf numFmtId="9" fontId="6" fillId="0" borderId="0" xfId="0" applyNumberFormat="1" applyFont="1">
      <alignment vertical="center"/>
    </xf>
    <xf numFmtId="10" fontId="6" fillId="0" borderId="0" xfId="0" applyNumberFormat="1" applyFont="1">
      <alignment vertical="center"/>
    </xf>
    <xf numFmtId="0" fontId="10" fillId="0" borderId="0" xfId="0" applyFont="1">
      <alignment vertical="center"/>
    </xf>
    <xf numFmtId="0" fontId="11" fillId="3" borderId="0" xfId="0" applyFont="1" applyFill="1">
      <alignment vertical="center"/>
    </xf>
    <xf numFmtId="0" fontId="11" fillId="0" borderId="0" xfId="0" applyFont="1">
      <alignment vertical="center"/>
    </xf>
    <xf numFmtId="0" fontId="12" fillId="0" borderId="0" xfId="0" applyFont="1">
      <alignment vertical="center"/>
    </xf>
    <xf numFmtId="0" fontId="13" fillId="6" borderId="3" xfId="0" applyFont="1" applyFill="1" applyBorder="1" applyAlignment="1">
      <alignment horizontal="center" vertical="center"/>
    </xf>
    <xf numFmtId="0" fontId="13" fillId="7" borderId="3" xfId="0"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lignment vertical="center"/>
    </xf>
    <xf numFmtId="178" fontId="13" fillId="0" borderId="3" xfId="0" applyNumberFormat="1" applyFont="1" applyBorder="1">
      <alignment vertical="center"/>
    </xf>
    <xf numFmtId="0" fontId="11" fillId="0" borderId="3" xfId="0" applyFont="1" applyBorder="1" applyAlignment="1">
      <alignment horizontal="center" vertical="center"/>
    </xf>
    <xf numFmtId="178" fontId="13" fillId="0" borderId="6" xfId="0" applyNumberFormat="1" applyFont="1" applyBorder="1">
      <alignment vertical="center"/>
    </xf>
    <xf numFmtId="0" fontId="11" fillId="0" borderId="3" xfId="0" applyFont="1" applyBorder="1" applyAlignment="1">
      <alignment horizontal="left" vertical="center"/>
    </xf>
    <xf numFmtId="178" fontId="11" fillId="0" borderId="3" xfId="0" applyNumberFormat="1" applyFont="1" applyBorder="1">
      <alignment vertical="center"/>
    </xf>
    <xf numFmtId="178" fontId="11" fillId="0" borderId="6" xfId="0" applyNumberFormat="1" applyFont="1" applyBorder="1">
      <alignment vertical="center"/>
    </xf>
    <xf numFmtId="0" fontId="11" fillId="0" borderId="3" xfId="0" applyFont="1" applyBorder="1" applyAlignment="1">
      <alignment horizontal="left" vertical="center" indent="1"/>
    </xf>
    <xf numFmtId="0" fontId="10" fillId="0" borderId="3" xfId="0" applyFont="1" applyBorder="1" applyAlignment="1">
      <alignment horizontal="center" vertical="center"/>
    </xf>
    <xf numFmtId="0" fontId="10" fillId="0" borderId="3" xfId="0" applyFont="1" applyBorder="1" applyAlignment="1">
      <alignment horizontal="left" vertical="center" indent="1"/>
    </xf>
    <xf numFmtId="178" fontId="10" fillId="0" borderId="3" xfId="0" applyNumberFormat="1" applyFont="1" applyBorder="1">
      <alignment vertical="center"/>
    </xf>
    <xf numFmtId="178" fontId="10" fillId="0" borderId="6" xfId="0" applyNumberFormat="1" applyFont="1" applyBorder="1">
      <alignment vertical="center"/>
    </xf>
    <xf numFmtId="0" fontId="13" fillId="0" borderId="3" xfId="0" applyFont="1" applyBorder="1" applyAlignment="1">
      <alignment horizontal="lef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8" borderId="3" xfId="0" applyFont="1" applyFill="1" applyBorder="1" applyAlignment="1">
      <alignment horizontal="center" vertical="center"/>
    </xf>
    <xf numFmtId="178" fontId="17" fillId="8" borderId="3" xfId="0" applyNumberFormat="1" applyFont="1" applyFill="1" applyBorder="1" applyAlignment="1">
      <alignment horizontal="left" vertical="center"/>
    </xf>
    <xf numFmtId="178" fontId="17" fillId="2" borderId="3" xfId="0" applyNumberFormat="1" applyFont="1" applyFill="1" applyBorder="1" applyAlignment="1">
      <alignment horizontal="right" vertical="center"/>
    </xf>
    <xf numFmtId="0" fontId="18" fillId="8" borderId="3" xfId="0" applyFont="1" applyFill="1" applyBorder="1" applyAlignment="1">
      <alignment horizontal="center" vertical="center"/>
    </xf>
    <xf numFmtId="178" fontId="18" fillId="8" borderId="3" xfId="0" applyNumberFormat="1" applyFont="1" applyFill="1" applyBorder="1" applyAlignment="1">
      <alignment horizontal="left" vertical="center" indent="1"/>
    </xf>
    <xf numFmtId="178" fontId="18" fillId="2" borderId="3" xfId="0" applyNumberFormat="1" applyFont="1" applyFill="1" applyBorder="1" applyAlignment="1">
      <alignment horizontal="right" vertical="center"/>
    </xf>
    <xf numFmtId="178" fontId="19" fillId="0" borderId="3" xfId="0" applyNumberFormat="1" applyFont="1" applyBorder="1">
      <alignment vertical="center"/>
    </xf>
    <xf numFmtId="0" fontId="13" fillId="8" borderId="3" xfId="0" applyFont="1" applyFill="1" applyBorder="1">
      <alignment vertical="center"/>
    </xf>
    <xf numFmtId="0" fontId="13" fillId="8" borderId="3" xfId="0" applyFont="1" applyFill="1" applyBorder="1" applyAlignment="1">
      <alignment horizontal="center" vertical="center"/>
    </xf>
    <xf numFmtId="178" fontId="20" fillId="2" borderId="3" xfId="0" applyNumberFormat="1" applyFont="1" applyFill="1" applyBorder="1" applyAlignment="1">
      <alignment horizontal="right" vertical="center"/>
    </xf>
    <xf numFmtId="10" fontId="13" fillId="0" borderId="3" xfId="0" applyNumberFormat="1" applyFont="1" applyBorder="1">
      <alignment vertical="center"/>
    </xf>
    <xf numFmtId="0" fontId="15" fillId="0" borderId="3" xfId="0" applyFont="1" applyBorder="1">
      <alignment vertical="center"/>
    </xf>
    <xf numFmtId="0" fontId="15" fillId="0" borderId="3" xfId="0" applyFont="1" applyBorder="1" applyAlignment="1">
      <alignment horizontal="center" vertical="center"/>
    </xf>
    <xf numFmtId="178" fontId="15" fillId="0" borderId="0" xfId="0" applyNumberFormat="1" applyFont="1">
      <alignment vertical="center"/>
    </xf>
    <xf numFmtId="0" fontId="11" fillId="0" borderId="0" xfId="0" applyFont="1" applyAlignment="1">
      <alignment horizontal="right" vertical="center"/>
    </xf>
    <xf numFmtId="178" fontId="11" fillId="0" borderId="0" xfId="0" applyNumberFormat="1" applyFont="1">
      <alignment vertical="center"/>
    </xf>
    <xf numFmtId="0" fontId="11" fillId="9" borderId="0" xfId="0" applyFont="1" applyFill="1" applyAlignment="1">
      <alignment horizontal="center" vertical="center"/>
    </xf>
    <xf numFmtId="0" fontId="13" fillId="6" borderId="3" xfId="0" applyFont="1" applyFill="1" applyBorder="1" applyAlignment="1">
      <alignment vertical="center"/>
    </xf>
    <xf numFmtId="0" fontId="21" fillId="0" borderId="0" xfId="0" applyFont="1">
      <alignment vertical="center"/>
    </xf>
    <xf numFmtId="0" fontId="13" fillId="8" borderId="5" xfId="0" applyFont="1" applyFill="1" applyBorder="1" applyAlignment="1">
      <alignment horizontal="center" vertical="center"/>
    </xf>
    <xf numFmtId="0" fontId="13" fillId="8" borderId="5" xfId="0" applyFont="1" applyFill="1" applyBorder="1" applyAlignment="1">
      <alignment horizontal="left" vertical="center"/>
    </xf>
    <xf numFmtId="178" fontId="13" fillId="8" borderId="3" xfId="0" applyNumberFormat="1" applyFont="1" applyFill="1" applyBorder="1" applyAlignment="1">
      <alignment horizontal="center" vertical="center"/>
    </xf>
    <xf numFmtId="0" fontId="22" fillId="0" borderId="3" xfId="0" applyFont="1" applyBorder="1" applyAlignment="1">
      <alignment horizontal="center" vertical="center"/>
    </xf>
    <xf numFmtId="0" fontId="11" fillId="8" borderId="5" xfId="0" applyFont="1" applyFill="1" applyBorder="1" applyAlignment="1">
      <alignment horizontal="center" vertical="center"/>
    </xf>
    <xf numFmtId="0" fontId="11" fillId="8" borderId="5" xfId="0" applyFont="1" applyFill="1" applyBorder="1" applyAlignment="1">
      <alignment horizontal="left" vertical="center"/>
    </xf>
    <xf numFmtId="178" fontId="11" fillId="8" borderId="3" xfId="0" applyNumberFormat="1" applyFont="1" applyFill="1" applyBorder="1" applyAlignment="1">
      <alignment horizontal="center" vertical="center"/>
    </xf>
    <xf numFmtId="0" fontId="23" fillId="0" borderId="3" xfId="0" applyFont="1" applyBorder="1" applyAlignment="1">
      <alignment horizontal="center" vertical="center"/>
    </xf>
    <xf numFmtId="0" fontId="11" fillId="8" borderId="3" xfId="0" applyFont="1" applyFill="1" applyBorder="1" applyAlignment="1">
      <alignment horizontal="center" vertical="center"/>
    </xf>
    <xf numFmtId="178" fontId="15" fillId="8" borderId="3" xfId="0" applyNumberFormat="1" applyFont="1" applyFill="1" applyBorder="1" applyAlignment="1" applyProtection="1">
      <alignment horizontal="left" vertical="center"/>
      <protection hidden="1"/>
    </xf>
    <xf numFmtId="0" fontId="13" fillId="8" borderId="3" xfId="0" applyFont="1" applyFill="1" applyBorder="1" applyAlignment="1" applyProtection="1">
      <alignment horizontal="left" vertical="center"/>
      <protection hidden="1"/>
    </xf>
    <xf numFmtId="178" fontId="13" fillId="8" borderId="3" xfId="0" applyNumberFormat="1" applyFont="1" applyFill="1" applyBorder="1" applyAlignment="1" applyProtection="1">
      <alignment horizontal="left" vertical="center"/>
      <protection hidden="1"/>
    </xf>
    <xf numFmtId="178" fontId="23" fillId="8" borderId="3" xfId="0" applyNumberFormat="1" applyFont="1" applyFill="1" applyBorder="1" applyAlignment="1" applyProtection="1">
      <alignment horizontal="left" vertical="center" indent="1"/>
      <protection hidden="1"/>
    </xf>
    <xf numFmtId="179" fontId="13" fillId="8" borderId="3" xfId="0" applyNumberFormat="1" applyFont="1" applyFill="1" applyBorder="1" applyAlignment="1" applyProtection="1">
      <alignment horizontal="left" vertical="center"/>
      <protection hidden="1"/>
    </xf>
    <xf numFmtId="0" fontId="23" fillId="10" borderId="3" xfId="0" applyFont="1" applyFill="1" applyBorder="1" applyAlignment="1">
      <alignment horizontal="left" vertical="center" indent="1"/>
    </xf>
    <xf numFmtId="178" fontId="11" fillId="0" borderId="3" xfId="0" applyNumberFormat="1" applyFont="1" applyBorder="1" applyAlignment="1">
      <alignment horizontal="center" vertical="center"/>
    </xf>
    <xf numFmtId="178" fontId="11" fillId="10" borderId="3" xfId="0" applyNumberFormat="1" applyFont="1" applyFill="1" applyBorder="1">
      <alignment vertical="center"/>
    </xf>
    <xf numFmtId="178" fontId="20" fillId="8" borderId="3" xfId="0" applyNumberFormat="1" applyFont="1" applyFill="1" applyBorder="1" applyAlignment="1">
      <alignment horizontal="center" vertical="center"/>
    </xf>
    <xf numFmtId="179" fontId="11" fillId="8" borderId="3" xfId="0" applyNumberFormat="1" applyFont="1" applyFill="1" applyBorder="1" applyAlignment="1" applyProtection="1">
      <alignment horizontal="left" vertical="center"/>
      <protection hidden="1"/>
    </xf>
    <xf numFmtId="0" fontId="24" fillId="0" borderId="0" xfId="0" applyFont="1">
      <alignment vertical="center"/>
    </xf>
    <xf numFmtId="0" fontId="11" fillId="0" borderId="0" xfId="0" applyFont="1" applyAlignment="1">
      <alignment horizontal="center" vertical="center"/>
    </xf>
    <xf numFmtId="0" fontId="12" fillId="0" borderId="0" xfId="0" applyFont="1" applyAlignment="1">
      <alignment horizontal="left" vertical="center"/>
    </xf>
    <xf numFmtId="178" fontId="18" fillId="8" borderId="3" xfId="0" applyNumberFormat="1" applyFont="1" applyFill="1" applyBorder="1" applyAlignment="1">
      <alignment horizontal="left" vertical="center" indent="2"/>
    </xf>
    <xf numFmtId="0" fontId="18" fillId="10" borderId="3" xfId="0" applyFont="1" applyFill="1" applyBorder="1" applyAlignment="1">
      <alignment horizontal="center" vertical="center"/>
    </xf>
    <xf numFmtId="178" fontId="18" fillId="10" borderId="3" xfId="0" applyNumberFormat="1" applyFont="1" applyFill="1" applyBorder="1" applyAlignment="1">
      <alignment horizontal="left" vertical="center" indent="2"/>
    </xf>
    <xf numFmtId="0" fontId="11" fillId="0" borderId="3" xfId="0" applyFont="1" applyBorder="1">
      <alignment vertical="center"/>
    </xf>
    <xf numFmtId="9" fontId="11" fillId="0" borderId="0" xfId="0" applyNumberFormat="1" applyFont="1">
      <alignment vertical="center"/>
    </xf>
    <xf numFmtId="0" fontId="25" fillId="0" borderId="0" xfId="0" applyFont="1">
      <alignment vertical="center"/>
    </xf>
    <xf numFmtId="0" fontId="26" fillId="0" borderId="0" xfId="0" applyFont="1" applyFill="1">
      <alignment vertical="center"/>
    </xf>
    <xf numFmtId="178" fontId="13" fillId="0" borderId="3" xfId="0" applyNumberFormat="1" applyFont="1" applyBorder="1" applyAlignment="1">
      <alignment horizontal="center" vertical="center"/>
    </xf>
    <xf numFmtId="0" fontId="19" fillId="8" borderId="3" xfId="0" applyFont="1" applyFill="1" applyBorder="1" applyAlignment="1">
      <alignment horizontal="center" vertical="center"/>
    </xf>
    <xf numFmtId="179" fontId="19" fillId="8" borderId="3" xfId="0" applyNumberFormat="1" applyFont="1" applyFill="1" applyBorder="1" applyAlignment="1" applyProtection="1">
      <alignment horizontal="left" vertical="center"/>
      <protection hidden="1"/>
    </xf>
    <xf numFmtId="178" fontId="19" fillId="8" borderId="3" xfId="0" applyNumberFormat="1" applyFont="1" applyFill="1" applyBorder="1" applyAlignment="1">
      <alignment horizontal="center" vertical="center"/>
    </xf>
    <xf numFmtId="0" fontId="27" fillId="0" borderId="3" xfId="0" applyFont="1" applyBorder="1" applyAlignment="1">
      <alignment horizontal="center" vertical="center"/>
    </xf>
    <xf numFmtId="178" fontId="24" fillId="0" borderId="3" xfId="0" applyNumberFormat="1" applyFont="1" applyBorder="1">
      <alignment vertical="center"/>
    </xf>
    <xf numFmtId="0" fontId="24" fillId="8" borderId="3" xfId="0" applyFont="1" applyFill="1" applyBorder="1" applyAlignment="1">
      <alignment horizontal="center" vertical="center"/>
    </xf>
    <xf numFmtId="179" fontId="24" fillId="8" borderId="3" xfId="0" applyNumberFormat="1" applyFont="1" applyFill="1" applyBorder="1" applyAlignment="1" applyProtection="1">
      <alignment horizontal="left" vertical="center"/>
      <protection hidden="1"/>
    </xf>
    <xf numFmtId="178" fontId="24" fillId="8" borderId="3" xfId="0" applyNumberFormat="1" applyFont="1" applyFill="1" applyBorder="1" applyAlignment="1">
      <alignment horizontal="center" vertical="center"/>
    </xf>
    <xf numFmtId="0" fontId="28" fillId="0" borderId="3" xfId="0" applyFont="1" applyFill="1" applyBorder="1" applyAlignment="1">
      <alignment horizontal="center" vertical="center"/>
    </xf>
    <xf numFmtId="179" fontId="28" fillId="0" borderId="3" xfId="0" applyNumberFormat="1" applyFont="1" applyFill="1" applyBorder="1" applyAlignment="1" applyProtection="1">
      <alignment horizontal="left" vertical="center"/>
      <protection hidden="1"/>
    </xf>
    <xf numFmtId="178" fontId="28" fillId="0" borderId="3" xfId="0" applyNumberFormat="1" applyFont="1" applyFill="1" applyBorder="1" applyAlignment="1">
      <alignment horizontal="center" vertical="center"/>
    </xf>
    <xf numFmtId="0" fontId="29" fillId="0" borderId="3" xfId="0" applyFont="1" applyFill="1" applyBorder="1" applyAlignment="1">
      <alignment horizontal="center" vertical="center"/>
    </xf>
    <xf numFmtId="178" fontId="28" fillId="0" borderId="3" xfId="0" applyNumberFormat="1" applyFont="1" applyFill="1" applyBorder="1">
      <alignment vertical="center"/>
    </xf>
    <xf numFmtId="0" fontId="0" fillId="11" borderId="0" xfId="0" applyFill="1">
      <alignment vertical="center"/>
    </xf>
    <xf numFmtId="0" fontId="11" fillId="4" borderId="0" xfId="0" applyFont="1" applyFill="1">
      <alignment vertical="center"/>
    </xf>
    <xf numFmtId="0" fontId="11" fillId="11" borderId="0" xfId="0" applyFont="1" applyFill="1">
      <alignment vertical="center"/>
    </xf>
    <xf numFmtId="178" fontId="13" fillId="8" borderId="3" xfId="0" applyNumberFormat="1" applyFont="1" applyFill="1" applyBorder="1">
      <alignment vertical="center"/>
    </xf>
    <xf numFmtId="0" fontId="13" fillId="8" borderId="3" xfId="0" applyFont="1" applyFill="1" applyBorder="1" applyAlignment="1">
      <alignment horizontal="left" vertical="center"/>
    </xf>
    <xf numFmtId="0" fontId="13" fillId="11" borderId="3" xfId="0" applyFont="1" applyFill="1" applyBorder="1" applyAlignment="1">
      <alignment horizontal="center" vertical="center"/>
    </xf>
    <xf numFmtId="0" fontId="13" fillId="11" borderId="3" xfId="0" applyFont="1" applyFill="1" applyBorder="1" applyAlignment="1">
      <alignment horizontal="left" vertical="center"/>
    </xf>
    <xf numFmtId="178" fontId="11" fillId="11" borderId="3" xfId="0" applyNumberFormat="1" applyFont="1" applyFill="1" applyBorder="1">
      <alignment vertical="center"/>
    </xf>
    <xf numFmtId="0" fontId="11" fillId="11" borderId="3" xfId="0" applyFont="1" applyFill="1" applyBorder="1" applyAlignment="1">
      <alignment horizontal="center" vertical="center"/>
    </xf>
    <xf numFmtId="178" fontId="13" fillId="11" borderId="3" xfId="0" applyNumberFormat="1" applyFont="1" applyFill="1" applyBorder="1">
      <alignment vertical="center"/>
    </xf>
    <xf numFmtId="0" fontId="11" fillId="4" borderId="3" xfId="0" applyFont="1" applyFill="1" applyBorder="1" applyAlignment="1">
      <alignment horizontal="center" vertical="center"/>
    </xf>
    <xf numFmtId="0" fontId="11" fillId="4" borderId="3" xfId="0" applyFont="1" applyFill="1" applyBorder="1" applyAlignment="1">
      <alignment horizontal="left" vertical="center" indent="1"/>
    </xf>
    <xf numFmtId="178" fontId="11" fillId="4" borderId="3" xfId="0" applyNumberFormat="1" applyFont="1" applyFill="1" applyBorder="1">
      <alignment vertical="center"/>
    </xf>
    <xf numFmtId="0" fontId="11" fillId="11" borderId="3" xfId="0" applyFont="1" applyFill="1" applyBorder="1" applyAlignment="1">
      <alignment horizontal="left" vertical="center" indent="1"/>
    </xf>
    <xf numFmtId="177" fontId="11" fillId="11" borderId="3" xfId="0" applyNumberFormat="1" applyFont="1" applyFill="1" applyBorder="1">
      <alignment vertical="center"/>
    </xf>
    <xf numFmtId="0" fontId="11" fillId="10" borderId="3" xfId="0" applyFont="1" applyFill="1" applyBorder="1" applyAlignment="1">
      <alignment horizontal="left" vertical="center" indent="1"/>
    </xf>
    <xf numFmtId="0" fontId="11" fillId="11" borderId="3" xfId="0" applyFont="1" applyFill="1" applyBorder="1" applyAlignment="1">
      <alignment vertical="center"/>
    </xf>
    <xf numFmtId="0" fontId="13" fillId="8" borderId="3" xfId="0" applyFont="1" applyFill="1" applyBorder="1" applyAlignment="1">
      <alignment horizontal="left" vertical="center" indent="1"/>
    </xf>
    <xf numFmtId="0" fontId="11" fillId="0" borderId="0" xfId="0" applyFont="1" applyAlignment="1">
      <alignment horizontal="left" vertical="center"/>
    </xf>
    <xf numFmtId="0" fontId="13" fillId="10" borderId="3" xfId="0" applyFont="1" applyFill="1" applyBorder="1" applyAlignment="1">
      <alignment horizontal="left" vertical="center" indent="1"/>
    </xf>
    <xf numFmtId="0" fontId="11" fillId="10" borderId="3" xfId="0" applyFont="1" applyFill="1" applyBorder="1" applyAlignment="1">
      <alignment horizontal="left" vertical="center" indent="2"/>
    </xf>
    <xf numFmtId="0" fontId="11" fillId="10" borderId="3" xfId="0" applyFont="1" applyFill="1" applyBorder="1" applyAlignment="1">
      <alignment horizontal="left" vertical="center" indent="3"/>
    </xf>
    <xf numFmtId="0" fontId="11" fillId="8" borderId="3" xfId="0" applyFont="1" applyFill="1" applyBorder="1" applyAlignment="1">
      <alignment horizontal="left" vertical="center"/>
    </xf>
    <xf numFmtId="178" fontId="11" fillId="8" borderId="3" xfId="0" applyNumberFormat="1" applyFont="1" applyFill="1" applyBorder="1">
      <alignment vertical="center"/>
    </xf>
    <xf numFmtId="0" fontId="11" fillId="8" borderId="3" xfId="0" applyFont="1" applyFill="1" applyBorder="1" applyAlignment="1">
      <alignment horizontal="left" vertical="center" indent="1"/>
    </xf>
    <xf numFmtId="0" fontId="30" fillId="0" borderId="0" xfId="0" applyFont="1">
      <alignment vertical="center"/>
    </xf>
    <xf numFmtId="0" fontId="13" fillId="10" borderId="3"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3" xfId="0" applyFont="1" applyFill="1" applyBorder="1">
      <alignment vertical="center"/>
    </xf>
    <xf numFmtId="178" fontId="11" fillId="10" borderId="4" xfId="0" applyNumberFormat="1" applyFont="1" applyFill="1" applyBorder="1">
      <alignment vertical="center"/>
    </xf>
    <xf numFmtId="0" fontId="11" fillId="10" borderId="3" xfId="0" applyFont="1" applyFill="1" applyBorder="1" applyAlignment="1">
      <alignment horizontal="center" vertical="center"/>
    </xf>
    <xf numFmtId="0" fontId="19" fillId="7" borderId="3" xfId="0" applyFont="1" applyFill="1" applyBorder="1" applyAlignment="1">
      <alignment horizontal="center" vertical="center"/>
    </xf>
    <xf numFmtId="178" fontId="19" fillId="0" borderId="3" xfId="0" applyNumberFormat="1" applyFont="1" applyBorder="1" applyAlignment="1">
      <alignment horizontal="center" vertical="center"/>
    </xf>
    <xf numFmtId="0" fontId="28" fillId="0" borderId="3" xfId="0" applyFont="1" applyBorder="1" applyAlignment="1">
      <alignment horizontal="left" vertical="center" indent="2"/>
    </xf>
    <xf numFmtId="0" fontId="28" fillId="8" borderId="3" xfId="0" applyFont="1" applyFill="1" applyBorder="1" applyAlignment="1">
      <alignment horizontal="left" vertical="center" indent="2"/>
    </xf>
    <xf numFmtId="0" fontId="11" fillId="8" borderId="3" xfId="0" applyFont="1" applyFill="1" applyBorder="1" applyAlignment="1">
      <alignment horizontal="left" vertical="center" indent="2"/>
    </xf>
    <xf numFmtId="0" fontId="24" fillId="8" borderId="3" xfId="0" applyFont="1" applyFill="1" applyBorder="1" applyAlignment="1">
      <alignment horizontal="left" vertical="center" indent="2"/>
    </xf>
    <xf numFmtId="0" fontId="11" fillId="0" borderId="3" xfId="0" applyFont="1" applyBorder="1" applyAlignment="1">
      <alignment horizontal="left" vertical="center" indent="2"/>
    </xf>
    <xf numFmtId="0" fontId="13" fillId="0" borderId="0" xfId="0" applyFont="1" applyAlignment="1">
      <alignment horizontal="center" vertical="center"/>
    </xf>
    <xf numFmtId="0" fontId="13" fillId="0" borderId="0" xfId="0" applyFont="1" applyAlignment="1">
      <alignment horizontal="left" vertical="center"/>
    </xf>
    <xf numFmtId="178" fontId="13" fillId="0" borderId="0" xfId="0" applyNumberFormat="1" applyFont="1">
      <alignment vertical="center"/>
    </xf>
    <xf numFmtId="0" fontId="23" fillId="0" borderId="0" xfId="0" applyFont="1" applyAlignment="1">
      <alignment horizontal="center" vertical="center"/>
    </xf>
    <xf numFmtId="178" fontId="19" fillId="0" borderId="0" xfId="0" applyNumberFormat="1" applyFont="1">
      <alignment vertical="center"/>
    </xf>
    <xf numFmtId="178" fontId="24" fillId="0" borderId="0" xfId="0" applyNumberFormat="1" applyFont="1">
      <alignment vertical="center"/>
    </xf>
    <xf numFmtId="178" fontId="13" fillId="10" borderId="3" xfId="0" applyNumberFormat="1" applyFont="1" applyFill="1" applyBorder="1">
      <alignment vertical="center"/>
    </xf>
    <xf numFmtId="0" fontId="23" fillId="10" borderId="3" xfId="0" applyFont="1" applyFill="1" applyBorder="1" applyAlignment="1">
      <alignment horizontal="center" vertical="center"/>
    </xf>
    <xf numFmtId="178" fontId="19" fillId="10" borderId="3" xfId="0" applyNumberFormat="1" applyFont="1" applyFill="1" applyBorder="1">
      <alignment vertical="center"/>
    </xf>
    <xf numFmtId="0" fontId="13" fillId="10" borderId="5" xfId="0" applyFont="1" applyFill="1" applyBorder="1" applyAlignment="1">
      <alignment horizontal="left" vertical="center"/>
    </xf>
    <xf numFmtId="178" fontId="13" fillId="10" borderId="3" xfId="0" applyNumberFormat="1" applyFont="1" applyFill="1" applyBorder="1" applyAlignment="1">
      <alignment horizontal="center" vertical="center"/>
    </xf>
    <xf numFmtId="178" fontId="19" fillId="10" borderId="3" xfId="0" applyNumberFormat="1" applyFont="1" applyFill="1" applyBorder="1" applyAlignment="1">
      <alignment horizontal="center" vertical="center"/>
    </xf>
    <xf numFmtId="0" fontId="28" fillId="10" borderId="3" xfId="0" applyFont="1" applyFill="1" applyBorder="1" applyAlignment="1">
      <alignment horizontal="left" vertical="center" indent="2"/>
    </xf>
    <xf numFmtId="178" fontId="24" fillId="10" borderId="3" xfId="0" applyNumberFormat="1" applyFont="1" applyFill="1" applyBorder="1">
      <alignment vertical="center"/>
    </xf>
    <xf numFmtId="0" fontId="13" fillId="0" borderId="0" xfId="0" applyFont="1">
      <alignment vertical="center"/>
    </xf>
    <xf numFmtId="0" fontId="15" fillId="0" borderId="0" xfId="0" applyFont="1" applyAlignment="1">
      <alignment horizontal="center" vertical="center"/>
    </xf>
    <xf numFmtId="0" fontId="15" fillId="0" borderId="9" xfId="0" applyFont="1" applyBorder="1">
      <alignment vertical="center"/>
    </xf>
    <xf numFmtId="2" fontId="15" fillId="0" borderId="10" xfId="0" applyNumberFormat="1" applyFont="1" applyBorder="1" applyAlignment="1">
      <alignment horizontal="right" vertical="center"/>
    </xf>
    <xf numFmtId="2" fontId="15" fillId="0" borderId="0" xfId="0" applyNumberFormat="1" applyFont="1" applyAlignment="1">
      <alignment horizontal="center" vertical="center"/>
    </xf>
    <xf numFmtId="0" fontId="15" fillId="0" borderId="11" xfId="0" applyFont="1" applyBorder="1">
      <alignment vertical="center"/>
    </xf>
    <xf numFmtId="2" fontId="15" fillId="0" borderId="12" xfId="0" applyNumberFormat="1" applyFont="1" applyBorder="1" applyAlignment="1">
      <alignment horizontal="right" vertical="center"/>
    </xf>
    <xf numFmtId="2" fontId="15" fillId="8" borderId="12" xfId="0" applyNumberFormat="1" applyFont="1" applyFill="1" applyBorder="1" applyAlignment="1">
      <alignment horizontal="right" vertical="center"/>
    </xf>
    <xf numFmtId="1" fontId="15" fillId="0" borderId="12" xfId="0" applyNumberFormat="1" applyFont="1" applyBorder="1" applyAlignment="1">
      <alignment horizontal="right" vertical="center"/>
    </xf>
    <xf numFmtId="0" fontId="15" fillId="0" borderId="13" xfId="0" applyFont="1" applyBorder="1">
      <alignment vertical="center"/>
    </xf>
    <xf numFmtId="9" fontId="15" fillId="0" borderId="14" xfId="1" applyFont="1" applyBorder="1" applyAlignment="1">
      <alignment horizontal="right" vertical="center"/>
    </xf>
    <xf numFmtId="9" fontId="15" fillId="0" borderId="0" xfId="1" applyFont="1" applyBorder="1" applyAlignment="1">
      <alignment horizontal="center" vertical="center"/>
    </xf>
    <xf numFmtId="2" fontId="15" fillId="12" borderId="10" xfId="0" applyNumberFormat="1" applyFont="1" applyFill="1" applyBorder="1" applyAlignment="1">
      <alignment horizontal="right" vertical="center"/>
    </xf>
    <xf numFmtId="0" fontId="15" fillId="0" borderId="15" xfId="0" applyFont="1" applyBorder="1">
      <alignment vertical="center"/>
    </xf>
    <xf numFmtId="2" fontId="15" fillId="12" borderId="16" xfId="0" applyNumberFormat="1" applyFont="1" applyFill="1" applyBorder="1" applyAlignment="1">
      <alignment horizontal="right" vertical="center"/>
    </xf>
    <xf numFmtId="9" fontId="15" fillId="0" borderId="12" xfId="1" applyFont="1" applyBorder="1" applyAlignment="1">
      <alignment horizontal="right" vertical="center"/>
    </xf>
    <xf numFmtId="0" fontId="15" fillId="0" borderId="17" xfId="0" applyFont="1" applyBorder="1">
      <alignment vertical="center"/>
    </xf>
    <xf numFmtId="9" fontId="15" fillId="0" borderId="18" xfId="1" applyFont="1" applyBorder="1" applyAlignment="1">
      <alignment horizontal="right" vertical="center"/>
    </xf>
    <xf numFmtId="2" fontId="15" fillId="0" borderId="19" xfId="0" applyNumberFormat="1" applyFont="1" applyBorder="1" applyAlignment="1">
      <alignment horizontal="right" vertical="center"/>
    </xf>
    <xf numFmtId="9" fontId="15" fillId="0" borderId="3" xfId="1" applyFont="1" applyBorder="1" applyAlignment="1">
      <alignment horizontal="center" vertical="center"/>
    </xf>
    <xf numFmtId="9" fontId="15" fillId="0" borderId="7" xfId="1" applyFont="1" applyBorder="1" applyAlignment="1">
      <alignment horizontal="right" vertical="center"/>
    </xf>
    <xf numFmtId="178" fontId="15" fillId="0" borderId="3" xfId="0" applyNumberFormat="1" applyFont="1" applyBorder="1">
      <alignment vertical="center"/>
    </xf>
    <xf numFmtId="1" fontId="15" fillId="0" borderId="20" xfId="0" applyNumberFormat="1" applyFont="1" applyBorder="1" applyAlignment="1">
      <alignment horizontal="right" vertical="center"/>
    </xf>
    <xf numFmtId="9" fontId="15" fillId="0" borderId="21" xfId="1" applyFont="1" applyBorder="1" applyAlignment="1">
      <alignment horizontal="right" vertical="center"/>
    </xf>
    <xf numFmtId="2" fontId="15" fillId="0" borderId="0" xfId="0" applyNumberFormat="1" applyFont="1" applyAlignment="1">
      <alignment horizontal="right" vertical="center"/>
    </xf>
    <xf numFmtId="0" fontId="15" fillId="0" borderId="3" xfId="0" applyFont="1" applyBorder="1" applyAlignment="1">
      <alignment horizontal="right" vertical="center"/>
    </xf>
    <xf numFmtId="2" fontId="15" fillId="0" borderId="3" xfId="0" applyNumberFormat="1" applyFont="1" applyBorder="1">
      <alignment vertical="center"/>
    </xf>
    <xf numFmtId="2" fontId="15" fillId="8" borderId="3" xfId="0" applyNumberFormat="1" applyFont="1" applyFill="1" applyBorder="1">
      <alignment vertical="center"/>
    </xf>
    <xf numFmtId="2" fontId="15" fillId="0" borderId="4" xfId="0" applyNumberFormat="1" applyFont="1" applyBorder="1">
      <alignment vertical="center"/>
    </xf>
    <xf numFmtId="2" fontId="15" fillId="0" borderId="7" xfId="0" applyNumberFormat="1" applyFont="1" applyBorder="1">
      <alignment vertical="center"/>
    </xf>
    <xf numFmtId="2" fontId="15" fillId="0" borderId="5" xfId="0" applyNumberFormat="1" applyFont="1" applyBorder="1">
      <alignment vertical="center"/>
    </xf>
    <xf numFmtId="0" fontId="21" fillId="0" borderId="3" xfId="0" applyFont="1" applyBorder="1" applyAlignment="1">
      <alignment horizontal="center" vertical="center"/>
    </xf>
    <xf numFmtId="0" fontId="21" fillId="0" borderId="3" xfId="0" applyFont="1" applyBorder="1">
      <alignment vertical="center"/>
    </xf>
    <xf numFmtId="2" fontId="21" fillId="0" borderId="3" xfId="0" applyNumberFormat="1" applyFont="1" applyBorder="1">
      <alignment vertical="center"/>
    </xf>
    <xf numFmtId="178" fontId="21" fillId="0" borderId="3" xfId="0" applyNumberFormat="1" applyFont="1" applyBorder="1">
      <alignment vertical="center"/>
    </xf>
    <xf numFmtId="0" fontId="13" fillId="14" borderId="7" xfId="0" applyFont="1" applyFill="1" applyBorder="1">
      <alignment vertical="center"/>
    </xf>
    <xf numFmtId="0" fontId="13" fillId="14" borderId="8" xfId="0" applyFont="1" applyFill="1" applyBorder="1">
      <alignment vertical="center"/>
    </xf>
    <xf numFmtId="0" fontId="13" fillId="15" borderId="3" xfId="0" applyFont="1" applyFill="1" applyBorder="1" applyAlignment="1">
      <alignment horizontal="center" vertical="center"/>
    </xf>
    <xf numFmtId="180" fontId="13" fillId="15" borderId="3" xfId="1" applyNumberFormat="1" applyFont="1" applyFill="1" applyBorder="1" applyAlignment="1">
      <alignment horizontal="center" vertical="center"/>
    </xf>
    <xf numFmtId="9" fontId="13" fillId="0" borderId="3" xfId="0" applyNumberFormat="1" applyFont="1" applyBorder="1" applyAlignment="1">
      <alignment horizontal="center" vertical="center"/>
    </xf>
    <xf numFmtId="9" fontId="13" fillId="0" borderId="4" xfId="0" applyNumberFormat="1" applyFont="1" applyBorder="1" applyAlignment="1">
      <alignment horizontal="center" vertical="center"/>
    </xf>
    <xf numFmtId="2" fontId="13" fillId="0" borderId="3" xfId="0" applyNumberFormat="1" applyFont="1" applyBorder="1">
      <alignment vertical="center"/>
    </xf>
    <xf numFmtId="181" fontId="13" fillId="0" borderId="3" xfId="0" applyNumberFormat="1" applyFont="1" applyBorder="1">
      <alignment vertical="center"/>
    </xf>
    <xf numFmtId="2" fontId="11" fillId="0" borderId="3" xfId="0" applyNumberFormat="1" applyFont="1" applyBorder="1">
      <alignment vertical="center"/>
    </xf>
    <xf numFmtId="181" fontId="11" fillId="0" borderId="3" xfId="0" applyNumberFormat="1" applyFont="1" applyBorder="1">
      <alignment vertical="center"/>
    </xf>
    <xf numFmtId="0" fontId="11" fillId="0" borderId="0" xfId="0" applyFont="1" applyAlignment="1">
      <alignment horizontal="left" vertical="center" indent="2"/>
    </xf>
    <xf numFmtId="2" fontId="11" fillId="0" borderId="0" xfId="0" applyNumberFormat="1" applyFont="1">
      <alignment vertical="center"/>
    </xf>
    <xf numFmtId="181" fontId="11" fillId="0" borderId="0" xfId="0" applyNumberFormat="1" applyFont="1">
      <alignment vertical="center"/>
    </xf>
    <xf numFmtId="2" fontId="11" fillId="8" borderId="3" xfId="0" applyNumberFormat="1" applyFont="1" applyFill="1" applyBorder="1">
      <alignment vertical="center"/>
    </xf>
    <xf numFmtId="0" fontId="0" fillId="0" borderId="0" xfId="0" applyFill="1" applyAlignment="1">
      <alignment horizontal="center" vertical="center"/>
    </xf>
    <xf numFmtId="0" fontId="32" fillId="0" borderId="0" xfId="0" applyFont="1" applyFill="1">
      <alignment vertical="center"/>
    </xf>
    <xf numFmtId="0" fontId="0" fillId="0" borderId="0" xfId="0" applyFill="1">
      <alignment vertical="center"/>
    </xf>
    <xf numFmtId="0" fontId="33" fillId="0" borderId="0" xfId="0" applyFont="1" applyFill="1">
      <alignment vertical="center"/>
    </xf>
    <xf numFmtId="0" fontId="32" fillId="0" borderId="0" xfId="0" applyFont="1" applyFill="1" applyAlignment="1">
      <alignment horizontal="center" vertical="center"/>
    </xf>
    <xf numFmtId="0" fontId="34" fillId="0" borderId="0" xfId="0" applyFont="1" applyFill="1" applyAlignment="1">
      <alignment horizontal="center" vertical="center"/>
    </xf>
    <xf numFmtId="0" fontId="35" fillId="0" borderId="0" xfId="0" applyFont="1" applyFill="1">
      <alignment vertical="center"/>
    </xf>
    <xf numFmtId="0" fontId="35" fillId="0" borderId="0" xfId="0" applyFont="1" applyFill="1" applyAlignment="1">
      <alignment horizontal="center" vertical="center"/>
    </xf>
    <xf numFmtId="0" fontId="36" fillId="0" borderId="0" xfId="0" applyFont="1" applyFill="1" applyAlignment="1">
      <alignment horizontal="center" vertical="center"/>
    </xf>
    <xf numFmtId="0" fontId="37" fillId="0" borderId="3" xfId="0" applyFont="1" applyFill="1" applyBorder="1" applyAlignment="1">
      <alignment horizontal="center" vertical="center"/>
    </xf>
    <xf numFmtId="0" fontId="37" fillId="0" borderId="22"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9" fillId="0" borderId="3" xfId="0" applyFont="1" applyFill="1" applyBorder="1">
      <alignment vertical="center"/>
    </xf>
    <xf numFmtId="0" fontId="40" fillId="0" borderId="3" xfId="0" applyFont="1" applyFill="1" applyBorder="1" applyAlignment="1">
      <alignment horizontal="center" vertical="center"/>
    </xf>
    <xf numFmtId="0" fontId="0" fillId="0" borderId="3" xfId="0" applyFill="1" applyBorder="1" applyAlignment="1">
      <alignment vertical="center" wrapText="1"/>
    </xf>
    <xf numFmtId="0" fontId="34"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lignment vertical="center"/>
    </xf>
    <xf numFmtId="0" fontId="0" fillId="0" borderId="3" xfId="0" applyFill="1" applyBorder="1" applyAlignment="1">
      <alignment horizontal="center" vertical="center" wrapText="1"/>
    </xf>
    <xf numFmtId="0" fontId="33" fillId="0" borderId="3" xfId="0" applyFont="1" applyFill="1" applyBorder="1" applyAlignment="1">
      <alignment horizontal="left" vertical="center" indent="2"/>
    </xf>
    <xf numFmtId="9" fontId="34" fillId="0" borderId="3" xfId="0" applyNumberFormat="1" applyFont="1" applyFill="1" applyBorder="1" applyAlignment="1">
      <alignment horizontal="center" vertical="center"/>
    </xf>
    <xf numFmtId="0" fontId="41" fillId="0" borderId="3" xfId="0" applyFont="1" applyFill="1" applyBorder="1" applyAlignment="1">
      <alignment horizontal="center" vertical="center" wrapText="1"/>
    </xf>
    <xf numFmtId="0" fontId="42" fillId="0" borderId="3" xfId="0" applyFont="1" applyFill="1" applyBorder="1">
      <alignment vertical="center"/>
    </xf>
    <xf numFmtId="0" fontId="32" fillId="0" borderId="3" xfId="0" applyFont="1" applyFill="1" applyBorder="1" applyAlignment="1">
      <alignment vertical="center" wrapText="1"/>
    </xf>
    <xf numFmtId="0" fontId="43" fillId="0" borderId="3" xfId="0" applyFont="1" applyFill="1" applyBorder="1" applyAlignment="1">
      <alignment horizontal="center" vertical="center"/>
    </xf>
    <xf numFmtId="0" fontId="32" fillId="0" borderId="3" xfId="0" applyFont="1" applyFill="1" applyBorder="1" applyAlignment="1">
      <alignment horizontal="center" vertical="center"/>
    </xf>
    <xf numFmtId="0" fontId="32" fillId="0" borderId="3" xfId="0" applyFont="1" applyFill="1" applyBorder="1">
      <alignment vertical="center"/>
    </xf>
    <xf numFmtId="0" fontId="40" fillId="0" borderId="3" xfId="0" applyFont="1" applyFill="1" applyBorder="1" applyAlignment="1">
      <alignment vertical="center" wrapText="1"/>
    </xf>
    <xf numFmtId="178" fontId="43" fillId="0" borderId="3" xfId="0" applyNumberFormat="1" applyFont="1" applyFill="1" applyBorder="1" applyAlignment="1">
      <alignment horizontal="center" vertical="center"/>
    </xf>
    <xf numFmtId="0" fontId="32" fillId="0" borderId="3" xfId="0" applyFont="1" applyFill="1" applyBorder="1" applyAlignment="1">
      <alignment horizontal="center" vertical="center" wrapText="1"/>
    </xf>
    <xf numFmtId="0" fontId="44" fillId="0" borderId="3" xfId="0" applyFont="1" applyFill="1" applyBorder="1" applyAlignment="1">
      <alignment horizontal="left" vertical="center" indent="2"/>
    </xf>
    <xf numFmtId="176" fontId="43" fillId="0" borderId="3" xfId="0" applyNumberFormat="1" applyFont="1" applyFill="1" applyBorder="1" applyAlignment="1">
      <alignment horizontal="center" vertical="center"/>
    </xf>
    <xf numFmtId="0" fontId="44" fillId="0" borderId="3" xfId="0" applyFont="1" applyFill="1" applyBorder="1" applyAlignment="1">
      <alignment horizontal="left" vertical="center" indent="3"/>
    </xf>
    <xf numFmtId="180" fontId="43" fillId="0" borderId="3" xfId="0" applyNumberFormat="1" applyFont="1" applyFill="1" applyBorder="1" applyAlignment="1">
      <alignment horizontal="center" vertical="center"/>
    </xf>
    <xf numFmtId="0" fontId="42" fillId="0" borderId="3" xfId="0" applyFont="1" applyFill="1" applyBorder="1" applyAlignment="1">
      <alignment vertical="center"/>
    </xf>
    <xf numFmtId="0" fontId="37" fillId="0" borderId="4" xfId="0" applyFont="1" applyFill="1" applyBorder="1" applyAlignment="1">
      <alignment horizontal="center" vertical="center" wrapText="1"/>
    </xf>
    <xf numFmtId="2" fontId="34" fillId="0" borderId="3" xfId="0" applyNumberFormat="1" applyFont="1" applyFill="1" applyBorder="1" applyAlignment="1">
      <alignment horizontal="right" vertical="center"/>
    </xf>
    <xf numFmtId="0" fontId="45" fillId="0" borderId="3" xfId="0" applyFont="1" applyFill="1" applyBorder="1" applyAlignment="1">
      <alignment horizontal="center" vertical="center"/>
    </xf>
    <xf numFmtId="0" fontId="37" fillId="0" borderId="22" xfId="0" applyFont="1" applyFill="1" applyBorder="1" applyAlignment="1">
      <alignment horizontal="center" vertical="center"/>
    </xf>
    <xf numFmtId="0" fontId="39" fillId="0" borderId="3" xfId="0" applyFont="1" applyFill="1" applyBorder="1" applyAlignment="1">
      <alignment vertical="center"/>
    </xf>
    <xf numFmtId="0" fontId="38" fillId="0" borderId="3" xfId="0" applyFont="1" applyFill="1" applyBorder="1" applyAlignment="1">
      <alignment horizontal="center" vertical="center"/>
    </xf>
    <xf numFmtId="10" fontId="34" fillId="0" borderId="3" xfId="0" applyNumberFormat="1" applyFont="1" applyFill="1" applyBorder="1" applyAlignment="1">
      <alignment horizontal="center" vertical="center"/>
    </xf>
    <xf numFmtId="0" fontId="37" fillId="0" borderId="3" xfId="0" applyFont="1" applyFill="1" applyBorder="1">
      <alignment vertical="center"/>
    </xf>
    <xf numFmtId="176" fontId="34" fillId="0" borderId="3" xfId="0" applyNumberFormat="1" applyFont="1" applyFill="1" applyBorder="1" applyAlignment="1">
      <alignment horizontal="center" vertical="center"/>
    </xf>
    <xf numFmtId="0" fontId="0" fillId="0" borderId="3" xfId="0" applyFont="1" applyFill="1" applyBorder="1" applyAlignment="1">
      <alignment horizontal="center" vertical="center"/>
    </xf>
    <xf numFmtId="178" fontId="34" fillId="0" borderId="3" xfId="0" applyNumberFormat="1" applyFont="1" applyFill="1" applyBorder="1" applyAlignment="1">
      <alignment horizontal="center" vertical="center"/>
    </xf>
    <xf numFmtId="0" fontId="40" fillId="0" borderId="4" xfId="0" applyFont="1" applyFill="1" applyBorder="1" applyAlignment="1">
      <alignment horizontal="center" vertical="center"/>
    </xf>
    <xf numFmtId="0" fontId="0" fillId="0" borderId="3" xfId="0" applyFont="1" applyFill="1" applyBorder="1" applyAlignment="1">
      <alignment horizontal="center" vertical="center" wrapText="1"/>
    </xf>
    <xf numFmtId="0" fontId="33" fillId="0" borderId="3" xfId="0" applyFont="1" applyFill="1" applyBorder="1" applyAlignment="1">
      <alignment horizontal="left" vertical="center" indent="3"/>
    </xf>
    <xf numFmtId="0" fontId="0" fillId="0" borderId="4" xfId="0" applyFill="1" applyBorder="1" applyAlignment="1">
      <alignment vertical="center" wrapText="1"/>
    </xf>
    <xf numFmtId="0" fontId="0" fillId="0" borderId="4" xfId="0" applyFill="1" applyBorder="1" applyAlignment="1">
      <alignment horizontal="center" vertical="center" wrapText="1"/>
    </xf>
    <xf numFmtId="182" fontId="34" fillId="0" borderId="3" xfId="0" applyNumberFormat="1" applyFont="1" applyFill="1" applyBorder="1" applyAlignment="1">
      <alignment horizontal="center" vertical="center"/>
    </xf>
    <xf numFmtId="0" fontId="38" fillId="0" borderId="4" xfId="0" applyFont="1" applyFill="1" applyBorder="1" applyAlignment="1">
      <alignment horizontal="center" vertical="center" wrapText="1"/>
    </xf>
    <xf numFmtId="0" fontId="40" fillId="0" borderId="3" xfId="0" applyFont="1" applyFill="1" applyBorder="1" applyAlignment="1">
      <alignment horizontal="left" vertical="center" indent="2"/>
    </xf>
    <xf numFmtId="0" fontId="33" fillId="0" borderId="3" xfId="0" applyFont="1" applyFill="1" applyBorder="1" applyAlignment="1">
      <alignment horizontal="left" vertical="center" indent="4"/>
    </xf>
    <xf numFmtId="0" fontId="40" fillId="0" borderId="5" xfId="0" applyFont="1" applyFill="1" applyBorder="1" applyAlignment="1">
      <alignment horizontal="center" vertical="center" wrapText="1"/>
    </xf>
    <xf numFmtId="0" fontId="40" fillId="0" borderId="5" xfId="0" applyFont="1" applyFill="1" applyBorder="1" applyAlignment="1">
      <alignment horizontal="center" vertical="center"/>
    </xf>
    <xf numFmtId="0" fontId="0" fillId="0" borderId="5" xfId="0" applyFill="1" applyBorder="1" applyAlignment="1">
      <alignment horizontal="center" vertical="center" wrapText="1"/>
    </xf>
    <xf numFmtId="2" fontId="34" fillId="0" borderId="3" xfId="0" applyNumberFormat="1" applyFont="1" applyFill="1" applyBorder="1" applyAlignment="1">
      <alignment horizontal="center" vertical="center"/>
    </xf>
    <xf numFmtId="0" fontId="39" fillId="0" borderId="3" xfId="0" applyFont="1" applyFill="1" applyBorder="1" applyAlignment="1">
      <alignment horizontal="left" vertical="center" indent="2"/>
    </xf>
    <xf numFmtId="49" fontId="0" fillId="0" borderId="3" xfId="0" applyNumberFormat="1" applyFont="1" applyFill="1" applyBorder="1" applyAlignment="1">
      <alignment horizontal="center" vertical="center" wrapText="1"/>
    </xf>
    <xf numFmtId="0" fontId="40" fillId="0" borderId="3" xfId="0" applyFont="1" applyFill="1" applyBorder="1">
      <alignment vertical="center"/>
    </xf>
    <xf numFmtId="0" fontId="33" fillId="0" borderId="3" xfId="0" applyFont="1" applyFill="1" applyBorder="1" applyAlignment="1">
      <alignment horizontal="left" vertical="center" indent="5"/>
    </xf>
    <xf numFmtId="0" fontId="33" fillId="0" borderId="3" xfId="0" applyFont="1" applyFill="1" applyBorder="1" applyAlignment="1">
      <alignment horizontal="center" vertical="center"/>
    </xf>
    <xf numFmtId="0" fontId="40" fillId="0" borderId="3" xfId="0" applyFont="1" applyFill="1" applyBorder="1" applyAlignment="1">
      <alignment horizontal="center" vertical="center" wrapText="1"/>
    </xf>
    <xf numFmtId="9" fontId="40" fillId="0" borderId="3" xfId="0" applyNumberFormat="1" applyFont="1" applyFill="1" applyBorder="1" applyAlignment="1">
      <alignment horizontal="left" vertical="center" wrapText="1"/>
    </xf>
    <xf numFmtId="0" fontId="37" fillId="0" borderId="0" xfId="0" applyFont="1" applyFill="1" applyAlignment="1">
      <alignment horizontal="center" vertical="center" wrapText="1"/>
    </xf>
    <xf numFmtId="0" fontId="33" fillId="0" borderId="0" xfId="0" applyFont="1" applyFill="1" applyAlignment="1">
      <alignment horizontal="left" vertical="center" indent="2"/>
    </xf>
    <xf numFmtId="0" fontId="33" fillId="0" borderId="0" xfId="0" applyFont="1" applyFill="1" applyAlignment="1">
      <alignment horizontal="center" vertical="center"/>
    </xf>
    <xf numFmtId="0" fontId="44" fillId="0" borderId="0" xfId="0" applyFont="1" applyFill="1" applyAlignment="1">
      <alignment horizontal="center" vertical="center"/>
    </xf>
    <xf numFmtId="0" fontId="33" fillId="0" borderId="3" xfId="0" applyFont="1" applyFill="1" applyBorder="1">
      <alignment vertical="center"/>
    </xf>
    <xf numFmtId="9" fontId="33" fillId="0" borderId="3" xfId="0" applyNumberFormat="1" applyFont="1" applyFill="1" applyBorder="1" applyAlignment="1">
      <alignment horizontal="center" vertical="center"/>
    </xf>
    <xf numFmtId="0" fontId="46" fillId="0" borderId="0" xfId="0" applyFont="1" applyFill="1">
      <alignment vertical="center"/>
    </xf>
    <xf numFmtId="0" fontId="21" fillId="5" borderId="3" xfId="0" applyFont="1" applyFill="1" applyBorder="1" applyAlignment="1">
      <alignment horizontal="center" vertical="center"/>
    </xf>
    <xf numFmtId="0" fontId="21" fillId="0" borderId="3" xfId="0" applyFont="1" applyBorder="1" applyAlignment="1">
      <alignment horizontal="center" vertical="center" wrapText="1"/>
    </xf>
    <xf numFmtId="9" fontId="21" fillId="0" borderId="3" xfId="0" applyNumberFormat="1" applyFont="1" applyBorder="1" applyAlignment="1">
      <alignment horizontal="center" vertical="center"/>
    </xf>
    <xf numFmtId="0" fontId="21" fillId="16" borderId="3" xfId="0" applyFont="1" applyFill="1" applyBorder="1" applyAlignment="1">
      <alignment horizontal="center" vertical="center"/>
    </xf>
    <xf numFmtId="0" fontId="15" fillId="0" borderId="3" xfId="0" applyFont="1" applyBorder="1" applyAlignment="1">
      <alignment horizontal="center" vertical="center" wrapText="1"/>
    </xf>
    <xf numFmtId="0" fontId="21" fillId="8" borderId="3" xfId="0" applyFont="1" applyFill="1" applyBorder="1" applyAlignment="1">
      <alignment horizontal="center" vertical="center"/>
    </xf>
    <xf numFmtId="2" fontId="21" fillId="8" borderId="3" xfId="0" applyNumberFormat="1" applyFont="1" applyFill="1" applyBorder="1">
      <alignment vertical="center"/>
    </xf>
    <xf numFmtId="0" fontId="15" fillId="8" borderId="0" xfId="0" applyFont="1" applyFill="1">
      <alignment vertical="center"/>
    </xf>
    <xf numFmtId="0" fontId="15" fillId="0" borderId="0" xfId="0" applyFont="1" applyAlignment="1">
      <alignment vertical="center" wrapText="1"/>
    </xf>
    <xf numFmtId="0" fontId="15" fillId="3" borderId="0" xfId="0" applyFont="1" applyFill="1">
      <alignment vertical="center"/>
    </xf>
    <xf numFmtId="0" fontId="15" fillId="17" borderId="0" xfId="0" applyFont="1" applyFill="1">
      <alignment vertical="center"/>
    </xf>
    <xf numFmtId="0" fontId="15" fillId="18" borderId="0" xfId="0" applyFont="1" applyFill="1">
      <alignment vertical="center"/>
    </xf>
    <xf numFmtId="0" fontId="15" fillId="4" borderId="0" xfId="0" applyFont="1" applyFill="1">
      <alignment vertical="center"/>
    </xf>
    <xf numFmtId="0" fontId="15" fillId="19" borderId="0" xfId="0" applyFont="1" applyFill="1">
      <alignment vertical="center"/>
    </xf>
    <xf numFmtId="0" fontId="47" fillId="13" borderId="4" xfId="0" applyFont="1" applyFill="1" applyBorder="1" applyAlignment="1">
      <alignment horizontal="center" vertical="center" wrapText="1"/>
    </xf>
    <xf numFmtId="0" fontId="47" fillId="13" borderId="22" xfId="0" applyFont="1" applyFill="1" applyBorder="1" applyAlignment="1">
      <alignment horizontal="center" vertical="center" wrapText="1"/>
    </xf>
    <xf numFmtId="0" fontId="47" fillId="13" borderId="5"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22"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9" fillId="0" borderId="3" xfId="0" applyFont="1" applyFill="1" applyBorder="1" applyAlignment="1">
      <alignment horizontal="center" vertical="center"/>
    </xf>
    <xf numFmtId="0" fontId="40" fillId="0" borderId="4" xfId="0" applyFont="1" applyFill="1" applyBorder="1" applyAlignment="1">
      <alignment horizontal="center" vertical="center" wrapText="1"/>
    </xf>
    <xf numFmtId="0" fontId="40" fillId="0" borderId="22" xfId="0" applyFont="1" applyFill="1" applyBorder="1" applyAlignment="1">
      <alignment horizontal="center" vertical="center" wrapText="1"/>
    </xf>
    <xf numFmtId="0" fontId="40" fillId="0" borderId="5" xfId="0" applyFont="1" applyFill="1" applyBorder="1" applyAlignment="1">
      <alignment horizontal="center" vertical="center" wrapText="1"/>
    </xf>
    <xf numFmtId="0" fontId="37" fillId="0" borderId="5" xfId="0" applyFont="1" applyFill="1" applyBorder="1" applyAlignment="1">
      <alignment horizontal="center" vertical="center" wrapText="1"/>
    </xf>
    <xf numFmtId="0" fontId="37" fillId="0" borderId="22" xfId="0" applyFont="1" applyFill="1" applyBorder="1" applyAlignment="1">
      <alignment horizontal="center" vertical="center"/>
    </xf>
    <xf numFmtId="0" fontId="13" fillId="14" borderId="3" xfId="0" applyFont="1" applyFill="1" applyBorder="1" applyAlignment="1">
      <alignment horizontal="left" vertical="center" indent="1"/>
    </xf>
    <xf numFmtId="0" fontId="13" fillId="6" borderId="3" xfId="0" applyFont="1" applyFill="1" applyBorder="1" applyAlignment="1">
      <alignment horizontal="center" vertical="center"/>
    </xf>
    <xf numFmtId="0" fontId="13" fillId="7" borderId="3" xfId="0" applyFont="1" applyFill="1" applyBorder="1" applyAlignment="1">
      <alignment horizontal="center" vertical="center"/>
    </xf>
    <xf numFmtId="0" fontId="31" fillId="15" borderId="3" xfId="0" applyFont="1" applyFill="1" applyBorder="1" applyAlignment="1">
      <alignment horizontal="center" vertical="center"/>
    </xf>
    <xf numFmtId="0" fontId="13" fillId="15" borderId="4" xfId="0" applyFont="1" applyFill="1" applyBorder="1" applyAlignment="1">
      <alignment horizontal="center" vertical="center"/>
    </xf>
    <xf numFmtId="0" fontId="13" fillId="15" borderId="22" xfId="0" applyFont="1" applyFill="1" applyBorder="1" applyAlignment="1">
      <alignment horizontal="center" vertical="center"/>
    </xf>
    <xf numFmtId="0" fontId="13" fillId="15" borderId="5" xfId="0" applyFont="1" applyFill="1" applyBorder="1" applyAlignment="1">
      <alignment horizontal="center" vertical="center"/>
    </xf>
    <xf numFmtId="0" fontId="21" fillId="13" borderId="4" xfId="0" applyFont="1" applyFill="1" applyBorder="1" applyAlignment="1">
      <alignment horizontal="center" vertical="center"/>
    </xf>
    <xf numFmtId="0" fontId="21" fillId="13" borderId="5" xfId="0" applyFont="1" applyFill="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22" xfId="0" applyFont="1" applyBorder="1" applyAlignment="1">
      <alignment horizontal="center" vertical="center"/>
    </xf>
    <xf numFmtId="0" fontId="15" fillId="0" borderId="3" xfId="0" applyFont="1" applyBorder="1" applyAlignment="1">
      <alignment horizontal="center" vertical="center"/>
    </xf>
    <xf numFmtId="0" fontId="19" fillId="7" borderId="3"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3" fillId="10" borderId="3" xfId="0" applyFont="1" applyFill="1" applyBorder="1" applyAlignment="1">
      <alignment horizontal="center" vertical="center"/>
    </xf>
    <xf numFmtId="0" fontId="13" fillId="10" borderId="4" xfId="0" applyFont="1" applyFill="1" applyBorder="1" applyAlignment="1">
      <alignment horizontal="center" vertical="center"/>
    </xf>
    <xf numFmtId="0" fontId="13" fillId="10" borderId="5" xfId="0" applyFont="1" applyFill="1" applyBorder="1" applyAlignment="1">
      <alignment horizontal="center" vertical="center"/>
    </xf>
    <xf numFmtId="0" fontId="11" fillId="9" borderId="0" xfId="0" applyFont="1" applyFill="1" applyAlignment="1">
      <alignment horizontal="center" vertical="center"/>
    </xf>
    <xf numFmtId="0" fontId="13" fillId="7" borderId="7"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6" xfId="0" applyFont="1" applyFill="1" applyBorder="1" applyAlignment="1">
      <alignment horizontal="center" vertical="center"/>
    </xf>
    <xf numFmtId="0" fontId="7" fillId="6"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3" fillId="0" borderId="0" xfId="0" applyFont="1" applyAlignment="1">
      <alignment horizontal="center" vertical="center" wrapText="1"/>
    </xf>
  </cellXfs>
  <cellStyles count="2">
    <cellStyle name="百分比" xfId="1" builtinId="5"/>
    <cellStyle name="常规" xfId="0" builtinId="0"/>
  </cellStyles>
  <dxfs count="4">
    <dxf>
      <font>
        <b/>
        <i val="0"/>
        <color rgb="FFFF0000"/>
      </font>
    </dxf>
    <dxf>
      <numFmt numFmtId="179" formatCode="0_ "/>
    </dxf>
    <dxf>
      <numFmt numFmtId="179" formatCode="0_ "/>
    </dxf>
    <dxf>
      <numFmt numFmtId="179" formatCode="0_ "/>
    </dxf>
  </dxfs>
  <tableStyles count="0" defaultTableStyle="TableStyleMedium2" defaultPivotStyle="PivotStyleLight16"/>
  <colors>
    <mruColors>
      <color rgb="FFFFFF00"/>
      <color rgb="FF92D050"/>
      <color rgb="FF000000"/>
      <color rgb="FF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0"/>
  <sheetViews>
    <sheetView showGridLines="0" topLeftCell="A2" zoomScale="80" zoomScaleNormal="80" workbookViewId="0">
      <selection activeCell="H11" sqref="H11"/>
    </sheetView>
  </sheetViews>
  <sheetFormatPr defaultColWidth="8.81640625" defaultRowHeight="16.5"/>
  <cols>
    <col min="1" max="1" width="1.1796875" style="59" customWidth="1"/>
    <col min="2" max="2" width="8.81640625" style="59" customWidth="1"/>
    <col min="3" max="3" width="151.81640625" style="59" customWidth="1"/>
    <col min="4" max="16384" width="8.81640625" style="59"/>
  </cols>
  <sheetData>
    <row r="1" spans="2:3" ht="10" customHeight="1"/>
    <row r="2" spans="2:3">
      <c r="B2" s="59" t="s">
        <v>0</v>
      </c>
    </row>
    <row r="3" spans="2:3" ht="19" customHeight="1">
      <c r="B3" s="304"/>
      <c r="C3" s="305" t="s">
        <v>1</v>
      </c>
    </row>
    <row r="4" spans="2:3" ht="22.5" customHeight="1">
      <c r="B4" s="306"/>
      <c r="C4" s="305" t="s">
        <v>2</v>
      </c>
    </row>
    <row r="5" spans="2:3" ht="18" customHeight="1">
      <c r="B5" s="307"/>
      <c r="C5" s="305" t="s">
        <v>3</v>
      </c>
    </row>
    <row r="6" spans="2:3" ht="19.5" customHeight="1">
      <c r="B6" s="308"/>
      <c r="C6" s="305" t="s">
        <v>4</v>
      </c>
    </row>
    <row r="7" spans="2:3" ht="18.5" customHeight="1">
      <c r="B7" s="309"/>
      <c r="C7" s="305" t="s">
        <v>5</v>
      </c>
    </row>
    <row r="8" spans="2:3" ht="20.5" customHeight="1">
      <c r="B8" s="310"/>
      <c r="C8" s="305" t="s">
        <v>6</v>
      </c>
    </row>
    <row r="9" spans="2:3">
      <c r="C9" s="305"/>
    </row>
    <row r="10" spans="2:3" ht="33">
      <c r="C10" s="305" t="s">
        <v>7</v>
      </c>
    </row>
    <row r="11" spans="2:3">
      <c r="C11" s="305"/>
    </row>
    <row r="12" spans="2:3" ht="33">
      <c r="C12" s="305" t="s">
        <v>8</v>
      </c>
    </row>
    <row r="13" spans="2:3">
      <c r="C13" s="305"/>
    </row>
    <row r="14" spans="2:3">
      <c r="C14" s="305" t="s">
        <v>9</v>
      </c>
    </row>
    <row r="16" spans="2:3">
      <c r="C16" s="305" t="s">
        <v>10</v>
      </c>
    </row>
    <row r="17" spans="3:3">
      <c r="C17" s="305"/>
    </row>
    <row r="18" spans="3:3" ht="49.5">
      <c r="C18" s="305" t="s">
        <v>11</v>
      </c>
    </row>
    <row r="20" spans="3:3">
      <c r="C20" s="59" t="s">
        <v>12</v>
      </c>
    </row>
  </sheetData>
  <phoneticPr fontId="6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18"/>
  <sheetViews>
    <sheetView showGridLines="0" workbookViewId="0">
      <selection activeCell="H11" sqref="H11"/>
    </sheetView>
  </sheetViews>
  <sheetFormatPr defaultColWidth="8.81640625" defaultRowHeight="16.5"/>
  <cols>
    <col min="1" max="1" width="3.08984375" style="59" customWidth="1"/>
    <col min="2" max="2" width="17.6328125" style="59" customWidth="1"/>
    <col min="3" max="3" width="8.81640625" style="59"/>
    <col min="4" max="4" width="20" style="59" customWidth="1"/>
    <col min="5" max="5" width="15" style="59" customWidth="1"/>
    <col min="6" max="6" width="15.81640625" style="176" customWidth="1"/>
    <col min="7" max="7" width="15.81640625" style="59" customWidth="1"/>
    <col min="8" max="16384" width="8.81640625" style="59"/>
  </cols>
  <sheetData>
    <row r="2" spans="2:7" ht="26" customHeight="1">
      <c r="B2" s="311" t="s">
        <v>13</v>
      </c>
      <c r="C2" s="297" t="s">
        <v>14</v>
      </c>
      <c r="D2" s="297" t="s">
        <v>15</v>
      </c>
      <c r="E2" s="297" t="s">
        <v>16</v>
      </c>
      <c r="F2" s="297" t="s">
        <v>17</v>
      </c>
      <c r="G2" s="297" t="s">
        <v>18</v>
      </c>
    </row>
    <row r="3" spans="2:7" ht="14" customHeight="1">
      <c r="B3" s="312"/>
      <c r="C3" s="298">
        <v>1</v>
      </c>
      <c r="D3" s="206" t="s">
        <v>19</v>
      </c>
      <c r="E3" s="208">
        <f>参数输入表!H69</f>
        <v>11947.39</v>
      </c>
      <c r="F3" s="299">
        <f>参数输入表!H288</f>
        <v>0.13</v>
      </c>
      <c r="G3" s="201">
        <f>E3/(1+F3)*F3</f>
        <v>1374.47849557522</v>
      </c>
    </row>
    <row r="4" spans="2:7" ht="14" customHeight="1">
      <c r="B4" s="312"/>
      <c r="C4" s="298">
        <v>2</v>
      </c>
      <c r="D4" s="206" t="s">
        <v>20</v>
      </c>
      <c r="E4" s="208">
        <f>参数输入表!H70</f>
        <v>6235.39</v>
      </c>
      <c r="F4" s="299">
        <f>参数输入表!H289</f>
        <v>0.09</v>
      </c>
      <c r="G4" s="201">
        <f t="shared" ref="G4:G9" si="0">E4/(1+F4)*F4</f>
        <v>514.84871559632995</v>
      </c>
    </row>
    <row r="5" spans="2:7" ht="14" customHeight="1">
      <c r="B5" s="312"/>
      <c r="C5" s="298">
        <v>3</v>
      </c>
      <c r="D5" s="206" t="s">
        <v>21</v>
      </c>
      <c r="E5" s="208">
        <f>参数输入表!H71</f>
        <v>3024.1</v>
      </c>
      <c r="F5" s="299">
        <f>参数输入表!H290</f>
        <v>0.06</v>
      </c>
      <c r="G5" s="201">
        <f t="shared" si="0"/>
        <v>171.175471698113</v>
      </c>
    </row>
    <row r="6" spans="2:7" ht="14" customHeight="1">
      <c r="B6" s="312"/>
      <c r="C6" s="298">
        <v>4</v>
      </c>
      <c r="D6" s="206" t="s">
        <v>22</v>
      </c>
      <c r="E6" s="208">
        <f>参数输入表!H72</f>
        <v>442.56</v>
      </c>
      <c r="F6" s="299">
        <f>参数输入表!H291</f>
        <v>0</v>
      </c>
      <c r="G6" s="201">
        <f t="shared" si="0"/>
        <v>0</v>
      </c>
    </row>
    <row r="7" spans="2:7" ht="14" customHeight="1">
      <c r="B7" s="312"/>
      <c r="C7" s="298">
        <v>5</v>
      </c>
      <c r="D7" s="300" t="s">
        <v>23</v>
      </c>
      <c r="E7" s="208">
        <f>参数输入表!H73</f>
        <v>920.92</v>
      </c>
      <c r="F7" s="299">
        <f>参数输入表!H292</f>
        <v>0.13</v>
      </c>
      <c r="G7" s="201">
        <f t="shared" si="0"/>
        <v>105.946548672566</v>
      </c>
    </row>
    <row r="8" spans="2:7" ht="14" customHeight="1">
      <c r="B8" s="312"/>
      <c r="C8" s="298">
        <v>6</v>
      </c>
      <c r="D8" s="206" t="s">
        <v>24</v>
      </c>
      <c r="E8" s="208">
        <f>参数输入表!H74</f>
        <v>1832</v>
      </c>
      <c r="F8" s="299">
        <f>参数输入表!H293</f>
        <v>0.09</v>
      </c>
      <c r="G8" s="201">
        <f t="shared" si="0"/>
        <v>151.26605504587201</v>
      </c>
    </row>
    <row r="9" spans="2:7" ht="14" customHeight="1">
      <c r="B9" s="312"/>
      <c r="C9" s="298">
        <v>7</v>
      </c>
      <c r="D9" s="206" t="s">
        <v>25</v>
      </c>
      <c r="E9" s="208">
        <f>参数输入表!H75</f>
        <v>0</v>
      </c>
      <c r="F9" s="299">
        <f>参数输入表!H294</f>
        <v>0</v>
      </c>
      <c r="G9" s="201">
        <f t="shared" si="0"/>
        <v>0</v>
      </c>
    </row>
    <row r="10" spans="2:7" ht="14" customHeight="1">
      <c r="B10" s="312"/>
      <c r="C10" s="301">
        <v>8</v>
      </c>
      <c r="D10" s="73" t="s">
        <v>26</v>
      </c>
      <c r="E10" s="201">
        <f>参数输入表!H76</f>
        <v>24402.36</v>
      </c>
      <c r="F10" s="73"/>
      <c r="G10" s="72"/>
    </row>
    <row r="11" spans="2:7" ht="14" customHeight="1">
      <c r="B11" s="312"/>
      <c r="C11" s="301">
        <v>9</v>
      </c>
      <c r="D11" s="73" t="s">
        <v>27</v>
      </c>
      <c r="E11" s="201">
        <f ca="1">参数输入表!H78</f>
        <v>350.13350338780384</v>
      </c>
      <c r="F11" s="73"/>
      <c r="G11" s="72"/>
    </row>
    <row r="12" spans="2:7" ht="14" customHeight="1">
      <c r="B12" s="312"/>
      <c r="C12" s="301">
        <v>10</v>
      </c>
      <c r="D12" s="73" t="s">
        <v>28</v>
      </c>
      <c r="E12" s="201">
        <f ca="1">参数输入表!H79</f>
        <v>24752.493503387803</v>
      </c>
      <c r="F12" s="73"/>
      <c r="G12" s="72"/>
    </row>
    <row r="13" spans="2:7" ht="14" customHeight="1">
      <c r="B13" s="312"/>
      <c r="C13" s="301">
        <v>11</v>
      </c>
      <c r="D13" s="73" t="s">
        <v>29</v>
      </c>
      <c r="E13" s="201">
        <f>参数输入表!H81</f>
        <v>150</v>
      </c>
      <c r="F13" s="73"/>
      <c r="G13" s="72"/>
    </row>
    <row r="14" spans="2:7" ht="14" customHeight="1">
      <c r="B14" s="313"/>
      <c r="C14" s="301">
        <v>12</v>
      </c>
      <c r="D14" s="302" t="s">
        <v>30</v>
      </c>
      <c r="E14" s="303">
        <f>SUM(G3:G9)</f>
        <v>2317.7152865880998</v>
      </c>
      <c r="F14" s="73"/>
      <c r="G14" s="72"/>
    </row>
    <row r="18" spans="3:3">
      <c r="C18" s="107" t="s">
        <v>31</v>
      </c>
    </row>
  </sheetData>
  <mergeCells count="1">
    <mergeCell ref="B2:B14"/>
  </mergeCells>
  <phoneticPr fontId="60"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04"/>
  <sheetViews>
    <sheetView showGridLines="0" zoomScale="80" zoomScaleNormal="80" workbookViewId="0">
      <pane xSplit="2" ySplit="3" topLeftCell="C60" activePane="bottomRight" state="frozen"/>
      <selection pane="topRight"/>
      <selection pane="bottomLeft"/>
      <selection pane="bottomRight" activeCell="H67" sqref="H67"/>
    </sheetView>
  </sheetViews>
  <sheetFormatPr defaultColWidth="9.81640625" defaultRowHeight="21"/>
  <cols>
    <col min="1" max="1" width="2.54296875" style="226" customWidth="1"/>
    <col min="2" max="2" width="12.81640625" style="226" customWidth="1"/>
    <col min="3" max="3" width="9.54296875" style="224" customWidth="1"/>
    <col min="4" max="4" width="35.36328125" style="227" customWidth="1"/>
    <col min="5" max="5" width="26.453125" style="228" customWidth="1"/>
    <col min="6" max="6" width="14.1796875" style="224" customWidth="1"/>
    <col min="7" max="7" width="28.90625" style="226" customWidth="1"/>
    <col min="8" max="8" width="17.81640625" style="229" customWidth="1"/>
    <col min="9" max="9" width="16.1796875" style="224" customWidth="1"/>
    <col min="10" max="10" width="70.90625" style="226" customWidth="1"/>
    <col min="11" max="11" width="21.81640625" style="226" customWidth="1"/>
    <col min="12" max="257" width="9.81640625" style="226"/>
    <col min="258" max="258" width="5.81640625" style="226" customWidth="1"/>
    <col min="259" max="259" width="15.54296875" style="226" customWidth="1"/>
    <col min="260" max="260" width="9.54296875" style="226" customWidth="1"/>
    <col min="261" max="261" width="30.81640625" style="226" customWidth="1"/>
    <col min="262" max="262" width="17.1796875" style="226" customWidth="1"/>
    <col min="263" max="263" width="69.1796875" style="226" customWidth="1"/>
    <col min="264" max="264" width="19.81640625" style="226" customWidth="1"/>
    <col min="265" max="265" width="18" style="226" customWidth="1"/>
    <col min="266" max="266" width="72.08984375" style="226" customWidth="1"/>
    <col min="267" max="267" width="21.81640625" style="226" customWidth="1"/>
    <col min="268" max="513" width="9.81640625" style="226"/>
    <col min="514" max="514" width="5.81640625" style="226" customWidth="1"/>
    <col min="515" max="515" width="15.54296875" style="226" customWidth="1"/>
    <col min="516" max="516" width="9.54296875" style="226" customWidth="1"/>
    <col min="517" max="517" width="30.81640625" style="226" customWidth="1"/>
    <col min="518" max="518" width="17.1796875" style="226" customWidth="1"/>
    <col min="519" max="519" width="69.1796875" style="226" customWidth="1"/>
    <col min="520" max="520" width="19.81640625" style="226" customWidth="1"/>
    <col min="521" max="521" width="18" style="226" customWidth="1"/>
    <col min="522" max="522" width="72.08984375" style="226" customWidth="1"/>
    <col min="523" max="523" width="21.81640625" style="226" customWidth="1"/>
    <col min="524" max="769" width="9.81640625" style="226"/>
    <col min="770" max="770" width="5.81640625" style="226" customWidth="1"/>
    <col min="771" max="771" width="15.54296875" style="226" customWidth="1"/>
    <col min="772" max="772" width="9.54296875" style="226" customWidth="1"/>
    <col min="773" max="773" width="30.81640625" style="226" customWidth="1"/>
    <col min="774" max="774" width="17.1796875" style="226" customWidth="1"/>
    <col min="775" max="775" width="69.1796875" style="226" customWidth="1"/>
    <col min="776" max="776" width="19.81640625" style="226" customWidth="1"/>
    <col min="777" max="777" width="18" style="226" customWidth="1"/>
    <col min="778" max="778" width="72.08984375" style="226" customWidth="1"/>
    <col min="779" max="779" width="21.81640625" style="226" customWidth="1"/>
    <col min="780" max="1025" width="9.81640625" style="226"/>
    <col min="1026" max="1026" width="5.81640625" style="226" customWidth="1"/>
    <col min="1027" max="1027" width="15.54296875" style="226" customWidth="1"/>
    <col min="1028" max="1028" width="9.54296875" style="226" customWidth="1"/>
    <col min="1029" max="1029" width="30.81640625" style="226" customWidth="1"/>
    <col min="1030" max="1030" width="17.1796875" style="226" customWidth="1"/>
    <col min="1031" max="1031" width="69.1796875" style="226" customWidth="1"/>
    <col min="1032" max="1032" width="19.81640625" style="226" customWidth="1"/>
    <col min="1033" max="1033" width="18" style="226" customWidth="1"/>
    <col min="1034" max="1034" width="72.08984375" style="226" customWidth="1"/>
    <col min="1035" max="1035" width="21.81640625" style="226" customWidth="1"/>
    <col min="1036" max="1281" width="9.81640625" style="226"/>
    <col min="1282" max="1282" width="5.81640625" style="226" customWidth="1"/>
    <col min="1283" max="1283" width="15.54296875" style="226" customWidth="1"/>
    <col min="1284" max="1284" width="9.54296875" style="226" customWidth="1"/>
    <col min="1285" max="1285" width="30.81640625" style="226" customWidth="1"/>
    <col min="1286" max="1286" width="17.1796875" style="226" customWidth="1"/>
    <col min="1287" max="1287" width="69.1796875" style="226" customWidth="1"/>
    <col min="1288" max="1288" width="19.81640625" style="226" customWidth="1"/>
    <col min="1289" max="1289" width="18" style="226" customWidth="1"/>
    <col min="1290" max="1290" width="72.08984375" style="226" customWidth="1"/>
    <col min="1291" max="1291" width="21.81640625" style="226" customWidth="1"/>
    <col min="1292" max="1537" width="9.81640625" style="226"/>
    <col min="1538" max="1538" width="5.81640625" style="226" customWidth="1"/>
    <col min="1539" max="1539" width="15.54296875" style="226" customWidth="1"/>
    <col min="1540" max="1540" width="9.54296875" style="226" customWidth="1"/>
    <col min="1541" max="1541" width="30.81640625" style="226" customWidth="1"/>
    <col min="1542" max="1542" width="17.1796875" style="226" customWidth="1"/>
    <col min="1543" max="1543" width="69.1796875" style="226" customWidth="1"/>
    <col min="1544" max="1544" width="19.81640625" style="226" customWidth="1"/>
    <col min="1545" max="1545" width="18" style="226" customWidth="1"/>
    <col min="1546" max="1546" width="72.08984375" style="226" customWidth="1"/>
    <col min="1547" max="1547" width="21.81640625" style="226" customWidth="1"/>
    <col min="1548" max="1793" width="9.81640625" style="226"/>
    <col min="1794" max="1794" width="5.81640625" style="226" customWidth="1"/>
    <col min="1795" max="1795" width="15.54296875" style="226" customWidth="1"/>
    <col min="1796" max="1796" width="9.54296875" style="226" customWidth="1"/>
    <col min="1797" max="1797" width="30.81640625" style="226" customWidth="1"/>
    <col min="1798" max="1798" width="17.1796875" style="226" customWidth="1"/>
    <col min="1799" max="1799" width="69.1796875" style="226" customWidth="1"/>
    <col min="1800" max="1800" width="19.81640625" style="226" customWidth="1"/>
    <col min="1801" max="1801" width="18" style="226" customWidth="1"/>
    <col min="1802" max="1802" width="72.08984375" style="226" customWidth="1"/>
    <col min="1803" max="1803" width="21.81640625" style="226" customWidth="1"/>
    <col min="1804" max="2049" width="9.81640625" style="226"/>
    <col min="2050" max="2050" width="5.81640625" style="226" customWidth="1"/>
    <col min="2051" max="2051" width="15.54296875" style="226" customWidth="1"/>
    <col min="2052" max="2052" width="9.54296875" style="226" customWidth="1"/>
    <col min="2053" max="2053" width="30.81640625" style="226" customWidth="1"/>
    <col min="2054" max="2054" width="17.1796875" style="226" customWidth="1"/>
    <col min="2055" max="2055" width="69.1796875" style="226" customWidth="1"/>
    <col min="2056" max="2056" width="19.81640625" style="226" customWidth="1"/>
    <col min="2057" max="2057" width="18" style="226" customWidth="1"/>
    <col min="2058" max="2058" width="72.08984375" style="226" customWidth="1"/>
    <col min="2059" max="2059" width="21.81640625" style="226" customWidth="1"/>
    <col min="2060" max="2305" width="9.81640625" style="226"/>
    <col min="2306" max="2306" width="5.81640625" style="226" customWidth="1"/>
    <col min="2307" max="2307" width="15.54296875" style="226" customWidth="1"/>
    <col min="2308" max="2308" width="9.54296875" style="226" customWidth="1"/>
    <col min="2309" max="2309" width="30.81640625" style="226" customWidth="1"/>
    <col min="2310" max="2310" width="17.1796875" style="226" customWidth="1"/>
    <col min="2311" max="2311" width="69.1796875" style="226" customWidth="1"/>
    <col min="2312" max="2312" width="19.81640625" style="226" customWidth="1"/>
    <col min="2313" max="2313" width="18" style="226" customWidth="1"/>
    <col min="2314" max="2314" width="72.08984375" style="226" customWidth="1"/>
    <col min="2315" max="2315" width="21.81640625" style="226" customWidth="1"/>
    <col min="2316" max="2561" width="9.81640625" style="226"/>
    <col min="2562" max="2562" width="5.81640625" style="226" customWidth="1"/>
    <col min="2563" max="2563" width="15.54296875" style="226" customWidth="1"/>
    <col min="2564" max="2564" width="9.54296875" style="226" customWidth="1"/>
    <col min="2565" max="2565" width="30.81640625" style="226" customWidth="1"/>
    <col min="2566" max="2566" width="17.1796875" style="226" customWidth="1"/>
    <col min="2567" max="2567" width="69.1796875" style="226" customWidth="1"/>
    <col min="2568" max="2568" width="19.81640625" style="226" customWidth="1"/>
    <col min="2569" max="2569" width="18" style="226" customWidth="1"/>
    <col min="2570" max="2570" width="72.08984375" style="226" customWidth="1"/>
    <col min="2571" max="2571" width="21.81640625" style="226" customWidth="1"/>
    <col min="2572" max="2817" width="9.81640625" style="226"/>
    <col min="2818" max="2818" width="5.81640625" style="226" customWidth="1"/>
    <col min="2819" max="2819" width="15.54296875" style="226" customWidth="1"/>
    <col min="2820" max="2820" width="9.54296875" style="226" customWidth="1"/>
    <col min="2821" max="2821" width="30.81640625" style="226" customWidth="1"/>
    <col min="2822" max="2822" width="17.1796875" style="226" customWidth="1"/>
    <col min="2823" max="2823" width="69.1796875" style="226" customWidth="1"/>
    <col min="2824" max="2824" width="19.81640625" style="226" customWidth="1"/>
    <col min="2825" max="2825" width="18" style="226" customWidth="1"/>
    <col min="2826" max="2826" width="72.08984375" style="226" customWidth="1"/>
    <col min="2827" max="2827" width="21.81640625" style="226" customWidth="1"/>
    <col min="2828" max="3073" width="9.81640625" style="226"/>
    <col min="3074" max="3074" width="5.81640625" style="226" customWidth="1"/>
    <col min="3075" max="3075" width="15.54296875" style="226" customWidth="1"/>
    <col min="3076" max="3076" width="9.54296875" style="226" customWidth="1"/>
    <col min="3077" max="3077" width="30.81640625" style="226" customWidth="1"/>
    <col min="3078" max="3078" width="17.1796875" style="226" customWidth="1"/>
    <col min="3079" max="3079" width="69.1796875" style="226" customWidth="1"/>
    <col min="3080" max="3080" width="19.81640625" style="226" customWidth="1"/>
    <col min="3081" max="3081" width="18" style="226" customWidth="1"/>
    <col min="3082" max="3082" width="72.08984375" style="226" customWidth="1"/>
    <col min="3083" max="3083" width="21.81640625" style="226" customWidth="1"/>
    <col min="3084" max="3329" width="9.81640625" style="226"/>
    <col min="3330" max="3330" width="5.81640625" style="226" customWidth="1"/>
    <col min="3331" max="3331" width="15.54296875" style="226" customWidth="1"/>
    <col min="3332" max="3332" width="9.54296875" style="226" customWidth="1"/>
    <col min="3333" max="3333" width="30.81640625" style="226" customWidth="1"/>
    <col min="3334" max="3334" width="17.1796875" style="226" customWidth="1"/>
    <col min="3335" max="3335" width="69.1796875" style="226" customWidth="1"/>
    <col min="3336" max="3336" width="19.81640625" style="226" customWidth="1"/>
    <col min="3337" max="3337" width="18" style="226" customWidth="1"/>
    <col min="3338" max="3338" width="72.08984375" style="226" customWidth="1"/>
    <col min="3339" max="3339" width="21.81640625" style="226" customWidth="1"/>
    <col min="3340" max="3585" width="9.81640625" style="226"/>
    <col min="3586" max="3586" width="5.81640625" style="226" customWidth="1"/>
    <col min="3587" max="3587" width="15.54296875" style="226" customWidth="1"/>
    <col min="3588" max="3588" width="9.54296875" style="226" customWidth="1"/>
    <col min="3589" max="3589" width="30.81640625" style="226" customWidth="1"/>
    <col min="3590" max="3590" width="17.1796875" style="226" customWidth="1"/>
    <col min="3591" max="3591" width="69.1796875" style="226" customWidth="1"/>
    <col min="3592" max="3592" width="19.81640625" style="226" customWidth="1"/>
    <col min="3593" max="3593" width="18" style="226" customWidth="1"/>
    <col min="3594" max="3594" width="72.08984375" style="226" customWidth="1"/>
    <col min="3595" max="3595" width="21.81640625" style="226" customWidth="1"/>
    <col min="3596" max="3841" width="9.81640625" style="226"/>
    <col min="3842" max="3842" width="5.81640625" style="226" customWidth="1"/>
    <col min="3843" max="3843" width="15.54296875" style="226" customWidth="1"/>
    <col min="3844" max="3844" width="9.54296875" style="226" customWidth="1"/>
    <col min="3845" max="3845" width="30.81640625" style="226" customWidth="1"/>
    <col min="3846" max="3846" width="17.1796875" style="226" customWidth="1"/>
    <col min="3847" max="3847" width="69.1796875" style="226" customWidth="1"/>
    <col min="3848" max="3848" width="19.81640625" style="226" customWidth="1"/>
    <col min="3849" max="3849" width="18" style="226" customWidth="1"/>
    <col min="3850" max="3850" width="72.08984375" style="226" customWidth="1"/>
    <col min="3851" max="3851" width="21.81640625" style="226" customWidth="1"/>
    <col min="3852" max="4097" width="9.81640625" style="226"/>
    <col min="4098" max="4098" width="5.81640625" style="226" customWidth="1"/>
    <col min="4099" max="4099" width="15.54296875" style="226" customWidth="1"/>
    <col min="4100" max="4100" width="9.54296875" style="226" customWidth="1"/>
    <col min="4101" max="4101" width="30.81640625" style="226" customWidth="1"/>
    <col min="4102" max="4102" width="17.1796875" style="226" customWidth="1"/>
    <col min="4103" max="4103" width="69.1796875" style="226" customWidth="1"/>
    <col min="4104" max="4104" width="19.81640625" style="226" customWidth="1"/>
    <col min="4105" max="4105" width="18" style="226" customWidth="1"/>
    <col min="4106" max="4106" width="72.08984375" style="226" customWidth="1"/>
    <col min="4107" max="4107" width="21.81640625" style="226" customWidth="1"/>
    <col min="4108" max="4353" width="9.81640625" style="226"/>
    <col min="4354" max="4354" width="5.81640625" style="226" customWidth="1"/>
    <col min="4355" max="4355" width="15.54296875" style="226" customWidth="1"/>
    <col min="4356" max="4356" width="9.54296875" style="226" customWidth="1"/>
    <col min="4357" max="4357" width="30.81640625" style="226" customWidth="1"/>
    <col min="4358" max="4358" width="17.1796875" style="226" customWidth="1"/>
    <col min="4359" max="4359" width="69.1796875" style="226" customWidth="1"/>
    <col min="4360" max="4360" width="19.81640625" style="226" customWidth="1"/>
    <col min="4361" max="4361" width="18" style="226" customWidth="1"/>
    <col min="4362" max="4362" width="72.08984375" style="226" customWidth="1"/>
    <col min="4363" max="4363" width="21.81640625" style="226" customWidth="1"/>
    <col min="4364" max="4609" width="9.81640625" style="226"/>
    <col min="4610" max="4610" width="5.81640625" style="226" customWidth="1"/>
    <col min="4611" max="4611" width="15.54296875" style="226" customWidth="1"/>
    <col min="4612" max="4612" width="9.54296875" style="226" customWidth="1"/>
    <col min="4613" max="4613" width="30.81640625" style="226" customWidth="1"/>
    <col min="4614" max="4614" width="17.1796875" style="226" customWidth="1"/>
    <col min="4615" max="4615" width="69.1796875" style="226" customWidth="1"/>
    <col min="4616" max="4616" width="19.81640625" style="226" customWidth="1"/>
    <col min="4617" max="4617" width="18" style="226" customWidth="1"/>
    <col min="4618" max="4618" width="72.08984375" style="226" customWidth="1"/>
    <col min="4619" max="4619" width="21.81640625" style="226" customWidth="1"/>
    <col min="4620" max="4865" width="9.81640625" style="226"/>
    <col min="4866" max="4866" width="5.81640625" style="226" customWidth="1"/>
    <col min="4867" max="4867" width="15.54296875" style="226" customWidth="1"/>
    <col min="4868" max="4868" width="9.54296875" style="226" customWidth="1"/>
    <col min="4869" max="4869" width="30.81640625" style="226" customWidth="1"/>
    <col min="4870" max="4870" width="17.1796875" style="226" customWidth="1"/>
    <col min="4871" max="4871" width="69.1796875" style="226" customWidth="1"/>
    <col min="4872" max="4872" width="19.81640625" style="226" customWidth="1"/>
    <col min="4873" max="4873" width="18" style="226" customWidth="1"/>
    <col min="4874" max="4874" width="72.08984375" style="226" customWidth="1"/>
    <col min="4875" max="4875" width="21.81640625" style="226" customWidth="1"/>
    <col min="4876" max="5121" width="9.81640625" style="226"/>
    <col min="5122" max="5122" width="5.81640625" style="226" customWidth="1"/>
    <col min="5123" max="5123" width="15.54296875" style="226" customWidth="1"/>
    <col min="5124" max="5124" width="9.54296875" style="226" customWidth="1"/>
    <col min="5125" max="5125" width="30.81640625" style="226" customWidth="1"/>
    <col min="5126" max="5126" width="17.1796875" style="226" customWidth="1"/>
    <col min="5127" max="5127" width="69.1796875" style="226" customWidth="1"/>
    <col min="5128" max="5128" width="19.81640625" style="226" customWidth="1"/>
    <col min="5129" max="5129" width="18" style="226" customWidth="1"/>
    <col min="5130" max="5130" width="72.08984375" style="226" customWidth="1"/>
    <col min="5131" max="5131" width="21.81640625" style="226" customWidth="1"/>
    <col min="5132" max="5377" width="9.81640625" style="226"/>
    <col min="5378" max="5378" width="5.81640625" style="226" customWidth="1"/>
    <col min="5379" max="5379" width="15.54296875" style="226" customWidth="1"/>
    <col min="5380" max="5380" width="9.54296875" style="226" customWidth="1"/>
    <col min="5381" max="5381" width="30.81640625" style="226" customWidth="1"/>
    <col min="5382" max="5382" width="17.1796875" style="226" customWidth="1"/>
    <col min="5383" max="5383" width="69.1796875" style="226" customWidth="1"/>
    <col min="5384" max="5384" width="19.81640625" style="226" customWidth="1"/>
    <col min="5385" max="5385" width="18" style="226" customWidth="1"/>
    <col min="5386" max="5386" width="72.08984375" style="226" customWidth="1"/>
    <col min="5387" max="5387" width="21.81640625" style="226" customWidth="1"/>
    <col min="5388" max="5633" width="9.81640625" style="226"/>
    <col min="5634" max="5634" width="5.81640625" style="226" customWidth="1"/>
    <col min="5635" max="5635" width="15.54296875" style="226" customWidth="1"/>
    <col min="5636" max="5636" width="9.54296875" style="226" customWidth="1"/>
    <col min="5637" max="5637" width="30.81640625" style="226" customWidth="1"/>
    <col min="5638" max="5638" width="17.1796875" style="226" customWidth="1"/>
    <col min="5639" max="5639" width="69.1796875" style="226" customWidth="1"/>
    <col min="5640" max="5640" width="19.81640625" style="226" customWidth="1"/>
    <col min="5641" max="5641" width="18" style="226" customWidth="1"/>
    <col min="5642" max="5642" width="72.08984375" style="226" customWidth="1"/>
    <col min="5643" max="5643" width="21.81640625" style="226" customWidth="1"/>
    <col min="5644" max="5889" width="9.81640625" style="226"/>
    <col min="5890" max="5890" width="5.81640625" style="226" customWidth="1"/>
    <col min="5891" max="5891" width="15.54296875" style="226" customWidth="1"/>
    <col min="5892" max="5892" width="9.54296875" style="226" customWidth="1"/>
    <col min="5893" max="5893" width="30.81640625" style="226" customWidth="1"/>
    <col min="5894" max="5894" width="17.1796875" style="226" customWidth="1"/>
    <col min="5895" max="5895" width="69.1796875" style="226" customWidth="1"/>
    <col min="5896" max="5896" width="19.81640625" style="226" customWidth="1"/>
    <col min="5897" max="5897" width="18" style="226" customWidth="1"/>
    <col min="5898" max="5898" width="72.08984375" style="226" customWidth="1"/>
    <col min="5899" max="5899" width="21.81640625" style="226" customWidth="1"/>
    <col min="5900" max="6145" width="9.81640625" style="226"/>
    <col min="6146" max="6146" width="5.81640625" style="226" customWidth="1"/>
    <col min="6147" max="6147" width="15.54296875" style="226" customWidth="1"/>
    <col min="6148" max="6148" width="9.54296875" style="226" customWidth="1"/>
    <col min="6149" max="6149" width="30.81640625" style="226" customWidth="1"/>
    <col min="6150" max="6150" width="17.1796875" style="226" customWidth="1"/>
    <col min="6151" max="6151" width="69.1796875" style="226" customWidth="1"/>
    <col min="6152" max="6152" width="19.81640625" style="226" customWidth="1"/>
    <col min="6153" max="6153" width="18" style="226" customWidth="1"/>
    <col min="6154" max="6154" width="72.08984375" style="226" customWidth="1"/>
    <col min="6155" max="6155" width="21.81640625" style="226" customWidth="1"/>
    <col min="6156" max="6401" width="9.81640625" style="226"/>
    <col min="6402" max="6402" width="5.81640625" style="226" customWidth="1"/>
    <col min="6403" max="6403" width="15.54296875" style="226" customWidth="1"/>
    <col min="6404" max="6404" width="9.54296875" style="226" customWidth="1"/>
    <col min="6405" max="6405" width="30.81640625" style="226" customWidth="1"/>
    <col min="6406" max="6406" width="17.1796875" style="226" customWidth="1"/>
    <col min="6407" max="6407" width="69.1796875" style="226" customWidth="1"/>
    <col min="6408" max="6408" width="19.81640625" style="226" customWidth="1"/>
    <col min="6409" max="6409" width="18" style="226" customWidth="1"/>
    <col min="6410" max="6410" width="72.08984375" style="226" customWidth="1"/>
    <col min="6411" max="6411" width="21.81640625" style="226" customWidth="1"/>
    <col min="6412" max="6657" width="9.81640625" style="226"/>
    <col min="6658" max="6658" width="5.81640625" style="226" customWidth="1"/>
    <col min="6659" max="6659" width="15.54296875" style="226" customWidth="1"/>
    <col min="6660" max="6660" width="9.54296875" style="226" customWidth="1"/>
    <col min="6661" max="6661" width="30.81640625" style="226" customWidth="1"/>
    <col min="6662" max="6662" width="17.1796875" style="226" customWidth="1"/>
    <col min="6663" max="6663" width="69.1796875" style="226" customWidth="1"/>
    <col min="6664" max="6664" width="19.81640625" style="226" customWidth="1"/>
    <col min="6665" max="6665" width="18" style="226" customWidth="1"/>
    <col min="6666" max="6666" width="72.08984375" style="226" customWidth="1"/>
    <col min="6667" max="6667" width="21.81640625" style="226" customWidth="1"/>
    <col min="6668" max="6913" width="9.81640625" style="226"/>
    <col min="6914" max="6914" width="5.81640625" style="226" customWidth="1"/>
    <col min="6915" max="6915" width="15.54296875" style="226" customWidth="1"/>
    <col min="6916" max="6916" width="9.54296875" style="226" customWidth="1"/>
    <col min="6917" max="6917" width="30.81640625" style="226" customWidth="1"/>
    <col min="6918" max="6918" width="17.1796875" style="226" customWidth="1"/>
    <col min="6919" max="6919" width="69.1796875" style="226" customWidth="1"/>
    <col min="6920" max="6920" width="19.81640625" style="226" customWidth="1"/>
    <col min="6921" max="6921" width="18" style="226" customWidth="1"/>
    <col min="6922" max="6922" width="72.08984375" style="226" customWidth="1"/>
    <col min="6923" max="6923" width="21.81640625" style="226" customWidth="1"/>
    <col min="6924" max="7169" width="9.81640625" style="226"/>
    <col min="7170" max="7170" width="5.81640625" style="226" customWidth="1"/>
    <col min="7171" max="7171" width="15.54296875" style="226" customWidth="1"/>
    <col min="7172" max="7172" width="9.54296875" style="226" customWidth="1"/>
    <col min="7173" max="7173" width="30.81640625" style="226" customWidth="1"/>
    <col min="7174" max="7174" width="17.1796875" style="226" customWidth="1"/>
    <col min="7175" max="7175" width="69.1796875" style="226" customWidth="1"/>
    <col min="7176" max="7176" width="19.81640625" style="226" customWidth="1"/>
    <col min="7177" max="7177" width="18" style="226" customWidth="1"/>
    <col min="7178" max="7178" width="72.08984375" style="226" customWidth="1"/>
    <col min="7179" max="7179" width="21.81640625" style="226" customWidth="1"/>
    <col min="7180" max="7425" width="9.81640625" style="226"/>
    <col min="7426" max="7426" width="5.81640625" style="226" customWidth="1"/>
    <col min="7427" max="7427" width="15.54296875" style="226" customWidth="1"/>
    <col min="7428" max="7428" width="9.54296875" style="226" customWidth="1"/>
    <col min="7429" max="7429" width="30.81640625" style="226" customWidth="1"/>
    <col min="7430" max="7430" width="17.1796875" style="226" customWidth="1"/>
    <col min="7431" max="7431" width="69.1796875" style="226" customWidth="1"/>
    <col min="7432" max="7432" width="19.81640625" style="226" customWidth="1"/>
    <col min="7433" max="7433" width="18" style="226" customWidth="1"/>
    <col min="7434" max="7434" width="72.08984375" style="226" customWidth="1"/>
    <col min="7435" max="7435" width="21.81640625" style="226" customWidth="1"/>
    <col min="7436" max="7681" width="9.81640625" style="226"/>
    <col min="7682" max="7682" width="5.81640625" style="226" customWidth="1"/>
    <col min="7683" max="7683" width="15.54296875" style="226" customWidth="1"/>
    <col min="7684" max="7684" width="9.54296875" style="226" customWidth="1"/>
    <col min="7685" max="7685" width="30.81640625" style="226" customWidth="1"/>
    <col min="7686" max="7686" width="17.1796875" style="226" customWidth="1"/>
    <col min="7687" max="7687" width="69.1796875" style="226" customWidth="1"/>
    <col min="7688" max="7688" width="19.81640625" style="226" customWidth="1"/>
    <col min="7689" max="7689" width="18" style="226" customWidth="1"/>
    <col min="7690" max="7690" width="72.08984375" style="226" customWidth="1"/>
    <col min="7691" max="7691" width="21.81640625" style="226" customWidth="1"/>
    <col min="7692" max="7937" width="9.81640625" style="226"/>
    <col min="7938" max="7938" width="5.81640625" style="226" customWidth="1"/>
    <col min="7939" max="7939" width="15.54296875" style="226" customWidth="1"/>
    <col min="7940" max="7940" width="9.54296875" style="226" customWidth="1"/>
    <col min="7941" max="7941" width="30.81640625" style="226" customWidth="1"/>
    <col min="7942" max="7942" width="17.1796875" style="226" customWidth="1"/>
    <col min="7943" max="7943" width="69.1796875" style="226" customWidth="1"/>
    <col min="7944" max="7944" width="19.81640625" style="226" customWidth="1"/>
    <col min="7945" max="7945" width="18" style="226" customWidth="1"/>
    <col min="7946" max="7946" width="72.08984375" style="226" customWidth="1"/>
    <col min="7947" max="7947" width="21.81640625" style="226" customWidth="1"/>
    <col min="7948" max="8193" width="9.81640625" style="226"/>
    <col min="8194" max="8194" width="5.81640625" style="226" customWidth="1"/>
    <col min="8195" max="8195" width="15.54296875" style="226" customWidth="1"/>
    <col min="8196" max="8196" width="9.54296875" style="226" customWidth="1"/>
    <col min="8197" max="8197" width="30.81640625" style="226" customWidth="1"/>
    <col min="8198" max="8198" width="17.1796875" style="226" customWidth="1"/>
    <col min="8199" max="8199" width="69.1796875" style="226" customWidth="1"/>
    <col min="8200" max="8200" width="19.81640625" style="226" customWidth="1"/>
    <col min="8201" max="8201" width="18" style="226" customWidth="1"/>
    <col min="8202" max="8202" width="72.08984375" style="226" customWidth="1"/>
    <col min="8203" max="8203" width="21.81640625" style="226" customWidth="1"/>
    <col min="8204" max="8449" width="9.81640625" style="226"/>
    <col min="8450" max="8450" width="5.81640625" style="226" customWidth="1"/>
    <col min="8451" max="8451" width="15.54296875" style="226" customWidth="1"/>
    <col min="8452" max="8452" width="9.54296875" style="226" customWidth="1"/>
    <col min="8453" max="8453" width="30.81640625" style="226" customWidth="1"/>
    <col min="8454" max="8454" width="17.1796875" style="226" customWidth="1"/>
    <col min="8455" max="8455" width="69.1796875" style="226" customWidth="1"/>
    <col min="8456" max="8456" width="19.81640625" style="226" customWidth="1"/>
    <col min="8457" max="8457" width="18" style="226" customWidth="1"/>
    <col min="8458" max="8458" width="72.08984375" style="226" customWidth="1"/>
    <col min="8459" max="8459" width="21.81640625" style="226" customWidth="1"/>
    <col min="8460" max="8705" width="9.81640625" style="226"/>
    <col min="8706" max="8706" width="5.81640625" style="226" customWidth="1"/>
    <col min="8707" max="8707" width="15.54296875" style="226" customWidth="1"/>
    <col min="8708" max="8708" width="9.54296875" style="226" customWidth="1"/>
    <col min="8709" max="8709" width="30.81640625" style="226" customWidth="1"/>
    <col min="8710" max="8710" width="17.1796875" style="226" customWidth="1"/>
    <col min="8711" max="8711" width="69.1796875" style="226" customWidth="1"/>
    <col min="8712" max="8712" width="19.81640625" style="226" customWidth="1"/>
    <col min="8713" max="8713" width="18" style="226" customWidth="1"/>
    <col min="8714" max="8714" width="72.08984375" style="226" customWidth="1"/>
    <col min="8715" max="8715" width="21.81640625" style="226" customWidth="1"/>
    <col min="8716" max="8961" width="9.81640625" style="226"/>
    <col min="8962" max="8962" width="5.81640625" style="226" customWidth="1"/>
    <col min="8963" max="8963" width="15.54296875" style="226" customWidth="1"/>
    <col min="8964" max="8964" width="9.54296875" style="226" customWidth="1"/>
    <col min="8965" max="8965" width="30.81640625" style="226" customWidth="1"/>
    <col min="8966" max="8966" width="17.1796875" style="226" customWidth="1"/>
    <col min="8967" max="8967" width="69.1796875" style="226" customWidth="1"/>
    <col min="8968" max="8968" width="19.81640625" style="226" customWidth="1"/>
    <col min="8969" max="8969" width="18" style="226" customWidth="1"/>
    <col min="8970" max="8970" width="72.08984375" style="226" customWidth="1"/>
    <col min="8971" max="8971" width="21.81640625" style="226" customWidth="1"/>
    <col min="8972" max="9217" width="9.81640625" style="226"/>
    <col min="9218" max="9218" width="5.81640625" style="226" customWidth="1"/>
    <col min="9219" max="9219" width="15.54296875" style="226" customWidth="1"/>
    <col min="9220" max="9220" width="9.54296875" style="226" customWidth="1"/>
    <col min="9221" max="9221" width="30.81640625" style="226" customWidth="1"/>
    <col min="9222" max="9222" width="17.1796875" style="226" customWidth="1"/>
    <col min="9223" max="9223" width="69.1796875" style="226" customWidth="1"/>
    <col min="9224" max="9224" width="19.81640625" style="226" customWidth="1"/>
    <col min="9225" max="9225" width="18" style="226" customWidth="1"/>
    <col min="9226" max="9226" width="72.08984375" style="226" customWidth="1"/>
    <col min="9227" max="9227" width="21.81640625" style="226" customWidth="1"/>
    <col min="9228" max="9473" width="9.81640625" style="226"/>
    <col min="9474" max="9474" width="5.81640625" style="226" customWidth="1"/>
    <col min="9475" max="9475" width="15.54296875" style="226" customWidth="1"/>
    <col min="9476" max="9476" width="9.54296875" style="226" customWidth="1"/>
    <col min="9477" max="9477" width="30.81640625" style="226" customWidth="1"/>
    <col min="9478" max="9478" width="17.1796875" style="226" customWidth="1"/>
    <col min="9479" max="9479" width="69.1796875" style="226" customWidth="1"/>
    <col min="9480" max="9480" width="19.81640625" style="226" customWidth="1"/>
    <col min="9481" max="9481" width="18" style="226" customWidth="1"/>
    <col min="9482" max="9482" width="72.08984375" style="226" customWidth="1"/>
    <col min="9483" max="9483" width="21.81640625" style="226" customWidth="1"/>
    <col min="9484" max="9729" width="9.81640625" style="226"/>
    <col min="9730" max="9730" width="5.81640625" style="226" customWidth="1"/>
    <col min="9731" max="9731" width="15.54296875" style="226" customWidth="1"/>
    <col min="9732" max="9732" width="9.54296875" style="226" customWidth="1"/>
    <col min="9733" max="9733" width="30.81640625" style="226" customWidth="1"/>
    <col min="9734" max="9734" width="17.1796875" style="226" customWidth="1"/>
    <col min="9735" max="9735" width="69.1796875" style="226" customWidth="1"/>
    <col min="9736" max="9736" width="19.81640625" style="226" customWidth="1"/>
    <col min="9737" max="9737" width="18" style="226" customWidth="1"/>
    <col min="9738" max="9738" width="72.08984375" style="226" customWidth="1"/>
    <col min="9739" max="9739" width="21.81640625" style="226" customWidth="1"/>
    <col min="9740" max="9985" width="9.81640625" style="226"/>
    <col min="9986" max="9986" width="5.81640625" style="226" customWidth="1"/>
    <col min="9987" max="9987" width="15.54296875" style="226" customWidth="1"/>
    <col min="9988" max="9988" width="9.54296875" style="226" customWidth="1"/>
    <col min="9989" max="9989" width="30.81640625" style="226" customWidth="1"/>
    <col min="9990" max="9990" width="17.1796875" style="226" customWidth="1"/>
    <col min="9991" max="9991" width="69.1796875" style="226" customWidth="1"/>
    <col min="9992" max="9992" width="19.81640625" style="226" customWidth="1"/>
    <col min="9993" max="9993" width="18" style="226" customWidth="1"/>
    <col min="9994" max="9994" width="72.08984375" style="226" customWidth="1"/>
    <col min="9995" max="9995" width="21.81640625" style="226" customWidth="1"/>
    <col min="9996" max="10241" width="9.81640625" style="226"/>
    <col min="10242" max="10242" width="5.81640625" style="226" customWidth="1"/>
    <col min="10243" max="10243" width="15.54296875" style="226" customWidth="1"/>
    <col min="10244" max="10244" width="9.54296875" style="226" customWidth="1"/>
    <col min="10245" max="10245" width="30.81640625" style="226" customWidth="1"/>
    <col min="10246" max="10246" width="17.1796875" style="226" customWidth="1"/>
    <col min="10247" max="10247" width="69.1796875" style="226" customWidth="1"/>
    <col min="10248" max="10248" width="19.81640625" style="226" customWidth="1"/>
    <col min="10249" max="10249" width="18" style="226" customWidth="1"/>
    <col min="10250" max="10250" width="72.08984375" style="226" customWidth="1"/>
    <col min="10251" max="10251" width="21.81640625" style="226" customWidth="1"/>
    <col min="10252" max="10497" width="9.81640625" style="226"/>
    <col min="10498" max="10498" width="5.81640625" style="226" customWidth="1"/>
    <col min="10499" max="10499" width="15.54296875" style="226" customWidth="1"/>
    <col min="10500" max="10500" width="9.54296875" style="226" customWidth="1"/>
    <col min="10501" max="10501" width="30.81640625" style="226" customWidth="1"/>
    <col min="10502" max="10502" width="17.1796875" style="226" customWidth="1"/>
    <col min="10503" max="10503" width="69.1796875" style="226" customWidth="1"/>
    <col min="10504" max="10504" width="19.81640625" style="226" customWidth="1"/>
    <col min="10505" max="10505" width="18" style="226" customWidth="1"/>
    <col min="10506" max="10506" width="72.08984375" style="226" customWidth="1"/>
    <col min="10507" max="10507" width="21.81640625" style="226" customWidth="1"/>
    <col min="10508" max="10753" width="9.81640625" style="226"/>
    <col min="10754" max="10754" width="5.81640625" style="226" customWidth="1"/>
    <col min="10755" max="10755" width="15.54296875" style="226" customWidth="1"/>
    <col min="10756" max="10756" width="9.54296875" style="226" customWidth="1"/>
    <col min="10757" max="10757" width="30.81640625" style="226" customWidth="1"/>
    <col min="10758" max="10758" width="17.1796875" style="226" customWidth="1"/>
    <col min="10759" max="10759" width="69.1796875" style="226" customWidth="1"/>
    <col min="10760" max="10760" width="19.81640625" style="226" customWidth="1"/>
    <col min="10761" max="10761" width="18" style="226" customWidth="1"/>
    <col min="10762" max="10762" width="72.08984375" style="226" customWidth="1"/>
    <col min="10763" max="10763" width="21.81640625" style="226" customWidth="1"/>
    <col min="10764" max="11009" width="9.81640625" style="226"/>
    <col min="11010" max="11010" width="5.81640625" style="226" customWidth="1"/>
    <col min="11011" max="11011" width="15.54296875" style="226" customWidth="1"/>
    <col min="11012" max="11012" width="9.54296875" style="226" customWidth="1"/>
    <col min="11013" max="11013" width="30.81640625" style="226" customWidth="1"/>
    <col min="11014" max="11014" width="17.1796875" style="226" customWidth="1"/>
    <col min="11015" max="11015" width="69.1796875" style="226" customWidth="1"/>
    <col min="11016" max="11016" width="19.81640625" style="226" customWidth="1"/>
    <col min="11017" max="11017" width="18" style="226" customWidth="1"/>
    <col min="11018" max="11018" width="72.08984375" style="226" customWidth="1"/>
    <col min="11019" max="11019" width="21.81640625" style="226" customWidth="1"/>
    <col min="11020" max="11265" width="9.81640625" style="226"/>
    <col min="11266" max="11266" width="5.81640625" style="226" customWidth="1"/>
    <col min="11267" max="11267" width="15.54296875" style="226" customWidth="1"/>
    <col min="11268" max="11268" width="9.54296875" style="226" customWidth="1"/>
    <col min="11269" max="11269" width="30.81640625" style="226" customWidth="1"/>
    <col min="11270" max="11270" width="17.1796875" style="226" customWidth="1"/>
    <col min="11271" max="11271" width="69.1796875" style="226" customWidth="1"/>
    <col min="11272" max="11272" width="19.81640625" style="226" customWidth="1"/>
    <col min="11273" max="11273" width="18" style="226" customWidth="1"/>
    <col min="11274" max="11274" width="72.08984375" style="226" customWidth="1"/>
    <col min="11275" max="11275" width="21.81640625" style="226" customWidth="1"/>
    <col min="11276" max="11521" width="9.81640625" style="226"/>
    <col min="11522" max="11522" width="5.81640625" style="226" customWidth="1"/>
    <col min="11523" max="11523" width="15.54296875" style="226" customWidth="1"/>
    <col min="11524" max="11524" width="9.54296875" style="226" customWidth="1"/>
    <col min="11525" max="11525" width="30.81640625" style="226" customWidth="1"/>
    <col min="11526" max="11526" width="17.1796875" style="226" customWidth="1"/>
    <col min="11527" max="11527" width="69.1796875" style="226" customWidth="1"/>
    <col min="11528" max="11528" width="19.81640625" style="226" customWidth="1"/>
    <col min="11529" max="11529" width="18" style="226" customWidth="1"/>
    <col min="11530" max="11530" width="72.08984375" style="226" customWidth="1"/>
    <col min="11531" max="11531" width="21.81640625" style="226" customWidth="1"/>
    <col min="11532" max="11777" width="9.81640625" style="226"/>
    <col min="11778" max="11778" width="5.81640625" style="226" customWidth="1"/>
    <col min="11779" max="11779" width="15.54296875" style="226" customWidth="1"/>
    <col min="11780" max="11780" width="9.54296875" style="226" customWidth="1"/>
    <col min="11781" max="11781" width="30.81640625" style="226" customWidth="1"/>
    <col min="11782" max="11782" width="17.1796875" style="226" customWidth="1"/>
    <col min="11783" max="11783" width="69.1796875" style="226" customWidth="1"/>
    <col min="11784" max="11784" width="19.81640625" style="226" customWidth="1"/>
    <col min="11785" max="11785" width="18" style="226" customWidth="1"/>
    <col min="11786" max="11786" width="72.08984375" style="226" customWidth="1"/>
    <col min="11787" max="11787" width="21.81640625" style="226" customWidth="1"/>
    <col min="11788" max="12033" width="9.81640625" style="226"/>
    <col min="12034" max="12034" width="5.81640625" style="226" customWidth="1"/>
    <col min="12035" max="12035" width="15.54296875" style="226" customWidth="1"/>
    <col min="12036" max="12036" width="9.54296875" style="226" customWidth="1"/>
    <col min="12037" max="12037" width="30.81640625" style="226" customWidth="1"/>
    <col min="12038" max="12038" width="17.1796875" style="226" customWidth="1"/>
    <col min="12039" max="12039" width="69.1796875" style="226" customWidth="1"/>
    <col min="12040" max="12040" width="19.81640625" style="226" customWidth="1"/>
    <col min="12041" max="12041" width="18" style="226" customWidth="1"/>
    <col min="12042" max="12042" width="72.08984375" style="226" customWidth="1"/>
    <col min="12043" max="12043" width="21.81640625" style="226" customWidth="1"/>
    <col min="12044" max="12289" width="9.81640625" style="226"/>
    <col min="12290" max="12290" width="5.81640625" style="226" customWidth="1"/>
    <col min="12291" max="12291" width="15.54296875" style="226" customWidth="1"/>
    <col min="12292" max="12292" width="9.54296875" style="226" customWidth="1"/>
    <col min="12293" max="12293" width="30.81640625" style="226" customWidth="1"/>
    <col min="12294" max="12294" width="17.1796875" style="226" customWidth="1"/>
    <col min="12295" max="12295" width="69.1796875" style="226" customWidth="1"/>
    <col min="12296" max="12296" width="19.81640625" style="226" customWidth="1"/>
    <col min="12297" max="12297" width="18" style="226" customWidth="1"/>
    <col min="12298" max="12298" width="72.08984375" style="226" customWidth="1"/>
    <col min="12299" max="12299" width="21.81640625" style="226" customWidth="1"/>
    <col min="12300" max="12545" width="9.81640625" style="226"/>
    <col min="12546" max="12546" width="5.81640625" style="226" customWidth="1"/>
    <col min="12547" max="12547" width="15.54296875" style="226" customWidth="1"/>
    <col min="12548" max="12548" width="9.54296875" style="226" customWidth="1"/>
    <col min="12549" max="12549" width="30.81640625" style="226" customWidth="1"/>
    <col min="12550" max="12550" width="17.1796875" style="226" customWidth="1"/>
    <col min="12551" max="12551" width="69.1796875" style="226" customWidth="1"/>
    <col min="12552" max="12552" width="19.81640625" style="226" customWidth="1"/>
    <col min="12553" max="12553" width="18" style="226" customWidth="1"/>
    <col min="12554" max="12554" width="72.08984375" style="226" customWidth="1"/>
    <col min="12555" max="12555" width="21.81640625" style="226" customWidth="1"/>
    <col min="12556" max="12801" width="9.81640625" style="226"/>
    <col min="12802" max="12802" width="5.81640625" style="226" customWidth="1"/>
    <col min="12803" max="12803" width="15.54296875" style="226" customWidth="1"/>
    <col min="12804" max="12804" width="9.54296875" style="226" customWidth="1"/>
    <col min="12805" max="12805" width="30.81640625" style="226" customWidth="1"/>
    <col min="12806" max="12806" width="17.1796875" style="226" customWidth="1"/>
    <col min="12807" max="12807" width="69.1796875" style="226" customWidth="1"/>
    <col min="12808" max="12808" width="19.81640625" style="226" customWidth="1"/>
    <col min="12809" max="12809" width="18" style="226" customWidth="1"/>
    <col min="12810" max="12810" width="72.08984375" style="226" customWidth="1"/>
    <col min="12811" max="12811" width="21.81640625" style="226" customWidth="1"/>
    <col min="12812" max="13057" width="9.81640625" style="226"/>
    <col min="13058" max="13058" width="5.81640625" style="226" customWidth="1"/>
    <col min="13059" max="13059" width="15.54296875" style="226" customWidth="1"/>
    <col min="13060" max="13060" width="9.54296875" style="226" customWidth="1"/>
    <col min="13061" max="13061" width="30.81640625" style="226" customWidth="1"/>
    <col min="13062" max="13062" width="17.1796875" style="226" customWidth="1"/>
    <col min="13063" max="13063" width="69.1796875" style="226" customWidth="1"/>
    <col min="13064" max="13064" width="19.81640625" style="226" customWidth="1"/>
    <col min="13065" max="13065" width="18" style="226" customWidth="1"/>
    <col min="13066" max="13066" width="72.08984375" style="226" customWidth="1"/>
    <col min="13067" max="13067" width="21.81640625" style="226" customWidth="1"/>
    <col min="13068" max="13313" width="9.81640625" style="226"/>
    <col min="13314" max="13314" width="5.81640625" style="226" customWidth="1"/>
    <col min="13315" max="13315" width="15.54296875" style="226" customWidth="1"/>
    <col min="13316" max="13316" width="9.54296875" style="226" customWidth="1"/>
    <col min="13317" max="13317" width="30.81640625" style="226" customWidth="1"/>
    <col min="13318" max="13318" width="17.1796875" style="226" customWidth="1"/>
    <col min="13319" max="13319" width="69.1796875" style="226" customWidth="1"/>
    <col min="13320" max="13320" width="19.81640625" style="226" customWidth="1"/>
    <col min="13321" max="13321" width="18" style="226" customWidth="1"/>
    <col min="13322" max="13322" width="72.08984375" style="226" customWidth="1"/>
    <col min="13323" max="13323" width="21.81640625" style="226" customWidth="1"/>
    <col min="13324" max="13569" width="9.81640625" style="226"/>
    <col min="13570" max="13570" width="5.81640625" style="226" customWidth="1"/>
    <col min="13571" max="13571" width="15.54296875" style="226" customWidth="1"/>
    <col min="13572" max="13572" width="9.54296875" style="226" customWidth="1"/>
    <col min="13573" max="13573" width="30.81640625" style="226" customWidth="1"/>
    <col min="13574" max="13574" width="17.1796875" style="226" customWidth="1"/>
    <col min="13575" max="13575" width="69.1796875" style="226" customWidth="1"/>
    <col min="13576" max="13576" width="19.81640625" style="226" customWidth="1"/>
    <col min="13577" max="13577" width="18" style="226" customWidth="1"/>
    <col min="13578" max="13578" width="72.08984375" style="226" customWidth="1"/>
    <col min="13579" max="13579" width="21.81640625" style="226" customWidth="1"/>
    <col min="13580" max="13825" width="9.81640625" style="226"/>
    <col min="13826" max="13826" width="5.81640625" style="226" customWidth="1"/>
    <col min="13827" max="13827" width="15.54296875" style="226" customWidth="1"/>
    <col min="13828" max="13828" width="9.54296875" style="226" customWidth="1"/>
    <col min="13829" max="13829" width="30.81640625" style="226" customWidth="1"/>
    <col min="13830" max="13830" width="17.1796875" style="226" customWidth="1"/>
    <col min="13831" max="13831" width="69.1796875" style="226" customWidth="1"/>
    <col min="13832" max="13832" width="19.81640625" style="226" customWidth="1"/>
    <col min="13833" max="13833" width="18" style="226" customWidth="1"/>
    <col min="13834" max="13834" width="72.08984375" style="226" customWidth="1"/>
    <col min="13835" max="13835" width="21.81640625" style="226" customWidth="1"/>
    <col min="13836" max="14081" width="9.81640625" style="226"/>
    <col min="14082" max="14082" width="5.81640625" style="226" customWidth="1"/>
    <col min="14083" max="14083" width="15.54296875" style="226" customWidth="1"/>
    <col min="14084" max="14084" width="9.54296875" style="226" customWidth="1"/>
    <col min="14085" max="14085" width="30.81640625" style="226" customWidth="1"/>
    <col min="14086" max="14086" width="17.1796875" style="226" customWidth="1"/>
    <col min="14087" max="14087" width="69.1796875" style="226" customWidth="1"/>
    <col min="14088" max="14088" width="19.81640625" style="226" customWidth="1"/>
    <col min="14089" max="14089" width="18" style="226" customWidth="1"/>
    <col min="14090" max="14090" width="72.08984375" style="226" customWidth="1"/>
    <col min="14091" max="14091" width="21.81640625" style="226" customWidth="1"/>
    <col min="14092" max="14337" width="9.81640625" style="226"/>
    <col min="14338" max="14338" width="5.81640625" style="226" customWidth="1"/>
    <col min="14339" max="14339" width="15.54296875" style="226" customWidth="1"/>
    <col min="14340" max="14340" width="9.54296875" style="226" customWidth="1"/>
    <col min="14341" max="14341" width="30.81640625" style="226" customWidth="1"/>
    <col min="14342" max="14342" width="17.1796875" style="226" customWidth="1"/>
    <col min="14343" max="14343" width="69.1796875" style="226" customWidth="1"/>
    <col min="14344" max="14344" width="19.81640625" style="226" customWidth="1"/>
    <col min="14345" max="14345" width="18" style="226" customWidth="1"/>
    <col min="14346" max="14346" width="72.08984375" style="226" customWidth="1"/>
    <col min="14347" max="14347" width="21.81640625" style="226" customWidth="1"/>
    <col min="14348" max="14593" width="9.81640625" style="226"/>
    <col min="14594" max="14594" width="5.81640625" style="226" customWidth="1"/>
    <col min="14595" max="14595" width="15.54296875" style="226" customWidth="1"/>
    <col min="14596" max="14596" width="9.54296875" style="226" customWidth="1"/>
    <col min="14597" max="14597" width="30.81640625" style="226" customWidth="1"/>
    <col min="14598" max="14598" width="17.1796875" style="226" customWidth="1"/>
    <col min="14599" max="14599" width="69.1796875" style="226" customWidth="1"/>
    <col min="14600" max="14600" width="19.81640625" style="226" customWidth="1"/>
    <col min="14601" max="14601" width="18" style="226" customWidth="1"/>
    <col min="14602" max="14602" width="72.08984375" style="226" customWidth="1"/>
    <col min="14603" max="14603" width="21.81640625" style="226" customWidth="1"/>
    <col min="14604" max="14849" width="9.81640625" style="226"/>
    <col min="14850" max="14850" width="5.81640625" style="226" customWidth="1"/>
    <col min="14851" max="14851" width="15.54296875" style="226" customWidth="1"/>
    <col min="14852" max="14852" width="9.54296875" style="226" customWidth="1"/>
    <col min="14853" max="14853" width="30.81640625" style="226" customWidth="1"/>
    <col min="14854" max="14854" width="17.1796875" style="226" customWidth="1"/>
    <col min="14855" max="14855" width="69.1796875" style="226" customWidth="1"/>
    <col min="14856" max="14856" width="19.81640625" style="226" customWidth="1"/>
    <col min="14857" max="14857" width="18" style="226" customWidth="1"/>
    <col min="14858" max="14858" width="72.08984375" style="226" customWidth="1"/>
    <col min="14859" max="14859" width="21.81640625" style="226" customWidth="1"/>
    <col min="14860" max="15105" width="9.81640625" style="226"/>
    <col min="15106" max="15106" width="5.81640625" style="226" customWidth="1"/>
    <col min="15107" max="15107" width="15.54296875" style="226" customWidth="1"/>
    <col min="15108" max="15108" width="9.54296875" style="226" customWidth="1"/>
    <col min="15109" max="15109" width="30.81640625" style="226" customWidth="1"/>
    <col min="15110" max="15110" width="17.1796875" style="226" customWidth="1"/>
    <col min="15111" max="15111" width="69.1796875" style="226" customWidth="1"/>
    <col min="15112" max="15112" width="19.81640625" style="226" customWidth="1"/>
    <col min="15113" max="15113" width="18" style="226" customWidth="1"/>
    <col min="15114" max="15114" width="72.08984375" style="226" customWidth="1"/>
    <col min="15115" max="15115" width="21.81640625" style="226" customWidth="1"/>
    <col min="15116" max="15361" width="9.81640625" style="226"/>
    <col min="15362" max="15362" width="5.81640625" style="226" customWidth="1"/>
    <col min="15363" max="15363" width="15.54296875" style="226" customWidth="1"/>
    <col min="15364" max="15364" width="9.54296875" style="226" customWidth="1"/>
    <col min="15365" max="15365" width="30.81640625" style="226" customWidth="1"/>
    <col min="15366" max="15366" width="17.1796875" style="226" customWidth="1"/>
    <col min="15367" max="15367" width="69.1796875" style="226" customWidth="1"/>
    <col min="15368" max="15368" width="19.81640625" style="226" customWidth="1"/>
    <col min="15369" max="15369" width="18" style="226" customWidth="1"/>
    <col min="15370" max="15370" width="72.08984375" style="226" customWidth="1"/>
    <col min="15371" max="15371" width="21.81640625" style="226" customWidth="1"/>
    <col min="15372" max="15617" width="9.81640625" style="226"/>
    <col min="15618" max="15618" width="5.81640625" style="226" customWidth="1"/>
    <col min="15619" max="15619" width="15.54296875" style="226" customWidth="1"/>
    <col min="15620" max="15620" width="9.54296875" style="226" customWidth="1"/>
    <col min="15621" max="15621" width="30.81640625" style="226" customWidth="1"/>
    <col min="15622" max="15622" width="17.1796875" style="226" customWidth="1"/>
    <col min="15623" max="15623" width="69.1796875" style="226" customWidth="1"/>
    <col min="15624" max="15624" width="19.81640625" style="226" customWidth="1"/>
    <col min="15625" max="15625" width="18" style="226" customWidth="1"/>
    <col min="15626" max="15626" width="72.08984375" style="226" customWidth="1"/>
    <col min="15627" max="15627" width="21.81640625" style="226" customWidth="1"/>
    <col min="15628" max="15873" width="9.81640625" style="226"/>
    <col min="15874" max="15874" width="5.81640625" style="226" customWidth="1"/>
    <col min="15875" max="15875" width="15.54296875" style="226" customWidth="1"/>
    <col min="15876" max="15876" width="9.54296875" style="226" customWidth="1"/>
    <col min="15877" max="15877" width="30.81640625" style="226" customWidth="1"/>
    <col min="15878" max="15878" width="17.1796875" style="226" customWidth="1"/>
    <col min="15879" max="15879" width="69.1796875" style="226" customWidth="1"/>
    <col min="15880" max="15880" width="19.81640625" style="226" customWidth="1"/>
    <col min="15881" max="15881" width="18" style="226" customWidth="1"/>
    <col min="15882" max="15882" width="72.08984375" style="226" customWidth="1"/>
    <col min="15883" max="15883" width="21.81640625" style="226" customWidth="1"/>
    <col min="15884" max="16129" width="9.81640625" style="226"/>
    <col min="16130" max="16130" width="5.81640625" style="226" customWidth="1"/>
    <col min="16131" max="16131" width="15.54296875" style="226" customWidth="1"/>
    <col min="16132" max="16132" width="9.54296875" style="226" customWidth="1"/>
    <col min="16133" max="16133" width="30.81640625" style="226" customWidth="1"/>
    <col min="16134" max="16134" width="17.1796875" style="226" customWidth="1"/>
    <col min="16135" max="16135" width="69.1796875" style="226" customWidth="1"/>
    <col min="16136" max="16136" width="19.81640625" style="226" customWidth="1"/>
    <col min="16137" max="16137" width="18" style="226" customWidth="1"/>
    <col min="16138" max="16138" width="72.08984375" style="226" customWidth="1"/>
    <col min="16139" max="16139" width="21.81640625" style="226" customWidth="1"/>
    <col min="16140" max="16384" width="9.81640625" style="226"/>
  </cols>
  <sheetData>
    <row r="1" spans="2:11">
      <c r="G1" s="230" t="s">
        <v>32</v>
      </c>
      <c r="H1" s="231"/>
      <c r="I1" s="232"/>
    </row>
    <row r="2" spans="2:11" ht="4.5" customHeight="1"/>
    <row r="3" spans="2:11" s="224" customFormat="1" ht="38" customHeight="1">
      <c r="B3" s="233" t="s">
        <v>33</v>
      </c>
      <c r="C3" s="233" t="s">
        <v>14</v>
      </c>
      <c r="D3" s="233" t="s">
        <v>34</v>
      </c>
      <c r="E3" s="233" t="s">
        <v>35</v>
      </c>
      <c r="F3" s="233" t="s">
        <v>36</v>
      </c>
      <c r="G3" s="233" t="s">
        <v>37</v>
      </c>
      <c r="H3" s="233" t="s">
        <v>38</v>
      </c>
      <c r="I3" s="233" t="s">
        <v>39</v>
      </c>
      <c r="J3" s="233" t="s">
        <v>40</v>
      </c>
      <c r="K3" s="233" t="s">
        <v>41</v>
      </c>
    </row>
    <row r="4" spans="2:11" ht="28">
      <c r="B4" s="315" t="s">
        <v>42</v>
      </c>
      <c r="C4" s="235">
        <v>1</v>
      </c>
      <c r="D4" s="236" t="s">
        <v>43</v>
      </c>
      <c r="E4" s="237" t="s">
        <v>44</v>
      </c>
      <c r="F4" s="237"/>
      <c r="G4" s="238"/>
      <c r="H4" s="239">
        <v>12</v>
      </c>
      <c r="I4" s="240" t="s">
        <v>45</v>
      </c>
      <c r="J4" s="238" t="s">
        <v>46</v>
      </c>
      <c r="K4" s="241"/>
    </row>
    <row r="5" spans="2:11">
      <c r="B5" s="315"/>
      <c r="C5" s="235">
        <v>2</v>
      </c>
      <c r="D5" s="236" t="s">
        <v>47</v>
      </c>
      <c r="E5" s="237" t="s">
        <v>48</v>
      </c>
      <c r="F5" s="237"/>
      <c r="G5" s="238"/>
      <c r="H5" s="239"/>
      <c r="I5" s="240" t="s">
        <v>49</v>
      </c>
      <c r="J5" s="238"/>
      <c r="K5" s="241"/>
    </row>
    <row r="6" spans="2:11">
      <c r="B6" s="315"/>
      <c r="C6" s="235">
        <v>3</v>
      </c>
      <c r="D6" s="236" t="s">
        <v>50</v>
      </c>
      <c r="E6" s="237"/>
      <c r="F6" s="237"/>
      <c r="G6" s="238"/>
      <c r="H6" s="239"/>
      <c r="I6" s="240" t="s">
        <v>51</v>
      </c>
      <c r="J6" s="238"/>
      <c r="K6" s="241"/>
    </row>
    <row r="7" spans="2:11">
      <c r="B7" s="315"/>
      <c r="C7" s="242"/>
      <c r="D7" s="243" t="s">
        <v>52</v>
      </c>
      <c r="E7" s="237" t="s">
        <v>44</v>
      </c>
      <c r="F7" s="237"/>
      <c r="G7" s="238"/>
      <c r="H7" s="244">
        <v>1</v>
      </c>
      <c r="I7" s="240"/>
      <c r="J7" s="238"/>
      <c r="K7" s="241"/>
    </row>
    <row r="8" spans="2:11">
      <c r="B8" s="315"/>
      <c r="C8" s="242"/>
      <c r="D8" s="243" t="s">
        <v>53</v>
      </c>
      <c r="E8" s="237" t="s">
        <v>44</v>
      </c>
      <c r="F8" s="237"/>
      <c r="G8" s="238"/>
      <c r="H8" s="244"/>
      <c r="I8" s="240"/>
      <c r="J8" s="238"/>
      <c r="K8" s="241"/>
    </row>
    <row r="9" spans="2:11" ht="20.5" customHeight="1">
      <c r="B9" s="315"/>
      <c r="C9" s="235">
        <v>4</v>
      </c>
      <c r="D9" s="236" t="s">
        <v>54</v>
      </c>
      <c r="E9" s="237" t="s">
        <v>44</v>
      </c>
      <c r="F9" s="237"/>
      <c r="G9" s="238"/>
      <c r="H9" s="239">
        <v>20</v>
      </c>
      <c r="I9" s="240" t="s">
        <v>55</v>
      </c>
      <c r="J9" s="241" t="s">
        <v>56</v>
      </c>
      <c r="K9" s="241"/>
    </row>
    <row r="10" spans="2:11" ht="20.5" customHeight="1">
      <c r="B10" s="315"/>
      <c r="C10" s="235">
        <v>5</v>
      </c>
      <c r="D10" s="236" t="s">
        <v>57</v>
      </c>
      <c r="E10" s="237" t="s">
        <v>58</v>
      </c>
      <c r="F10" s="237"/>
      <c r="G10" s="238"/>
      <c r="H10" s="239"/>
      <c r="I10" s="240"/>
      <c r="J10" s="241" t="s">
        <v>59</v>
      </c>
      <c r="K10" s="241"/>
    </row>
    <row r="11" spans="2:11" ht="20.5" customHeight="1">
      <c r="B11" s="315"/>
      <c r="C11" s="235"/>
      <c r="D11" s="243" t="s">
        <v>60</v>
      </c>
      <c r="E11" s="237" t="s">
        <v>58</v>
      </c>
      <c r="F11" s="237"/>
      <c r="G11" s="238"/>
      <c r="H11" s="239"/>
      <c r="I11" s="240"/>
      <c r="J11" s="241"/>
      <c r="K11" s="241"/>
    </row>
    <row r="12" spans="2:11" ht="20.5" customHeight="1">
      <c r="B12" s="321"/>
      <c r="C12" s="235"/>
      <c r="D12" s="243" t="s">
        <v>61</v>
      </c>
      <c r="E12" s="237" t="s">
        <v>58</v>
      </c>
      <c r="F12" s="237"/>
      <c r="G12" s="238"/>
      <c r="H12" s="239"/>
      <c r="I12" s="240"/>
      <c r="J12" s="241"/>
      <c r="K12" s="241"/>
    </row>
    <row r="13" spans="2:11" ht="26" customHeight="1">
      <c r="B13" s="315" t="s">
        <v>62</v>
      </c>
      <c r="C13" s="235"/>
      <c r="D13" s="236" t="s">
        <v>63</v>
      </c>
      <c r="E13" s="237" t="s">
        <v>44</v>
      </c>
      <c r="F13" s="237"/>
      <c r="G13" s="238"/>
      <c r="H13" s="239">
        <v>50</v>
      </c>
      <c r="I13" s="240" t="s">
        <v>64</v>
      </c>
      <c r="J13" s="241" t="s">
        <v>65</v>
      </c>
      <c r="K13" s="241"/>
    </row>
    <row r="14" spans="2:11" ht="26" customHeight="1">
      <c r="B14" s="315"/>
      <c r="C14" s="235"/>
      <c r="D14" s="236" t="s">
        <v>66</v>
      </c>
      <c r="E14" s="237" t="s">
        <v>44</v>
      </c>
      <c r="F14" s="237"/>
      <c r="G14" s="238"/>
      <c r="H14" s="239">
        <v>10</v>
      </c>
      <c r="I14" s="240" t="s">
        <v>64</v>
      </c>
      <c r="J14" s="241"/>
      <c r="K14" s="241"/>
    </row>
    <row r="15" spans="2:11" ht="26" customHeight="1">
      <c r="B15" s="315"/>
      <c r="C15" s="235"/>
      <c r="D15" s="236" t="s">
        <v>67</v>
      </c>
      <c r="E15" s="237" t="s">
        <v>44</v>
      </c>
      <c r="F15" s="237"/>
      <c r="G15" s="238"/>
      <c r="H15" s="239">
        <v>20</v>
      </c>
      <c r="I15" s="240" t="s">
        <v>68</v>
      </c>
      <c r="J15" s="241"/>
      <c r="K15" s="241"/>
    </row>
    <row r="16" spans="2:11" ht="35" customHeight="1">
      <c r="B16" s="315"/>
      <c r="C16" s="235"/>
      <c r="D16" s="236" t="s">
        <v>69</v>
      </c>
      <c r="E16" s="237" t="s">
        <v>44</v>
      </c>
      <c r="F16" s="237"/>
      <c r="G16" s="241"/>
      <c r="H16" s="239">
        <v>2138.54</v>
      </c>
      <c r="I16" s="240" t="s">
        <v>70</v>
      </c>
      <c r="J16" s="241"/>
      <c r="K16" s="241"/>
    </row>
    <row r="17" spans="2:11" s="225" customFormat="1" ht="49" customHeight="1">
      <c r="B17" s="315"/>
      <c r="C17" s="245"/>
      <c r="D17" s="246" t="s">
        <v>71</v>
      </c>
      <c r="E17" s="237" t="s">
        <v>72</v>
      </c>
      <c r="F17" s="237"/>
      <c r="G17" s="247" t="s">
        <v>73</v>
      </c>
      <c r="H17" s="248">
        <f>H13*H16</f>
        <v>106927</v>
      </c>
      <c r="I17" s="249" t="s">
        <v>68</v>
      </c>
      <c r="J17" s="250" t="s">
        <v>74</v>
      </c>
      <c r="K17" s="250"/>
    </row>
    <row r="18" spans="2:11" s="225" customFormat="1" ht="57" customHeight="1">
      <c r="B18" s="315"/>
      <c r="C18" s="245">
        <v>1</v>
      </c>
      <c r="D18" s="246" t="s">
        <v>75</v>
      </c>
      <c r="E18" s="237"/>
      <c r="F18" s="237"/>
      <c r="G18" s="251" t="s">
        <v>76</v>
      </c>
      <c r="H18" s="252"/>
      <c r="I18" s="249"/>
      <c r="J18" s="250" t="s">
        <v>77</v>
      </c>
      <c r="K18" s="250"/>
    </row>
    <row r="19" spans="2:11" s="225" customFormat="1" ht="18" customHeight="1">
      <c r="B19" s="315"/>
      <c r="C19" s="253"/>
      <c r="D19" s="254" t="s">
        <v>78</v>
      </c>
      <c r="E19" s="237" t="s">
        <v>72</v>
      </c>
      <c r="F19" s="237"/>
      <c r="G19" s="251"/>
      <c r="H19" s="255">
        <f>$H$17*(1-H45)*(1-$H$43)</f>
        <v>50576.470999999998</v>
      </c>
      <c r="I19" s="249" t="s">
        <v>68</v>
      </c>
      <c r="J19" s="250"/>
      <c r="K19" s="250"/>
    </row>
    <row r="20" spans="2:11" s="225" customFormat="1" ht="18" customHeight="1">
      <c r="B20" s="315"/>
      <c r="C20" s="253"/>
      <c r="D20" s="254" t="s">
        <v>79</v>
      </c>
      <c r="E20" s="237" t="s">
        <v>72</v>
      </c>
      <c r="F20" s="237"/>
      <c r="G20" s="251"/>
      <c r="H20" s="255">
        <f t="shared" ref="H20:H38" si="0">$H$17*(1-H46)*(1-$H$43)</f>
        <v>50576.470999999998</v>
      </c>
      <c r="I20" s="249" t="s">
        <v>68</v>
      </c>
      <c r="J20" s="250"/>
      <c r="K20" s="250"/>
    </row>
    <row r="21" spans="2:11" s="225" customFormat="1" ht="18" customHeight="1">
      <c r="B21" s="315"/>
      <c r="C21" s="253"/>
      <c r="D21" s="254" t="s">
        <v>80</v>
      </c>
      <c r="E21" s="237" t="s">
        <v>72</v>
      </c>
      <c r="F21" s="237"/>
      <c r="G21" s="251"/>
      <c r="H21" s="255">
        <f t="shared" si="0"/>
        <v>50576.470999999998</v>
      </c>
      <c r="I21" s="249" t="s">
        <v>68</v>
      </c>
      <c r="J21" s="250"/>
      <c r="K21" s="250"/>
    </row>
    <row r="22" spans="2:11" s="225" customFormat="1" ht="18" customHeight="1">
      <c r="B22" s="315"/>
      <c r="C22" s="253"/>
      <c r="D22" s="254" t="s">
        <v>81</v>
      </c>
      <c r="E22" s="237" t="s">
        <v>72</v>
      </c>
      <c r="F22" s="237"/>
      <c r="G22" s="251"/>
      <c r="H22" s="255">
        <f t="shared" si="0"/>
        <v>50576.470999999998</v>
      </c>
      <c r="I22" s="249" t="s">
        <v>68</v>
      </c>
      <c r="J22" s="250"/>
      <c r="K22" s="250"/>
    </row>
    <row r="23" spans="2:11" s="225" customFormat="1" ht="18" customHeight="1">
      <c r="B23" s="315"/>
      <c r="C23" s="253"/>
      <c r="D23" s="254" t="s">
        <v>82</v>
      </c>
      <c r="E23" s="237" t="s">
        <v>72</v>
      </c>
      <c r="F23" s="237"/>
      <c r="G23" s="251"/>
      <c r="H23" s="255">
        <f t="shared" si="0"/>
        <v>50576.470999999998</v>
      </c>
      <c r="I23" s="249" t="s">
        <v>68</v>
      </c>
      <c r="J23" s="250"/>
      <c r="K23" s="250"/>
    </row>
    <row r="24" spans="2:11" s="225" customFormat="1" ht="18" customHeight="1">
      <c r="B24" s="315"/>
      <c r="C24" s="253"/>
      <c r="D24" s="254" t="s">
        <v>83</v>
      </c>
      <c r="E24" s="237" t="s">
        <v>72</v>
      </c>
      <c r="F24" s="237"/>
      <c r="G24" s="251"/>
      <c r="H24" s="255">
        <f t="shared" si="0"/>
        <v>30345.882600000001</v>
      </c>
      <c r="I24" s="249" t="s">
        <v>68</v>
      </c>
      <c r="J24" s="250"/>
      <c r="K24" s="250"/>
    </row>
    <row r="25" spans="2:11" s="225" customFormat="1" ht="18" customHeight="1">
      <c r="B25" s="315"/>
      <c r="C25" s="253"/>
      <c r="D25" s="254" t="s">
        <v>84</v>
      </c>
      <c r="E25" s="237" t="s">
        <v>72</v>
      </c>
      <c r="F25" s="237"/>
      <c r="G25" s="251"/>
      <c r="H25" s="255">
        <f t="shared" si="0"/>
        <v>30345.882600000001</v>
      </c>
      <c r="I25" s="249" t="s">
        <v>68</v>
      </c>
      <c r="J25" s="250"/>
      <c r="K25" s="250"/>
    </row>
    <row r="26" spans="2:11" s="225" customFormat="1" ht="18" customHeight="1">
      <c r="B26" s="315"/>
      <c r="C26" s="253"/>
      <c r="D26" s="254" t="s">
        <v>85</v>
      </c>
      <c r="E26" s="237" t="s">
        <v>72</v>
      </c>
      <c r="F26" s="237"/>
      <c r="G26" s="251"/>
      <c r="H26" s="255">
        <f t="shared" si="0"/>
        <v>30345.882600000001</v>
      </c>
      <c r="I26" s="249" t="s">
        <v>68</v>
      </c>
      <c r="J26" s="250"/>
      <c r="K26" s="250"/>
    </row>
    <row r="27" spans="2:11" s="225" customFormat="1" ht="18" customHeight="1">
      <c r="B27" s="315"/>
      <c r="C27" s="253"/>
      <c r="D27" s="254" t="s">
        <v>86</v>
      </c>
      <c r="E27" s="237" t="s">
        <v>72</v>
      </c>
      <c r="F27" s="237"/>
      <c r="G27" s="251"/>
      <c r="H27" s="255">
        <f t="shared" si="0"/>
        <v>30345.882600000001</v>
      </c>
      <c r="I27" s="249" t="s">
        <v>68</v>
      </c>
      <c r="J27" s="250"/>
      <c r="K27" s="250"/>
    </row>
    <row r="28" spans="2:11" s="225" customFormat="1" ht="18" customHeight="1">
      <c r="B28" s="315"/>
      <c r="C28" s="253"/>
      <c r="D28" s="254" t="s">
        <v>87</v>
      </c>
      <c r="E28" s="237" t="s">
        <v>72</v>
      </c>
      <c r="F28" s="237"/>
      <c r="G28" s="251"/>
      <c r="H28" s="255">
        <f t="shared" si="0"/>
        <v>30345.882600000001</v>
      </c>
      <c r="I28" s="249" t="s">
        <v>68</v>
      </c>
      <c r="J28" s="250"/>
      <c r="K28" s="250"/>
    </row>
    <row r="29" spans="2:11" s="225" customFormat="1" ht="18" customHeight="1">
      <c r="B29" s="315"/>
      <c r="C29" s="253"/>
      <c r="D29" s="254" t="s">
        <v>88</v>
      </c>
      <c r="E29" s="237" t="s">
        <v>72</v>
      </c>
      <c r="F29" s="237"/>
      <c r="G29" s="251"/>
      <c r="H29" s="255">
        <f t="shared" si="0"/>
        <v>30345.882600000001</v>
      </c>
      <c r="I29" s="249" t="s">
        <v>68</v>
      </c>
      <c r="J29" s="250"/>
      <c r="K29" s="250"/>
    </row>
    <row r="30" spans="2:11" s="225" customFormat="1" ht="18" customHeight="1">
      <c r="B30" s="315"/>
      <c r="C30" s="253"/>
      <c r="D30" s="254" t="s">
        <v>89</v>
      </c>
      <c r="E30" s="237" t="s">
        <v>72</v>
      </c>
      <c r="F30" s="237"/>
      <c r="G30" s="251"/>
      <c r="H30" s="255">
        <f t="shared" si="0"/>
        <v>30345.882600000001</v>
      </c>
      <c r="I30" s="249" t="s">
        <v>68</v>
      </c>
      <c r="J30" s="250"/>
      <c r="K30" s="250"/>
    </row>
    <row r="31" spans="2:11" s="225" customFormat="1" ht="18" customHeight="1">
      <c r="B31" s="315"/>
      <c r="C31" s="253"/>
      <c r="D31" s="254" t="s">
        <v>90</v>
      </c>
      <c r="E31" s="237" t="s">
        <v>72</v>
      </c>
      <c r="F31" s="237"/>
      <c r="G31" s="251"/>
      <c r="H31" s="255">
        <f t="shared" si="0"/>
        <v>30345.882600000001</v>
      </c>
      <c r="I31" s="249" t="s">
        <v>68</v>
      </c>
      <c r="J31" s="250"/>
      <c r="K31" s="250"/>
    </row>
    <row r="32" spans="2:11" s="225" customFormat="1" ht="18" customHeight="1">
      <c r="B32" s="315"/>
      <c r="C32" s="253"/>
      <c r="D32" s="254" t="s">
        <v>91</v>
      </c>
      <c r="E32" s="237" t="s">
        <v>72</v>
      </c>
      <c r="F32" s="237"/>
      <c r="G32" s="251"/>
      <c r="H32" s="255">
        <f t="shared" si="0"/>
        <v>30345.882600000001</v>
      </c>
      <c r="I32" s="249" t="s">
        <v>68</v>
      </c>
      <c r="J32" s="250"/>
      <c r="K32" s="250"/>
    </row>
    <row r="33" spans="2:11" s="225" customFormat="1" ht="18" customHeight="1">
      <c r="B33" s="315"/>
      <c r="C33" s="253"/>
      <c r="D33" s="254" t="s">
        <v>92</v>
      </c>
      <c r="E33" s="237" t="s">
        <v>72</v>
      </c>
      <c r="F33" s="237"/>
      <c r="G33" s="251"/>
      <c r="H33" s="255">
        <f t="shared" si="0"/>
        <v>30345.882600000001</v>
      </c>
      <c r="I33" s="249" t="s">
        <v>68</v>
      </c>
      <c r="J33" s="250"/>
      <c r="K33" s="250"/>
    </row>
    <row r="34" spans="2:11" s="225" customFormat="1" ht="18" customHeight="1">
      <c r="B34" s="315"/>
      <c r="C34" s="253"/>
      <c r="D34" s="254" t="s">
        <v>93</v>
      </c>
      <c r="E34" s="237" t="s">
        <v>72</v>
      </c>
      <c r="F34" s="237"/>
      <c r="G34" s="251"/>
      <c r="H34" s="255">
        <f t="shared" si="0"/>
        <v>30345.882600000001</v>
      </c>
      <c r="I34" s="249" t="s">
        <v>68</v>
      </c>
      <c r="J34" s="250"/>
      <c r="K34" s="250"/>
    </row>
    <row r="35" spans="2:11" s="225" customFormat="1" ht="18" customHeight="1">
      <c r="B35" s="315"/>
      <c r="C35" s="253"/>
      <c r="D35" s="254" t="s">
        <v>94</v>
      </c>
      <c r="E35" s="237" t="s">
        <v>72</v>
      </c>
      <c r="F35" s="237"/>
      <c r="G35" s="251"/>
      <c r="H35" s="255">
        <f t="shared" si="0"/>
        <v>30345.882600000001</v>
      </c>
      <c r="I35" s="249" t="s">
        <v>68</v>
      </c>
      <c r="J35" s="250"/>
      <c r="K35" s="250"/>
    </row>
    <row r="36" spans="2:11" s="225" customFormat="1" ht="18" customHeight="1">
      <c r="B36" s="315"/>
      <c r="C36" s="253"/>
      <c r="D36" s="254" t="s">
        <v>95</v>
      </c>
      <c r="E36" s="237" t="s">
        <v>72</v>
      </c>
      <c r="F36" s="237"/>
      <c r="G36" s="251"/>
      <c r="H36" s="255">
        <f t="shared" si="0"/>
        <v>30345.882600000001</v>
      </c>
      <c r="I36" s="249" t="s">
        <v>68</v>
      </c>
      <c r="J36" s="250"/>
      <c r="K36" s="250"/>
    </row>
    <row r="37" spans="2:11" s="225" customFormat="1" ht="18" customHeight="1">
      <c r="B37" s="315"/>
      <c r="C37" s="253"/>
      <c r="D37" s="254" t="s">
        <v>96</v>
      </c>
      <c r="E37" s="237" t="s">
        <v>72</v>
      </c>
      <c r="F37" s="237"/>
      <c r="G37" s="251"/>
      <c r="H37" s="255">
        <f t="shared" si="0"/>
        <v>30345.882600000001</v>
      </c>
      <c r="I37" s="249" t="s">
        <v>68</v>
      </c>
      <c r="J37" s="250"/>
      <c r="K37" s="250"/>
    </row>
    <row r="38" spans="2:11" s="225" customFormat="1" ht="18" customHeight="1">
      <c r="B38" s="315"/>
      <c r="C38" s="245"/>
      <c r="D38" s="254" t="s">
        <v>97</v>
      </c>
      <c r="E38" s="237" t="s">
        <v>72</v>
      </c>
      <c r="F38" s="237"/>
      <c r="G38" s="251"/>
      <c r="H38" s="255">
        <f t="shared" si="0"/>
        <v>30345.882600000001</v>
      </c>
      <c r="I38" s="249" t="s">
        <v>68</v>
      </c>
      <c r="J38" s="250"/>
      <c r="K38" s="250"/>
    </row>
    <row r="39" spans="2:11" s="225" customFormat="1">
      <c r="B39" s="315"/>
      <c r="C39" s="245"/>
      <c r="D39" s="246" t="s">
        <v>98</v>
      </c>
      <c r="E39" s="237"/>
      <c r="F39" s="237"/>
      <c r="G39" s="251"/>
      <c r="H39" s="248"/>
      <c r="I39" s="249"/>
      <c r="J39" s="250"/>
      <c r="K39" s="250"/>
    </row>
    <row r="40" spans="2:11" s="225" customFormat="1">
      <c r="B40" s="315"/>
      <c r="C40" s="253"/>
      <c r="D40" s="254" t="s">
        <v>78</v>
      </c>
      <c r="E40" s="237" t="s">
        <v>44</v>
      </c>
      <c r="F40" s="237"/>
      <c r="G40" s="251"/>
      <c r="H40" s="248">
        <v>0.3044</v>
      </c>
      <c r="I40" s="249" t="s">
        <v>99</v>
      </c>
      <c r="J40" s="250"/>
      <c r="K40" s="250"/>
    </row>
    <row r="41" spans="2:11" s="225" customFormat="1">
      <c r="B41" s="315"/>
      <c r="C41" s="253"/>
      <c r="D41" s="256" t="s">
        <v>100</v>
      </c>
      <c r="E41" s="237" t="s">
        <v>44</v>
      </c>
      <c r="F41" s="237"/>
      <c r="G41" s="251"/>
      <c r="H41" s="248">
        <v>0.3044</v>
      </c>
      <c r="I41" s="249" t="s">
        <v>99</v>
      </c>
      <c r="J41" s="250"/>
      <c r="K41" s="250"/>
    </row>
    <row r="42" spans="2:11" s="225" customFormat="1">
      <c r="B42" s="321"/>
      <c r="C42" s="253"/>
      <c r="D42" s="254" t="s">
        <v>97</v>
      </c>
      <c r="E42" s="237" t="s">
        <v>44</v>
      </c>
      <c r="F42" s="237"/>
      <c r="G42" s="251"/>
      <c r="H42" s="248">
        <v>0.3044</v>
      </c>
      <c r="I42" s="249" t="s">
        <v>99</v>
      </c>
      <c r="J42" s="250"/>
      <c r="K42" s="250"/>
    </row>
    <row r="43" spans="2:11" s="225" customFormat="1">
      <c r="B43" s="315"/>
      <c r="C43" s="253"/>
      <c r="D43" s="254" t="s">
        <v>101</v>
      </c>
      <c r="E43" s="237" t="s">
        <v>44</v>
      </c>
      <c r="F43" s="237"/>
      <c r="G43" s="251"/>
      <c r="H43" s="257">
        <v>5.3999999999999999E-2</v>
      </c>
      <c r="I43" s="249" t="s">
        <v>51</v>
      </c>
      <c r="J43" s="250"/>
      <c r="K43" s="250"/>
    </row>
    <row r="44" spans="2:11" s="225" customFormat="1" ht="37" customHeight="1">
      <c r="B44" s="315"/>
      <c r="C44" s="253">
        <v>2</v>
      </c>
      <c r="D44" s="258" t="s">
        <v>102</v>
      </c>
      <c r="E44" s="237"/>
      <c r="F44" s="237"/>
      <c r="G44" s="251"/>
      <c r="H44" s="257"/>
      <c r="I44" s="249"/>
      <c r="J44" s="250"/>
      <c r="K44" s="250"/>
    </row>
    <row r="45" spans="2:11" s="225" customFormat="1" ht="17" customHeight="1">
      <c r="B45" s="315"/>
      <c r="C45" s="253"/>
      <c r="D45" s="254" t="s">
        <v>78</v>
      </c>
      <c r="E45" s="237" t="s">
        <v>44</v>
      </c>
      <c r="F45" s="237"/>
      <c r="G45" s="251"/>
      <c r="H45" s="257">
        <v>0.5</v>
      </c>
      <c r="I45" s="249" t="s">
        <v>51</v>
      </c>
      <c r="J45" s="250"/>
      <c r="K45" s="250"/>
    </row>
    <row r="46" spans="2:11" s="225" customFormat="1" ht="17" customHeight="1">
      <c r="B46" s="315"/>
      <c r="C46" s="253"/>
      <c r="D46" s="254" t="s">
        <v>79</v>
      </c>
      <c r="E46" s="237" t="s">
        <v>44</v>
      </c>
      <c r="F46" s="237"/>
      <c r="G46" s="251"/>
      <c r="H46" s="257">
        <v>0.5</v>
      </c>
      <c r="I46" s="249" t="s">
        <v>51</v>
      </c>
      <c r="J46" s="250"/>
      <c r="K46" s="250"/>
    </row>
    <row r="47" spans="2:11" s="225" customFormat="1" ht="17" customHeight="1">
      <c r="B47" s="315"/>
      <c r="C47" s="253"/>
      <c r="D47" s="254" t="s">
        <v>80</v>
      </c>
      <c r="E47" s="237" t="s">
        <v>44</v>
      </c>
      <c r="F47" s="237"/>
      <c r="G47" s="251"/>
      <c r="H47" s="257">
        <v>0.5</v>
      </c>
      <c r="I47" s="249" t="s">
        <v>51</v>
      </c>
      <c r="J47" s="250"/>
      <c r="K47" s="250"/>
    </row>
    <row r="48" spans="2:11" s="225" customFormat="1" ht="17" customHeight="1">
      <c r="B48" s="315"/>
      <c r="C48" s="253"/>
      <c r="D48" s="254" t="s">
        <v>81</v>
      </c>
      <c r="E48" s="237" t="s">
        <v>44</v>
      </c>
      <c r="F48" s="237"/>
      <c r="G48" s="251"/>
      <c r="H48" s="257">
        <v>0.5</v>
      </c>
      <c r="I48" s="249" t="s">
        <v>51</v>
      </c>
      <c r="J48" s="250"/>
      <c r="K48" s="250"/>
    </row>
    <row r="49" spans="2:11" s="225" customFormat="1" ht="17" customHeight="1">
      <c r="B49" s="315"/>
      <c r="C49" s="253"/>
      <c r="D49" s="254" t="s">
        <v>82</v>
      </c>
      <c r="E49" s="237" t="s">
        <v>44</v>
      </c>
      <c r="F49" s="237"/>
      <c r="G49" s="251"/>
      <c r="H49" s="257">
        <v>0.5</v>
      </c>
      <c r="I49" s="249" t="s">
        <v>51</v>
      </c>
      <c r="J49" s="250"/>
      <c r="K49" s="250"/>
    </row>
    <row r="50" spans="2:11" s="225" customFormat="1" ht="17" customHeight="1">
      <c r="B50" s="315"/>
      <c r="C50" s="253"/>
      <c r="D50" s="254" t="s">
        <v>83</v>
      </c>
      <c r="E50" s="237" t="s">
        <v>44</v>
      </c>
      <c r="F50" s="237"/>
      <c r="G50" s="251"/>
      <c r="H50" s="257">
        <v>0.7</v>
      </c>
      <c r="I50" s="249" t="s">
        <v>51</v>
      </c>
      <c r="J50" s="250"/>
      <c r="K50" s="250"/>
    </row>
    <row r="51" spans="2:11" s="225" customFormat="1" ht="17" customHeight="1">
      <c r="B51" s="315"/>
      <c r="C51" s="253"/>
      <c r="D51" s="254" t="s">
        <v>84</v>
      </c>
      <c r="E51" s="237" t="s">
        <v>44</v>
      </c>
      <c r="F51" s="237"/>
      <c r="G51" s="251"/>
      <c r="H51" s="257">
        <v>0.7</v>
      </c>
      <c r="I51" s="249" t="s">
        <v>51</v>
      </c>
      <c r="J51" s="250"/>
      <c r="K51" s="250"/>
    </row>
    <row r="52" spans="2:11" s="225" customFormat="1" ht="17" customHeight="1">
      <c r="B52" s="315"/>
      <c r="C52" s="253"/>
      <c r="D52" s="254" t="s">
        <v>85</v>
      </c>
      <c r="E52" s="237" t="s">
        <v>44</v>
      </c>
      <c r="F52" s="237"/>
      <c r="G52" s="251"/>
      <c r="H52" s="257">
        <v>0.7</v>
      </c>
      <c r="I52" s="249" t="s">
        <v>51</v>
      </c>
      <c r="J52" s="250"/>
      <c r="K52" s="250"/>
    </row>
    <row r="53" spans="2:11" s="225" customFormat="1" ht="17" customHeight="1">
      <c r="B53" s="315"/>
      <c r="C53" s="253"/>
      <c r="D53" s="254" t="s">
        <v>86</v>
      </c>
      <c r="E53" s="237" t="s">
        <v>44</v>
      </c>
      <c r="F53" s="237"/>
      <c r="G53" s="251"/>
      <c r="H53" s="257">
        <v>0.7</v>
      </c>
      <c r="I53" s="249" t="s">
        <v>51</v>
      </c>
      <c r="J53" s="250"/>
      <c r="K53" s="250"/>
    </row>
    <row r="54" spans="2:11" s="225" customFormat="1" ht="17" customHeight="1">
      <c r="B54" s="315"/>
      <c r="C54" s="253"/>
      <c r="D54" s="254" t="s">
        <v>87</v>
      </c>
      <c r="E54" s="237" t="s">
        <v>44</v>
      </c>
      <c r="F54" s="237"/>
      <c r="G54" s="251"/>
      <c r="H54" s="257">
        <v>0.7</v>
      </c>
      <c r="I54" s="249" t="s">
        <v>51</v>
      </c>
      <c r="J54" s="250"/>
      <c r="K54" s="250"/>
    </row>
    <row r="55" spans="2:11" s="225" customFormat="1" ht="17" customHeight="1">
      <c r="B55" s="315"/>
      <c r="C55" s="253"/>
      <c r="D55" s="254" t="s">
        <v>88</v>
      </c>
      <c r="E55" s="237" t="s">
        <v>44</v>
      </c>
      <c r="F55" s="237"/>
      <c r="G55" s="251"/>
      <c r="H55" s="257">
        <v>0.7</v>
      </c>
      <c r="I55" s="249" t="s">
        <v>51</v>
      </c>
      <c r="J55" s="250"/>
      <c r="K55" s="250"/>
    </row>
    <row r="56" spans="2:11" s="225" customFormat="1" ht="17" customHeight="1">
      <c r="B56" s="315"/>
      <c r="C56" s="253"/>
      <c r="D56" s="254" t="s">
        <v>89</v>
      </c>
      <c r="E56" s="237" t="s">
        <v>44</v>
      </c>
      <c r="F56" s="237"/>
      <c r="G56" s="251"/>
      <c r="H56" s="257">
        <v>0.7</v>
      </c>
      <c r="I56" s="249" t="s">
        <v>51</v>
      </c>
      <c r="J56" s="250"/>
      <c r="K56" s="250"/>
    </row>
    <row r="57" spans="2:11" s="225" customFormat="1" ht="17" customHeight="1">
      <c r="B57" s="315"/>
      <c r="C57" s="253"/>
      <c r="D57" s="254" t="s">
        <v>90</v>
      </c>
      <c r="E57" s="237" t="s">
        <v>44</v>
      </c>
      <c r="F57" s="237"/>
      <c r="G57" s="251"/>
      <c r="H57" s="257">
        <v>0.7</v>
      </c>
      <c r="I57" s="249" t="s">
        <v>51</v>
      </c>
      <c r="J57" s="250"/>
      <c r="K57" s="250"/>
    </row>
    <row r="58" spans="2:11" s="225" customFormat="1" ht="17" customHeight="1">
      <c r="B58" s="315"/>
      <c r="C58" s="253"/>
      <c r="D58" s="254" t="s">
        <v>91</v>
      </c>
      <c r="E58" s="237" t="s">
        <v>44</v>
      </c>
      <c r="F58" s="237"/>
      <c r="G58" s="251"/>
      <c r="H58" s="257">
        <v>0.7</v>
      </c>
      <c r="I58" s="249" t="s">
        <v>51</v>
      </c>
      <c r="J58" s="250"/>
      <c r="K58" s="250"/>
    </row>
    <row r="59" spans="2:11" s="225" customFormat="1" ht="17" customHeight="1">
      <c r="B59" s="315"/>
      <c r="C59" s="253"/>
      <c r="D59" s="254" t="s">
        <v>92</v>
      </c>
      <c r="E59" s="237" t="s">
        <v>44</v>
      </c>
      <c r="F59" s="237"/>
      <c r="G59" s="251"/>
      <c r="H59" s="257">
        <v>0.7</v>
      </c>
      <c r="I59" s="249" t="s">
        <v>51</v>
      </c>
      <c r="J59" s="250"/>
      <c r="K59" s="250"/>
    </row>
    <row r="60" spans="2:11" s="225" customFormat="1" ht="17" customHeight="1">
      <c r="B60" s="315"/>
      <c r="C60" s="253"/>
      <c r="D60" s="254" t="s">
        <v>93</v>
      </c>
      <c r="E60" s="237" t="s">
        <v>44</v>
      </c>
      <c r="F60" s="237"/>
      <c r="G60" s="251"/>
      <c r="H60" s="257">
        <v>0.7</v>
      </c>
      <c r="I60" s="249" t="s">
        <v>51</v>
      </c>
      <c r="J60" s="250"/>
      <c r="K60" s="250"/>
    </row>
    <row r="61" spans="2:11" s="225" customFormat="1" ht="17" customHeight="1">
      <c r="B61" s="315"/>
      <c r="C61" s="253"/>
      <c r="D61" s="254" t="s">
        <v>94</v>
      </c>
      <c r="E61" s="237" t="s">
        <v>44</v>
      </c>
      <c r="F61" s="237"/>
      <c r="G61" s="251"/>
      <c r="H61" s="257">
        <v>0.7</v>
      </c>
      <c r="I61" s="249" t="s">
        <v>51</v>
      </c>
      <c r="J61" s="250"/>
      <c r="K61" s="250"/>
    </row>
    <row r="62" spans="2:11" s="225" customFormat="1" ht="17" customHeight="1">
      <c r="B62" s="315"/>
      <c r="C62" s="253"/>
      <c r="D62" s="254" t="s">
        <v>95</v>
      </c>
      <c r="E62" s="237" t="s">
        <v>44</v>
      </c>
      <c r="F62" s="237"/>
      <c r="G62" s="251"/>
      <c r="H62" s="257">
        <v>0.7</v>
      </c>
      <c r="I62" s="249" t="s">
        <v>51</v>
      </c>
      <c r="J62" s="250"/>
      <c r="K62" s="250"/>
    </row>
    <row r="63" spans="2:11" s="225" customFormat="1" ht="17" customHeight="1">
      <c r="B63" s="315"/>
      <c r="C63" s="253"/>
      <c r="D63" s="254" t="s">
        <v>96</v>
      </c>
      <c r="E63" s="237" t="s">
        <v>44</v>
      </c>
      <c r="F63" s="237"/>
      <c r="G63" s="251"/>
      <c r="H63" s="257">
        <v>0.7</v>
      </c>
      <c r="I63" s="249" t="s">
        <v>51</v>
      </c>
      <c r="J63" s="250"/>
      <c r="K63" s="250"/>
    </row>
    <row r="64" spans="2:11" s="225" customFormat="1" ht="17" customHeight="1">
      <c r="B64" s="315"/>
      <c r="C64" s="253"/>
      <c r="D64" s="254" t="s">
        <v>97</v>
      </c>
      <c r="E64" s="237" t="s">
        <v>44</v>
      </c>
      <c r="F64" s="237"/>
      <c r="G64" s="251"/>
      <c r="H64" s="257">
        <v>0.7</v>
      </c>
      <c r="I64" s="249" t="s">
        <v>51</v>
      </c>
      <c r="J64" s="250"/>
      <c r="K64" s="250"/>
    </row>
    <row r="65" spans="2:11" s="225" customFormat="1" ht="25" customHeight="1">
      <c r="B65" s="315"/>
      <c r="C65" s="245"/>
      <c r="D65" s="246" t="s">
        <v>103</v>
      </c>
      <c r="E65" s="237"/>
      <c r="F65" s="237"/>
      <c r="G65" s="251"/>
      <c r="H65" s="248"/>
      <c r="I65" s="249" t="s">
        <v>99</v>
      </c>
      <c r="J65" s="250"/>
      <c r="K65" s="250"/>
    </row>
    <row r="66" spans="2:11" s="225" customFormat="1">
      <c r="B66" s="315"/>
      <c r="C66" s="253"/>
      <c r="D66" s="254" t="s">
        <v>78</v>
      </c>
      <c r="E66" s="237" t="s">
        <v>44</v>
      </c>
      <c r="F66" s="237"/>
      <c r="G66" s="251"/>
      <c r="H66" s="248">
        <v>0.3</v>
      </c>
      <c r="I66" s="249" t="s">
        <v>99</v>
      </c>
      <c r="J66" s="250"/>
      <c r="K66" s="250"/>
    </row>
    <row r="67" spans="2:11" s="225" customFormat="1">
      <c r="B67" s="315"/>
      <c r="C67" s="253"/>
      <c r="D67" s="256" t="s">
        <v>100</v>
      </c>
      <c r="E67" s="237" t="s">
        <v>44</v>
      </c>
      <c r="F67" s="237"/>
      <c r="G67" s="251"/>
      <c r="H67" s="248">
        <v>0.3</v>
      </c>
      <c r="I67" s="249" t="s">
        <v>99</v>
      </c>
      <c r="J67" s="250"/>
      <c r="K67" s="250"/>
    </row>
    <row r="68" spans="2:11" s="225" customFormat="1">
      <c r="B68" s="321"/>
      <c r="C68" s="253"/>
      <c r="D68" s="254" t="s">
        <v>97</v>
      </c>
      <c r="E68" s="237" t="s">
        <v>44</v>
      </c>
      <c r="F68" s="237"/>
      <c r="G68" s="251"/>
      <c r="H68" s="248">
        <v>0.3</v>
      </c>
      <c r="I68" s="249" t="s">
        <v>99</v>
      </c>
      <c r="J68" s="250"/>
      <c r="K68" s="250"/>
    </row>
    <row r="69" spans="2:11" ht="28">
      <c r="B69" s="314" t="s">
        <v>13</v>
      </c>
      <c r="C69" s="235">
        <v>1</v>
      </c>
      <c r="D69" s="236" t="s">
        <v>19</v>
      </c>
      <c r="E69" s="237" t="s">
        <v>104</v>
      </c>
      <c r="F69" s="237"/>
      <c r="G69" s="238" t="s">
        <v>105</v>
      </c>
      <c r="H69" s="260">
        <v>11947.39</v>
      </c>
      <c r="I69" s="240" t="s">
        <v>106</v>
      </c>
      <c r="J69" s="241"/>
      <c r="K69" s="241"/>
    </row>
    <row r="70" spans="2:11" ht="28">
      <c r="B70" s="315"/>
      <c r="C70" s="235">
        <v>2</v>
      </c>
      <c r="D70" s="236" t="s">
        <v>20</v>
      </c>
      <c r="E70" s="237" t="s">
        <v>104</v>
      </c>
      <c r="F70" s="237"/>
      <c r="G70" s="238" t="s">
        <v>105</v>
      </c>
      <c r="H70" s="260">
        <f>6238.96-3.57</f>
        <v>6235.39</v>
      </c>
      <c r="I70" s="240" t="s">
        <v>106</v>
      </c>
      <c r="J70" s="241"/>
      <c r="K70" s="241"/>
    </row>
    <row r="71" spans="2:11" ht="28">
      <c r="B71" s="315"/>
      <c r="C71" s="235">
        <v>3</v>
      </c>
      <c r="D71" s="236" t="s">
        <v>21</v>
      </c>
      <c r="E71" s="237" t="s">
        <v>104</v>
      </c>
      <c r="F71" s="237"/>
      <c r="G71" s="238" t="s">
        <v>105</v>
      </c>
      <c r="H71" s="260">
        <v>3024.1</v>
      </c>
      <c r="I71" s="240" t="s">
        <v>106</v>
      </c>
      <c r="J71" s="241"/>
      <c r="K71" s="241"/>
    </row>
    <row r="72" spans="2:11" ht="28">
      <c r="B72" s="315"/>
      <c r="C72" s="235">
        <v>4</v>
      </c>
      <c r="D72" s="236" t="s">
        <v>22</v>
      </c>
      <c r="E72" s="237" t="s">
        <v>104</v>
      </c>
      <c r="F72" s="237"/>
      <c r="G72" s="238" t="s">
        <v>105</v>
      </c>
      <c r="H72" s="260">
        <v>442.56</v>
      </c>
      <c r="I72" s="240" t="s">
        <v>106</v>
      </c>
      <c r="J72" s="241"/>
      <c r="K72" s="241"/>
    </row>
    <row r="73" spans="2:11" ht="28">
      <c r="B73" s="315"/>
      <c r="C73" s="235">
        <v>5</v>
      </c>
      <c r="D73" s="236" t="s">
        <v>23</v>
      </c>
      <c r="E73" s="237" t="s">
        <v>104</v>
      </c>
      <c r="F73" s="237"/>
      <c r="G73" s="238" t="s">
        <v>105</v>
      </c>
      <c r="H73" s="260">
        <v>920.92</v>
      </c>
      <c r="I73" s="240" t="s">
        <v>106</v>
      </c>
      <c r="J73" s="241"/>
      <c r="K73" s="241"/>
    </row>
    <row r="74" spans="2:11" ht="28">
      <c r="B74" s="315"/>
      <c r="C74" s="235">
        <v>6</v>
      </c>
      <c r="D74" s="236" t="s">
        <v>24</v>
      </c>
      <c r="E74" s="237" t="s">
        <v>104</v>
      </c>
      <c r="F74" s="237"/>
      <c r="G74" s="238" t="s">
        <v>105</v>
      </c>
      <c r="H74" s="260">
        <v>1832</v>
      </c>
      <c r="I74" s="240" t="s">
        <v>106</v>
      </c>
      <c r="J74" s="241"/>
      <c r="K74" s="241"/>
    </row>
    <row r="75" spans="2:11" ht="28">
      <c r="B75" s="315"/>
      <c r="C75" s="235">
        <v>7</v>
      </c>
      <c r="D75" s="236" t="s">
        <v>25</v>
      </c>
      <c r="E75" s="237" t="s">
        <v>104</v>
      </c>
      <c r="F75" s="237"/>
      <c r="G75" s="238" t="s">
        <v>105</v>
      </c>
      <c r="H75" s="260">
        <v>0</v>
      </c>
      <c r="I75" s="240" t="s">
        <v>106</v>
      </c>
      <c r="J75" s="241"/>
      <c r="K75" s="241"/>
    </row>
    <row r="76" spans="2:11">
      <c r="B76" s="315"/>
      <c r="C76" s="235">
        <v>8</v>
      </c>
      <c r="D76" s="236" t="s">
        <v>107</v>
      </c>
      <c r="E76" s="237" t="s">
        <v>72</v>
      </c>
      <c r="F76" s="261"/>
      <c r="G76" s="238" t="s">
        <v>108</v>
      </c>
      <c r="H76" s="260">
        <f>SUM(H69:H75)</f>
        <v>24402.36</v>
      </c>
      <c r="I76" s="240" t="s">
        <v>106</v>
      </c>
      <c r="J76" s="238"/>
      <c r="K76" s="241"/>
    </row>
    <row r="77" spans="2:11" ht="28">
      <c r="B77" s="315"/>
      <c r="C77" s="235">
        <v>9</v>
      </c>
      <c r="D77" s="236" t="s">
        <v>109</v>
      </c>
      <c r="E77" s="237" t="s">
        <v>72</v>
      </c>
      <c r="F77" s="261"/>
      <c r="G77" s="238" t="s">
        <v>110</v>
      </c>
      <c r="H77" s="260">
        <f>H76-H84</f>
        <v>24402.36</v>
      </c>
      <c r="I77" s="240" t="s">
        <v>106</v>
      </c>
      <c r="J77" s="238"/>
      <c r="K77" s="241"/>
    </row>
    <row r="78" spans="2:11" ht="28">
      <c r="B78" s="315"/>
      <c r="C78" s="235">
        <v>10</v>
      </c>
      <c r="D78" s="236" t="s">
        <v>27</v>
      </c>
      <c r="E78" s="237" t="s">
        <v>72</v>
      </c>
      <c r="F78" s="261"/>
      <c r="G78" s="238" t="s">
        <v>111</v>
      </c>
      <c r="H78" s="260">
        <f ca="1">'表1-资金筹措及还本付息表'!D17</f>
        <v>350.13350338780384</v>
      </c>
      <c r="I78" s="240" t="s">
        <v>106</v>
      </c>
      <c r="J78" s="238"/>
      <c r="K78" s="241"/>
    </row>
    <row r="79" spans="2:11" ht="28">
      <c r="B79" s="315"/>
      <c r="C79" s="235">
        <v>11</v>
      </c>
      <c r="D79" s="236" t="s">
        <v>112</v>
      </c>
      <c r="E79" s="237" t="s">
        <v>72</v>
      </c>
      <c r="F79" s="261"/>
      <c r="G79" s="238" t="s">
        <v>113</v>
      </c>
      <c r="H79" s="260">
        <f ca="1">H76+H78</f>
        <v>24752.493503387803</v>
      </c>
      <c r="I79" s="240" t="s">
        <v>106</v>
      </c>
      <c r="J79" s="238"/>
      <c r="K79" s="241"/>
    </row>
    <row r="80" spans="2:11" ht="42">
      <c r="B80" s="315"/>
      <c r="C80" s="235">
        <v>12</v>
      </c>
      <c r="D80" s="236" t="s">
        <v>114</v>
      </c>
      <c r="E80" s="237" t="s">
        <v>72</v>
      </c>
      <c r="F80" s="261"/>
      <c r="G80" s="238" t="s">
        <v>115</v>
      </c>
      <c r="H80" s="260">
        <f ca="1">H77+H78</f>
        <v>24752.493503387803</v>
      </c>
      <c r="I80" s="240" t="s">
        <v>106</v>
      </c>
      <c r="J80" s="238"/>
      <c r="K80" s="241"/>
    </row>
    <row r="81" spans="2:11">
      <c r="B81" s="315"/>
      <c r="C81" s="235">
        <v>13</v>
      </c>
      <c r="D81" s="236" t="s">
        <v>29</v>
      </c>
      <c r="E81" s="237" t="s">
        <v>116</v>
      </c>
      <c r="F81" s="261"/>
      <c r="G81" s="241" t="s">
        <v>117</v>
      </c>
      <c r="H81" s="260">
        <f>H82*H13*1000/10000</f>
        <v>150</v>
      </c>
      <c r="I81" s="240" t="s">
        <v>106</v>
      </c>
      <c r="J81" s="238" t="s">
        <v>118</v>
      </c>
      <c r="K81" s="241"/>
    </row>
    <row r="82" spans="2:11">
      <c r="B82" s="315"/>
      <c r="C82" s="235"/>
      <c r="D82" s="243" t="s">
        <v>119</v>
      </c>
      <c r="E82" s="237" t="s">
        <v>44</v>
      </c>
      <c r="F82" s="237"/>
      <c r="G82" s="241" t="s">
        <v>120</v>
      </c>
      <c r="H82" s="260">
        <v>30</v>
      </c>
      <c r="I82" s="240" t="s">
        <v>121</v>
      </c>
      <c r="J82" s="238"/>
      <c r="K82" s="241"/>
    </row>
    <row r="83" spans="2:11" ht="28">
      <c r="B83" s="315"/>
      <c r="C83" s="235">
        <v>14</v>
      </c>
      <c r="D83" s="236" t="s">
        <v>30</v>
      </c>
      <c r="E83" s="237" t="s">
        <v>72</v>
      </c>
      <c r="F83" s="261"/>
      <c r="G83" s="238"/>
      <c r="H83" s="260">
        <f>可抵扣进项税!E14</f>
        <v>2317.7152865880998</v>
      </c>
      <c r="I83" s="240" t="s">
        <v>106</v>
      </c>
      <c r="J83" s="238" t="s">
        <v>122</v>
      </c>
      <c r="K83" s="241"/>
    </row>
    <row r="84" spans="2:11">
      <c r="B84" s="321"/>
      <c r="C84" s="235">
        <v>15</v>
      </c>
      <c r="D84" s="236" t="s">
        <v>123</v>
      </c>
      <c r="E84" s="237" t="s">
        <v>44</v>
      </c>
      <c r="F84" s="237"/>
      <c r="G84" s="238"/>
      <c r="H84" s="260">
        <v>0</v>
      </c>
      <c r="I84" s="240" t="s">
        <v>106</v>
      </c>
      <c r="J84" s="238"/>
      <c r="K84" s="241"/>
    </row>
    <row r="85" spans="2:11">
      <c r="B85" s="322" t="s">
        <v>124</v>
      </c>
      <c r="C85" s="235">
        <v>1</v>
      </c>
      <c r="D85" s="236" t="s">
        <v>125</v>
      </c>
      <c r="E85" s="237" t="s">
        <v>44</v>
      </c>
      <c r="F85" s="237"/>
      <c r="G85" s="238"/>
      <c r="H85" s="244">
        <v>0.2</v>
      </c>
      <c r="I85" s="240" t="s">
        <v>51</v>
      </c>
      <c r="J85" s="238" t="s">
        <v>126</v>
      </c>
      <c r="K85" s="241"/>
    </row>
    <row r="86" spans="2:11" ht="28">
      <c r="B86" s="322"/>
      <c r="C86" s="235"/>
      <c r="D86" s="263" t="s">
        <v>127</v>
      </c>
      <c r="E86" s="237" t="s">
        <v>72</v>
      </c>
      <c r="F86" s="237"/>
      <c r="G86" s="238" t="s">
        <v>128</v>
      </c>
      <c r="H86" s="260">
        <f ca="1">'表1-资金筹措及还本付息表'!D11</f>
        <v>4995.4987006775609</v>
      </c>
      <c r="I86" s="240" t="s">
        <v>106</v>
      </c>
      <c r="J86" s="238"/>
      <c r="K86" s="241"/>
    </row>
    <row r="87" spans="2:11">
      <c r="B87" s="322"/>
      <c r="C87" s="264">
        <v>2</v>
      </c>
      <c r="D87" s="236" t="s">
        <v>129</v>
      </c>
      <c r="E87" s="237" t="s">
        <v>44</v>
      </c>
      <c r="F87" s="237"/>
      <c r="G87" s="238"/>
      <c r="H87" s="239">
        <v>1</v>
      </c>
      <c r="I87" s="240" t="s">
        <v>49</v>
      </c>
      <c r="J87" s="238" t="s">
        <v>130</v>
      </c>
      <c r="K87" s="241"/>
    </row>
    <row r="88" spans="2:11" ht="27" customHeight="1">
      <c r="B88" s="322"/>
      <c r="C88" s="264">
        <v>3</v>
      </c>
      <c r="D88" s="236" t="s">
        <v>131</v>
      </c>
      <c r="E88" s="237" t="s">
        <v>44</v>
      </c>
      <c r="F88" s="237"/>
      <c r="G88" s="238"/>
      <c r="H88" s="265">
        <v>3.5999999999999997E-2</v>
      </c>
      <c r="I88" s="240" t="s">
        <v>51</v>
      </c>
      <c r="J88" s="238" t="s">
        <v>132</v>
      </c>
      <c r="K88" s="241"/>
    </row>
    <row r="89" spans="2:11" ht="28">
      <c r="B89" s="322"/>
      <c r="C89" s="264">
        <v>4</v>
      </c>
      <c r="D89" s="236" t="s">
        <v>133</v>
      </c>
      <c r="E89" s="237" t="s">
        <v>44</v>
      </c>
      <c r="F89" s="237"/>
      <c r="G89" s="238"/>
      <c r="H89" s="265">
        <v>3.5999999999999997E-2</v>
      </c>
      <c r="I89" s="240" t="s">
        <v>51</v>
      </c>
      <c r="J89" s="238" t="s">
        <v>134</v>
      </c>
      <c r="K89" s="241"/>
    </row>
    <row r="90" spans="2:11" ht="28">
      <c r="B90" s="322"/>
      <c r="C90" s="264">
        <v>5</v>
      </c>
      <c r="D90" s="236" t="s">
        <v>135</v>
      </c>
      <c r="E90" s="237" t="s">
        <v>44</v>
      </c>
      <c r="F90" s="237"/>
      <c r="G90" s="238"/>
      <c r="H90" s="265">
        <v>3.1E-2</v>
      </c>
      <c r="I90" s="240" t="s">
        <v>51</v>
      </c>
      <c r="J90" s="238" t="s">
        <v>134</v>
      </c>
      <c r="K90" s="241"/>
    </row>
    <row r="91" spans="2:11">
      <c r="B91" s="322"/>
      <c r="C91" s="264">
        <v>6</v>
      </c>
      <c r="D91" s="236" t="s">
        <v>136</v>
      </c>
      <c r="E91" s="237" t="s">
        <v>58</v>
      </c>
      <c r="F91" s="237"/>
      <c r="G91" s="238" t="s">
        <v>137</v>
      </c>
      <c r="H91" s="239"/>
      <c r="I91" s="240"/>
      <c r="J91" s="238"/>
      <c r="K91" s="241"/>
    </row>
    <row r="92" spans="2:11">
      <c r="B92" s="322"/>
      <c r="C92" s="264">
        <v>7</v>
      </c>
      <c r="D92" s="236" t="s">
        <v>138</v>
      </c>
      <c r="E92" s="237" t="s">
        <v>44</v>
      </c>
      <c r="F92" s="237"/>
      <c r="G92" s="238"/>
      <c r="H92" s="239">
        <v>15</v>
      </c>
      <c r="I92" s="240" t="s">
        <v>55</v>
      </c>
      <c r="J92" s="238" t="s">
        <v>139</v>
      </c>
      <c r="K92" s="241"/>
    </row>
    <row r="93" spans="2:11">
      <c r="B93" s="322"/>
      <c r="C93" s="264">
        <v>8</v>
      </c>
      <c r="D93" s="236" t="s">
        <v>140</v>
      </c>
      <c r="E93" s="237" t="s">
        <v>44</v>
      </c>
      <c r="F93" s="237"/>
      <c r="G93" s="238"/>
      <c r="H93" s="244">
        <v>0.3</v>
      </c>
      <c r="I93" s="240" t="s">
        <v>51</v>
      </c>
      <c r="J93" s="238"/>
      <c r="K93" s="241"/>
    </row>
    <row r="94" spans="2:11">
      <c r="B94" s="322"/>
      <c r="C94" s="264">
        <v>9</v>
      </c>
      <c r="D94" s="266" t="s">
        <v>141</v>
      </c>
      <c r="E94" s="237" t="s">
        <v>44</v>
      </c>
      <c r="F94" s="237"/>
      <c r="G94" s="238"/>
      <c r="H94" s="267">
        <f ca="1">'表1-资金筹措及还本付息表'!F11</f>
        <v>4950.4987006775609</v>
      </c>
      <c r="I94" s="237" t="s">
        <v>106</v>
      </c>
      <c r="J94" s="238"/>
      <c r="K94" s="241"/>
    </row>
    <row r="95" spans="2:11">
      <c r="B95" s="322"/>
      <c r="C95" s="264">
        <v>10</v>
      </c>
      <c r="D95" s="266" t="s">
        <v>142</v>
      </c>
      <c r="E95" s="237"/>
      <c r="F95" s="261"/>
      <c r="G95" s="251"/>
      <c r="H95" s="239"/>
      <c r="I95" s="237"/>
      <c r="J95" s="238"/>
      <c r="K95" s="241"/>
    </row>
    <row r="96" spans="2:11">
      <c r="B96" s="322"/>
      <c r="C96" s="268"/>
      <c r="D96" s="243" t="s">
        <v>143</v>
      </c>
      <c r="E96" s="237" t="s">
        <v>72</v>
      </c>
      <c r="F96" s="261"/>
      <c r="G96" s="251"/>
      <c r="H96" s="269">
        <f ca="1">H94*50%</f>
        <v>2475.2493503387805</v>
      </c>
      <c r="I96" s="237" t="s">
        <v>106</v>
      </c>
      <c r="J96" s="238" t="s">
        <v>144</v>
      </c>
      <c r="K96" s="241"/>
    </row>
    <row r="97" spans="2:11">
      <c r="B97" s="322"/>
      <c r="C97" s="268"/>
      <c r="D97" s="243" t="s">
        <v>145</v>
      </c>
      <c r="E97" s="237" t="s">
        <v>146</v>
      </c>
      <c r="F97" s="237"/>
      <c r="G97" s="251"/>
      <c r="H97" s="244">
        <v>0.1</v>
      </c>
      <c r="I97" s="237" t="s">
        <v>51</v>
      </c>
      <c r="J97" s="238" t="s">
        <v>147</v>
      </c>
      <c r="K97" s="241"/>
    </row>
    <row r="98" spans="2:11">
      <c r="B98" s="322"/>
      <c r="C98" s="268"/>
      <c r="D98" s="243" t="s">
        <v>148</v>
      </c>
      <c r="E98" s="237" t="s">
        <v>44</v>
      </c>
      <c r="F98" s="237"/>
      <c r="G98" s="251"/>
      <c r="H98" s="244">
        <v>0</v>
      </c>
      <c r="I98" s="237" t="s">
        <v>51</v>
      </c>
      <c r="J98" s="238"/>
      <c r="K98" s="241"/>
    </row>
    <row r="99" spans="2:11">
      <c r="B99" s="262"/>
      <c r="C99" s="264">
        <v>11</v>
      </c>
      <c r="D99" s="266" t="s">
        <v>149</v>
      </c>
      <c r="E99" s="237"/>
      <c r="F99" s="270"/>
      <c r="G99" s="251"/>
      <c r="H99" s="244"/>
      <c r="I99" s="237"/>
      <c r="J99" s="238"/>
      <c r="K99" s="241"/>
    </row>
    <row r="100" spans="2:11">
      <c r="B100" s="262"/>
      <c r="C100" s="268"/>
      <c r="D100" s="243" t="s">
        <v>150</v>
      </c>
      <c r="E100" s="237" t="s">
        <v>151</v>
      </c>
      <c r="F100" s="270"/>
      <c r="G100" s="251"/>
      <c r="H100" s="239">
        <v>0</v>
      </c>
      <c r="I100" s="237" t="s">
        <v>106</v>
      </c>
      <c r="J100" s="238"/>
      <c r="K100" s="241"/>
    </row>
    <row r="101" spans="2:11">
      <c r="B101" s="262"/>
      <c r="C101" s="268"/>
      <c r="D101" s="243" t="s">
        <v>152</v>
      </c>
      <c r="E101" s="237" t="s">
        <v>151</v>
      </c>
      <c r="F101" s="270"/>
      <c r="G101" s="251"/>
      <c r="H101" s="239">
        <v>0</v>
      </c>
      <c r="I101" s="237" t="s">
        <v>106</v>
      </c>
      <c r="J101" s="238"/>
      <c r="K101" s="241"/>
    </row>
    <row r="102" spans="2:11" ht="60">
      <c r="B102" s="314" t="s">
        <v>153</v>
      </c>
      <c r="C102" s="235">
        <v>1</v>
      </c>
      <c r="D102" s="236" t="s">
        <v>154</v>
      </c>
      <c r="E102" s="237"/>
      <c r="F102" s="259" t="s">
        <v>155</v>
      </c>
      <c r="G102" s="238"/>
      <c r="H102" s="239"/>
      <c r="I102" s="237"/>
      <c r="J102" s="251" t="s">
        <v>156</v>
      </c>
      <c r="K102" s="241"/>
    </row>
    <row r="103" spans="2:11">
      <c r="B103" s="315"/>
      <c r="C103" s="271">
        <v>1.1000000000000001</v>
      </c>
      <c r="D103" s="243" t="s">
        <v>157</v>
      </c>
      <c r="E103" s="237"/>
      <c r="F103" s="237"/>
      <c r="G103" s="238"/>
      <c r="H103" s="239"/>
      <c r="I103" s="237"/>
      <c r="J103" s="251"/>
      <c r="K103" s="241"/>
    </row>
    <row r="104" spans="2:11">
      <c r="B104" s="315"/>
      <c r="C104" s="242"/>
      <c r="D104" s="272" t="s">
        <v>158</v>
      </c>
      <c r="E104" s="237" t="s">
        <v>44</v>
      </c>
      <c r="F104" s="237"/>
      <c r="G104" s="238"/>
      <c r="H104" s="239">
        <v>1.8</v>
      </c>
      <c r="I104" s="237" t="s">
        <v>159</v>
      </c>
      <c r="J104" s="251"/>
      <c r="K104" s="241"/>
    </row>
    <row r="105" spans="2:11">
      <c r="B105" s="315"/>
      <c r="C105" s="242"/>
      <c r="D105" s="272" t="s">
        <v>160</v>
      </c>
      <c r="E105" s="237" t="s">
        <v>44</v>
      </c>
      <c r="F105" s="237"/>
      <c r="G105" s="238"/>
      <c r="H105" s="239">
        <v>1.8</v>
      </c>
      <c r="I105" s="237" t="s">
        <v>159</v>
      </c>
      <c r="J105" s="251"/>
      <c r="K105" s="241"/>
    </row>
    <row r="106" spans="2:11">
      <c r="B106" s="315"/>
      <c r="C106" s="242"/>
      <c r="D106" s="272" t="s">
        <v>161</v>
      </c>
      <c r="E106" s="237" t="s">
        <v>44</v>
      </c>
      <c r="F106" s="237"/>
      <c r="G106" s="238"/>
      <c r="H106" s="239">
        <v>1.8</v>
      </c>
      <c r="I106" s="237" t="s">
        <v>159</v>
      </c>
      <c r="J106" s="251"/>
      <c r="K106" s="241"/>
    </row>
    <row r="107" spans="2:11">
      <c r="B107" s="315"/>
      <c r="C107" s="242"/>
      <c r="D107" s="272" t="s">
        <v>162</v>
      </c>
      <c r="E107" s="237" t="s">
        <v>44</v>
      </c>
      <c r="F107" s="237"/>
      <c r="G107" s="238"/>
      <c r="H107" s="239">
        <v>1.8</v>
      </c>
      <c r="I107" s="237" t="s">
        <v>159</v>
      </c>
      <c r="J107" s="251"/>
      <c r="K107" s="241"/>
    </row>
    <row r="108" spans="2:11">
      <c r="B108" s="315"/>
      <c r="C108" s="242">
        <v>1.2</v>
      </c>
      <c r="D108" s="243" t="s">
        <v>163</v>
      </c>
      <c r="E108" s="237" t="s">
        <v>58</v>
      </c>
      <c r="F108" s="237"/>
      <c r="G108" s="238" t="s">
        <v>164</v>
      </c>
      <c r="H108" s="244">
        <v>0</v>
      </c>
      <c r="I108" s="237" t="s">
        <v>51</v>
      </c>
      <c r="J108" s="251"/>
      <c r="K108" s="241"/>
    </row>
    <row r="109" spans="2:11" ht="70">
      <c r="B109" s="315"/>
      <c r="C109" s="235">
        <v>2</v>
      </c>
      <c r="D109" s="266" t="s">
        <v>165</v>
      </c>
      <c r="E109" s="237"/>
      <c r="F109" s="259" t="s">
        <v>166</v>
      </c>
      <c r="G109" s="238"/>
      <c r="H109" s="239"/>
      <c r="I109" s="237"/>
      <c r="J109" s="238" t="s">
        <v>167</v>
      </c>
      <c r="K109" s="241"/>
    </row>
    <row r="110" spans="2:11">
      <c r="B110" s="315"/>
      <c r="C110" s="271">
        <v>2.1</v>
      </c>
      <c r="D110" s="243" t="s">
        <v>168</v>
      </c>
      <c r="E110" s="237"/>
      <c r="F110" s="259"/>
      <c r="G110" s="238"/>
      <c r="H110" s="239"/>
      <c r="I110" s="237"/>
      <c r="J110" s="238"/>
      <c r="K110" s="241"/>
    </row>
    <row r="111" spans="2:11">
      <c r="B111" s="315"/>
      <c r="C111" s="271">
        <v>2.2000000000000002</v>
      </c>
      <c r="D111" s="243" t="s">
        <v>169</v>
      </c>
      <c r="E111" s="237"/>
      <c r="F111" s="237"/>
      <c r="G111" s="238"/>
      <c r="H111" s="239"/>
      <c r="I111" s="237"/>
      <c r="J111" s="238"/>
      <c r="K111" s="241"/>
    </row>
    <row r="112" spans="2:11">
      <c r="B112" s="315"/>
      <c r="C112" s="242"/>
      <c r="D112" s="272" t="s">
        <v>158</v>
      </c>
      <c r="E112" s="237" t="s">
        <v>44</v>
      </c>
      <c r="F112" s="237"/>
      <c r="G112" s="238"/>
      <c r="H112" s="265">
        <v>5.0000000000000001E-3</v>
      </c>
      <c r="I112" s="237" t="s">
        <v>51</v>
      </c>
      <c r="J112" s="238"/>
      <c r="K112" s="241"/>
    </row>
    <row r="113" spans="2:11">
      <c r="B113" s="315"/>
      <c r="C113" s="242"/>
      <c r="D113" s="272" t="s">
        <v>160</v>
      </c>
      <c r="E113" s="237" t="s">
        <v>44</v>
      </c>
      <c r="F113" s="237"/>
      <c r="G113" s="238"/>
      <c r="H113" s="265">
        <v>0.01</v>
      </c>
      <c r="I113" s="237" t="s">
        <v>51</v>
      </c>
      <c r="J113" s="238"/>
      <c r="K113" s="241"/>
    </row>
    <row r="114" spans="2:11">
      <c r="B114" s="315"/>
      <c r="C114" s="242"/>
      <c r="D114" s="272" t="s">
        <v>161</v>
      </c>
      <c r="E114" s="237" t="s">
        <v>44</v>
      </c>
      <c r="F114" s="237"/>
      <c r="G114" s="238"/>
      <c r="H114" s="265">
        <v>1.4999999999999999E-2</v>
      </c>
      <c r="I114" s="237" t="s">
        <v>51</v>
      </c>
      <c r="J114" s="238"/>
      <c r="K114" s="241"/>
    </row>
    <row r="115" spans="2:11">
      <c r="B115" s="315"/>
      <c r="C115" s="242"/>
      <c r="D115" s="272" t="s">
        <v>162</v>
      </c>
      <c r="E115" s="237" t="s">
        <v>44</v>
      </c>
      <c r="F115" s="237"/>
      <c r="G115" s="238"/>
      <c r="H115" s="265">
        <v>0.02</v>
      </c>
      <c r="I115" s="237" t="s">
        <v>51</v>
      </c>
      <c r="J115" s="238"/>
      <c r="K115" s="241"/>
    </row>
    <row r="116" spans="2:11">
      <c r="B116" s="315"/>
      <c r="C116" s="271">
        <v>2.2999999999999998</v>
      </c>
      <c r="D116" s="243" t="s">
        <v>170</v>
      </c>
      <c r="E116" s="237" t="s">
        <v>58</v>
      </c>
      <c r="F116" s="237"/>
      <c r="G116" s="238" t="s">
        <v>164</v>
      </c>
      <c r="H116" s="244">
        <v>0</v>
      </c>
      <c r="I116" s="237" t="s">
        <v>51</v>
      </c>
      <c r="J116" s="238"/>
      <c r="K116" s="241"/>
    </row>
    <row r="117" spans="2:11" ht="33" customHeight="1">
      <c r="B117" s="315"/>
      <c r="C117" s="235">
        <v>3</v>
      </c>
      <c r="D117" s="266" t="s">
        <v>171</v>
      </c>
      <c r="E117" s="237"/>
      <c r="F117" s="259" t="s">
        <v>172</v>
      </c>
      <c r="G117" s="238"/>
      <c r="H117" s="239"/>
      <c r="I117" s="237"/>
      <c r="J117" s="238" t="s">
        <v>173</v>
      </c>
      <c r="K117" s="241"/>
    </row>
    <row r="118" spans="2:11" ht="25.5" customHeight="1">
      <c r="B118" s="315"/>
      <c r="C118" s="271">
        <v>3.1</v>
      </c>
      <c r="D118" s="243" t="s">
        <v>168</v>
      </c>
      <c r="E118" s="237"/>
      <c r="F118" s="270"/>
      <c r="G118" s="273"/>
      <c r="H118" s="239"/>
      <c r="I118" s="237"/>
      <c r="J118" s="273"/>
      <c r="K118" s="241"/>
    </row>
    <row r="119" spans="2:11">
      <c r="B119" s="315"/>
      <c r="C119" s="271">
        <v>3.2</v>
      </c>
      <c r="D119" s="243" t="s">
        <v>169</v>
      </c>
      <c r="E119" s="237" t="s">
        <v>174</v>
      </c>
      <c r="F119" s="270"/>
      <c r="G119" s="273"/>
      <c r="H119" s="239"/>
      <c r="I119" s="237"/>
      <c r="J119" s="273"/>
      <c r="K119" s="241"/>
    </row>
    <row r="120" spans="2:11">
      <c r="B120" s="315"/>
      <c r="C120" s="274"/>
      <c r="D120" s="272" t="s">
        <v>158</v>
      </c>
      <c r="E120" s="237" t="s">
        <v>44</v>
      </c>
      <c r="F120" s="270"/>
      <c r="G120" s="273"/>
      <c r="H120" s="275">
        <v>2.5000000000000001E-3</v>
      </c>
      <c r="I120" s="237" t="s">
        <v>51</v>
      </c>
      <c r="J120" s="273"/>
      <c r="K120" s="241"/>
    </row>
    <row r="121" spans="2:11">
      <c r="B121" s="315"/>
      <c r="C121" s="274"/>
      <c r="D121" s="272" t="s">
        <v>160</v>
      </c>
      <c r="E121" s="237" t="s">
        <v>44</v>
      </c>
      <c r="F121" s="270"/>
      <c r="G121" s="273"/>
      <c r="H121" s="275">
        <v>2.5000000000000001E-3</v>
      </c>
      <c r="I121" s="237" t="s">
        <v>51</v>
      </c>
      <c r="J121" s="273"/>
      <c r="K121" s="241"/>
    </row>
    <row r="122" spans="2:11">
      <c r="B122" s="315"/>
      <c r="C122" s="274"/>
      <c r="D122" s="272" t="s">
        <v>161</v>
      </c>
      <c r="E122" s="237" t="s">
        <v>44</v>
      </c>
      <c r="F122" s="270"/>
      <c r="G122" s="273"/>
      <c r="H122" s="275">
        <v>2.5000000000000001E-3</v>
      </c>
      <c r="I122" s="237" t="s">
        <v>51</v>
      </c>
      <c r="J122" s="273"/>
      <c r="K122" s="241"/>
    </row>
    <row r="123" spans="2:11">
      <c r="B123" s="315"/>
      <c r="C123" s="274"/>
      <c r="D123" s="272" t="s">
        <v>162</v>
      </c>
      <c r="E123" s="237" t="s">
        <v>44</v>
      </c>
      <c r="F123" s="270"/>
      <c r="G123" s="273"/>
      <c r="H123" s="275">
        <v>2.5000000000000001E-3</v>
      </c>
      <c r="I123" s="237" t="s">
        <v>51</v>
      </c>
      <c r="J123" s="273"/>
      <c r="K123" s="241"/>
    </row>
    <row r="124" spans="2:11">
      <c r="B124" s="315"/>
      <c r="C124" s="274">
        <v>3.2</v>
      </c>
      <c r="D124" s="243" t="s">
        <v>175</v>
      </c>
      <c r="E124" s="237" t="s">
        <v>58</v>
      </c>
      <c r="F124" s="237"/>
      <c r="G124" s="238" t="s">
        <v>164</v>
      </c>
      <c r="H124" s="244">
        <v>0</v>
      </c>
      <c r="I124" s="237" t="s">
        <v>51</v>
      </c>
      <c r="J124" s="273"/>
      <c r="K124" s="241"/>
    </row>
    <row r="125" spans="2:11" ht="67.25" customHeight="1">
      <c r="B125" s="315"/>
      <c r="C125" s="276">
        <v>4</v>
      </c>
      <c r="D125" s="266" t="s">
        <v>176</v>
      </c>
      <c r="E125" s="237"/>
      <c r="F125" s="259" t="s">
        <v>177</v>
      </c>
      <c r="G125" s="273"/>
      <c r="H125" s="275"/>
      <c r="I125" s="237"/>
      <c r="J125" s="273"/>
      <c r="K125" s="241"/>
    </row>
    <row r="126" spans="2:11" ht="79.5" customHeight="1">
      <c r="B126" s="315"/>
      <c r="C126" s="271">
        <v>4.0999999999999996</v>
      </c>
      <c r="D126" s="277" t="s">
        <v>178</v>
      </c>
      <c r="E126" s="237"/>
      <c r="F126" s="237"/>
      <c r="G126" s="238"/>
      <c r="H126" s="239"/>
      <c r="I126" s="237"/>
      <c r="J126" s="318" t="s">
        <v>179</v>
      </c>
      <c r="K126" s="241"/>
    </row>
    <row r="127" spans="2:11" ht="21.5" customHeight="1">
      <c r="B127" s="315"/>
      <c r="C127" s="271"/>
      <c r="D127" s="278" t="s">
        <v>180</v>
      </c>
      <c r="E127" s="237" t="s">
        <v>44</v>
      </c>
      <c r="F127" s="237"/>
      <c r="G127" s="238"/>
      <c r="H127" s="239">
        <v>7</v>
      </c>
      <c r="I127" s="237" t="s">
        <v>181</v>
      </c>
      <c r="J127" s="319"/>
      <c r="K127" s="241"/>
    </row>
    <row r="128" spans="2:11" ht="21.5" hidden="1" customHeight="1">
      <c r="B128" s="315"/>
      <c r="C128" s="271"/>
      <c r="D128" s="278" t="s">
        <v>182</v>
      </c>
      <c r="E128" s="237" t="s">
        <v>44</v>
      </c>
      <c r="F128" s="237"/>
      <c r="G128" s="238"/>
      <c r="H128" s="239">
        <v>0</v>
      </c>
      <c r="I128" s="237" t="s">
        <v>181</v>
      </c>
      <c r="J128" s="319"/>
      <c r="K128" s="241"/>
    </row>
    <row r="129" spans="2:11" ht="23" customHeight="1">
      <c r="B129" s="315"/>
      <c r="C129" s="271">
        <v>4.2</v>
      </c>
      <c r="D129" s="277" t="s">
        <v>183</v>
      </c>
      <c r="E129" s="237"/>
      <c r="F129" s="237"/>
      <c r="G129" s="238"/>
      <c r="H129" s="239"/>
      <c r="I129" s="237" t="s">
        <v>184</v>
      </c>
      <c r="J129" s="319"/>
      <c r="K129" s="241"/>
    </row>
    <row r="130" spans="2:11" ht="23" customHeight="1">
      <c r="B130" s="315"/>
      <c r="C130" s="271"/>
      <c r="D130" s="278" t="s">
        <v>185</v>
      </c>
      <c r="E130" s="237" t="s">
        <v>44</v>
      </c>
      <c r="F130" s="237"/>
      <c r="G130" s="238"/>
      <c r="H130" s="239">
        <v>12</v>
      </c>
      <c r="I130" s="237" t="s">
        <v>184</v>
      </c>
      <c r="J130" s="319"/>
      <c r="K130" s="241"/>
    </row>
    <row r="131" spans="2:11" ht="23" hidden="1" customHeight="1">
      <c r="B131" s="315"/>
      <c r="C131" s="271"/>
      <c r="D131" s="278" t="s">
        <v>186</v>
      </c>
      <c r="E131" s="237" t="s">
        <v>44</v>
      </c>
      <c r="F131" s="237"/>
      <c r="G131" s="238"/>
      <c r="H131" s="239">
        <v>0</v>
      </c>
      <c r="I131" s="237" t="s">
        <v>184</v>
      </c>
      <c r="J131" s="319"/>
      <c r="K131" s="241"/>
    </row>
    <row r="132" spans="2:11" ht="23" customHeight="1">
      <c r="B132" s="315"/>
      <c r="C132" s="271">
        <v>4.3</v>
      </c>
      <c r="D132" s="277" t="s">
        <v>187</v>
      </c>
      <c r="E132" s="237" t="s">
        <v>44</v>
      </c>
      <c r="F132" s="237"/>
      <c r="G132" s="238"/>
      <c r="H132" s="244">
        <v>0.6</v>
      </c>
      <c r="I132" s="237" t="s">
        <v>51</v>
      </c>
      <c r="J132" s="320"/>
      <c r="K132" s="241"/>
    </row>
    <row r="133" spans="2:11" ht="23" customHeight="1">
      <c r="B133" s="315"/>
      <c r="C133" s="271">
        <v>4.4000000000000004</v>
      </c>
      <c r="D133" s="277" t="s">
        <v>188</v>
      </c>
      <c r="E133" s="237" t="s">
        <v>189</v>
      </c>
      <c r="F133" s="280"/>
      <c r="G133" s="281"/>
      <c r="H133" s="244">
        <v>0</v>
      </c>
      <c r="I133" s="237" t="s">
        <v>51</v>
      </c>
      <c r="J133" s="279"/>
      <c r="K133" s="241"/>
    </row>
    <row r="134" spans="2:11" ht="23" customHeight="1">
      <c r="B134" s="315"/>
      <c r="C134" s="271">
        <v>4.5</v>
      </c>
      <c r="D134" s="243" t="s">
        <v>175</v>
      </c>
      <c r="E134" s="237" t="s">
        <v>58</v>
      </c>
      <c r="F134" s="237"/>
      <c r="G134" s="238" t="s">
        <v>164</v>
      </c>
      <c r="H134" s="244">
        <v>0</v>
      </c>
      <c r="I134" s="237" t="s">
        <v>51</v>
      </c>
      <c r="J134" s="279"/>
      <c r="K134" s="241"/>
    </row>
    <row r="135" spans="2:11" ht="57" customHeight="1">
      <c r="B135" s="315"/>
      <c r="C135" s="235">
        <v>5</v>
      </c>
      <c r="D135" s="236" t="s">
        <v>190</v>
      </c>
      <c r="E135" s="237" t="s">
        <v>44</v>
      </c>
      <c r="F135" s="259" t="s">
        <v>155</v>
      </c>
      <c r="G135" s="238"/>
      <c r="H135" s="239">
        <v>1.5</v>
      </c>
      <c r="I135" s="240" t="s">
        <v>191</v>
      </c>
      <c r="J135" s="238" t="s">
        <v>192</v>
      </c>
      <c r="K135" s="241"/>
    </row>
    <row r="136" spans="2:11">
      <c r="B136" s="315"/>
      <c r="C136" s="235"/>
      <c r="D136" s="243" t="s">
        <v>175</v>
      </c>
      <c r="E136" s="237" t="s">
        <v>58</v>
      </c>
      <c r="F136" s="237"/>
      <c r="G136" s="238" t="s">
        <v>164</v>
      </c>
      <c r="H136" s="244">
        <v>0</v>
      </c>
      <c r="I136" s="237" t="s">
        <v>51</v>
      </c>
      <c r="J136" s="238"/>
      <c r="K136" s="241"/>
    </row>
    <row r="137" spans="2:11" ht="75" customHeight="1">
      <c r="B137" s="315"/>
      <c r="C137" s="235">
        <v>6</v>
      </c>
      <c r="D137" s="236" t="s">
        <v>193</v>
      </c>
      <c r="E137" s="237"/>
      <c r="F137" s="259" t="s">
        <v>155</v>
      </c>
      <c r="G137" s="238"/>
      <c r="H137" s="239"/>
      <c r="I137" s="240"/>
      <c r="J137" s="241"/>
      <c r="K137" s="241"/>
    </row>
    <row r="138" spans="2:11" ht="26.5" customHeight="1">
      <c r="B138" s="315"/>
      <c r="C138" s="242">
        <v>6.1</v>
      </c>
      <c r="D138" s="243" t="s">
        <v>194</v>
      </c>
      <c r="E138" s="237" t="s">
        <v>44</v>
      </c>
      <c r="F138" s="237"/>
      <c r="G138" s="238"/>
      <c r="H138" s="239">
        <v>0</v>
      </c>
      <c r="I138" s="240" t="s">
        <v>195</v>
      </c>
      <c r="J138" s="241"/>
      <c r="K138" s="241"/>
    </row>
    <row r="139" spans="2:11" ht="26.5" customHeight="1">
      <c r="B139" s="315"/>
      <c r="C139" s="242">
        <v>6.2</v>
      </c>
      <c r="D139" s="243" t="s">
        <v>196</v>
      </c>
      <c r="E139" s="237" t="s">
        <v>44</v>
      </c>
      <c r="F139" s="237"/>
      <c r="G139" s="238"/>
      <c r="H139" s="239">
        <v>0</v>
      </c>
      <c r="I139" s="240" t="s">
        <v>197</v>
      </c>
      <c r="J139" s="241"/>
      <c r="K139" s="241"/>
    </row>
    <row r="140" spans="2:11" ht="26.5" customHeight="1">
      <c r="B140" s="315"/>
      <c r="C140" s="242">
        <v>6.4</v>
      </c>
      <c r="D140" s="243" t="s">
        <v>175</v>
      </c>
      <c r="E140" s="237" t="s">
        <v>58</v>
      </c>
      <c r="F140" s="237"/>
      <c r="G140" s="238" t="s">
        <v>164</v>
      </c>
      <c r="H140" s="244">
        <v>0</v>
      </c>
      <c r="I140" s="237" t="s">
        <v>51</v>
      </c>
      <c r="J140" s="241"/>
      <c r="K140" s="241"/>
    </row>
    <row r="141" spans="2:11" ht="51" customHeight="1">
      <c r="B141" s="315"/>
      <c r="C141" s="242">
        <v>7</v>
      </c>
      <c r="D141" s="236" t="s">
        <v>198</v>
      </c>
      <c r="E141" s="237"/>
      <c r="F141" s="259" t="s">
        <v>155</v>
      </c>
      <c r="G141" s="238"/>
      <c r="H141" s="244"/>
      <c r="I141" s="237"/>
      <c r="J141" s="241"/>
      <c r="K141" s="241"/>
    </row>
    <row r="142" spans="2:11" ht="57.65" customHeight="1">
      <c r="B142" s="315"/>
      <c r="C142" s="271">
        <v>7.1</v>
      </c>
      <c r="D142" s="243" t="s">
        <v>169</v>
      </c>
      <c r="E142" s="237" t="s">
        <v>44</v>
      </c>
      <c r="F142" s="237"/>
      <c r="G142" s="238"/>
      <c r="H142" s="244">
        <v>0</v>
      </c>
      <c r="I142" s="240" t="s">
        <v>51</v>
      </c>
      <c r="J142" s="241" t="s">
        <v>199</v>
      </c>
      <c r="K142" s="241"/>
    </row>
    <row r="143" spans="2:11" ht="57.65" customHeight="1">
      <c r="B143" s="315"/>
      <c r="C143" s="271">
        <v>7.2</v>
      </c>
      <c r="D143" s="243" t="s">
        <v>168</v>
      </c>
      <c r="E143" s="237" t="s">
        <v>44</v>
      </c>
      <c r="F143" s="237"/>
      <c r="G143" s="238"/>
      <c r="H143" s="282">
        <f ca="1">参数输入表!H80</f>
        <v>24752.493503387803</v>
      </c>
      <c r="I143" s="240" t="s">
        <v>106</v>
      </c>
      <c r="J143" s="241"/>
      <c r="K143" s="241"/>
    </row>
    <row r="144" spans="2:11" ht="29.5" customHeight="1">
      <c r="B144" s="315"/>
      <c r="C144" s="271">
        <v>7.3</v>
      </c>
      <c r="D144" s="243" t="s">
        <v>175</v>
      </c>
      <c r="E144" s="237" t="s">
        <v>58</v>
      </c>
      <c r="F144" s="237"/>
      <c r="G144" s="238" t="s">
        <v>164</v>
      </c>
      <c r="H144" s="244">
        <v>0</v>
      </c>
      <c r="I144" s="237" t="s">
        <v>51</v>
      </c>
      <c r="J144" s="241"/>
      <c r="K144" s="241"/>
    </row>
    <row r="145" spans="2:11" ht="59.5" customHeight="1">
      <c r="B145" s="315"/>
      <c r="C145" s="235">
        <v>8</v>
      </c>
      <c r="D145" s="236" t="s">
        <v>200</v>
      </c>
      <c r="E145" s="237" t="s">
        <v>44</v>
      </c>
      <c r="F145" s="259" t="s">
        <v>155</v>
      </c>
      <c r="G145" s="238"/>
      <c r="H145" s="239">
        <v>0</v>
      </c>
      <c r="I145" s="240" t="s">
        <v>201</v>
      </c>
      <c r="J145" s="238"/>
      <c r="K145" s="241"/>
    </row>
    <row r="146" spans="2:11" ht="27.5" customHeight="1">
      <c r="B146" s="315"/>
      <c r="C146" s="271">
        <v>8.1</v>
      </c>
      <c r="D146" s="243" t="s">
        <v>175</v>
      </c>
      <c r="E146" s="237" t="s">
        <v>58</v>
      </c>
      <c r="F146" s="237"/>
      <c r="G146" s="238" t="s">
        <v>164</v>
      </c>
      <c r="H146" s="244">
        <v>0</v>
      </c>
      <c r="I146" s="237" t="s">
        <v>51</v>
      </c>
      <c r="J146" s="238"/>
      <c r="K146" s="241"/>
    </row>
    <row r="147" spans="2:11" ht="27.5" customHeight="1">
      <c r="B147" s="315"/>
      <c r="C147" s="235">
        <v>9</v>
      </c>
      <c r="D147" s="236" t="s">
        <v>202</v>
      </c>
      <c r="E147" s="237"/>
      <c r="F147" s="237" t="s">
        <v>203</v>
      </c>
      <c r="G147" s="238"/>
      <c r="H147" s="239"/>
      <c r="I147" s="240"/>
      <c r="J147" s="238"/>
      <c r="K147" s="241"/>
    </row>
    <row r="148" spans="2:11" ht="27.5" customHeight="1">
      <c r="B148" s="315"/>
      <c r="C148" s="271">
        <v>9.1</v>
      </c>
      <c r="D148" s="283" t="s">
        <v>204</v>
      </c>
      <c r="E148" s="237"/>
      <c r="F148" s="237"/>
      <c r="G148" s="238"/>
      <c r="H148" s="239"/>
      <c r="I148" s="240"/>
      <c r="J148" s="238"/>
      <c r="K148" s="241"/>
    </row>
    <row r="149" spans="2:11" ht="43" customHeight="1">
      <c r="B149" s="315"/>
      <c r="C149" s="271"/>
      <c r="D149" s="278" t="s">
        <v>205</v>
      </c>
      <c r="E149" s="237" t="s">
        <v>72</v>
      </c>
      <c r="F149" s="237"/>
      <c r="G149" s="238" t="s">
        <v>206</v>
      </c>
      <c r="H149" s="239"/>
      <c r="I149" s="240" t="s">
        <v>106</v>
      </c>
      <c r="J149" s="238"/>
      <c r="K149" s="241"/>
    </row>
    <row r="150" spans="2:11" ht="24.5" customHeight="1">
      <c r="B150" s="315"/>
      <c r="C150" s="284" t="s">
        <v>207</v>
      </c>
      <c r="D150" s="278" t="s">
        <v>208</v>
      </c>
      <c r="E150" s="237" t="s">
        <v>58</v>
      </c>
      <c r="F150" s="237"/>
      <c r="G150" s="285" t="s">
        <v>209</v>
      </c>
      <c r="H150" s="239"/>
      <c r="I150" s="240"/>
      <c r="J150" s="241" t="s">
        <v>210</v>
      </c>
      <c r="K150" s="241"/>
    </row>
    <row r="151" spans="2:11">
      <c r="B151" s="315"/>
      <c r="C151" s="284" t="s">
        <v>211</v>
      </c>
      <c r="D151" s="278" t="s">
        <v>212</v>
      </c>
      <c r="E151" s="237" t="s">
        <v>44</v>
      </c>
      <c r="F151" s="237"/>
      <c r="G151" s="285"/>
      <c r="H151" s="239">
        <v>15</v>
      </c>
      <c r="I151" s="240" t="s">
        <v>55</v>
      </c>
      <c r="J151" s="241"/>
      <c r="K151" s="241"/>
    </row>
    <row r="152" spans="2:11">
      <c r="B152" s="315"/>
      <c r="C152" s="284" t="s">
        <v>213</v>
      </c>
      <c r="D152" s="278" t="s">
        <v>214</v>
      </c>
      <c r="E152" s="237" t="s">
        <v>44</v>
      </c>
      <c r="F152" s="237"/>
      <c r="G152" s="285"/>
      <c r="H152" s="244">
        <v>0.05</v>
      </c>
      <c r="I152" s="237" t="s">
        <v>51</v>
      </c>
      <c r="J152" s="241"/>
      <c r="K152" s="241"/>
    </row>
    <row r="153" spans="2:11">
      <c r="B153" s="315"/>
      <c r="C153" s="271">
        <v>9.1999999999999993</v>
      </c>
      <c r="D153" s="283" t="s">
        <v>215</v>
      </c>
      <c r="E153" s="237"/>
      <c r="F153" s="237"/>
      <c r="G153" s="285"/>
      <c r="H153" s="244"/>
      <c r="I153" s="237"/>
      <c r="J153" s="241"/>
      <c r="K153" s="241"/>
    </row>
    <row r="154" spans="2:11">
      <c r="B154" s="315"/>
      <c r="C154" s="271" t="s">
        <v>216</v>
      </c>
      <c r="D154" s="278" t="s">
        <v>217</v>
      </c>
      <c r="E154" s="237" t="s">
        <v>44</v>
      </c>
      <c r="F154" s="237"/>
      <c r="G154" s="285"/>
      <c r="H154" s="239">
        <v>0</v>
      </c>
      <c r="I154" s="237" t="s">
        <v>106</v>
      </c>
      <c r="J154" s="241"/>
      <c r="K154" s="241"/>
    </row>
    <row r="155" spans="2:11">
      <c r="B155" s="315"/>
      <c r="C155" s="271" t="s">
        <v>218</v>
      </c>
      <c r="D155" s="278" t="s">
        <v>219</v>
      </c>
      <c r="E155" s="237" t="s">
        <v>58</v>
      </c>
      <c r="F155" s="237"/>
      <c r="G155" s="285" t="s">
        <v>209</v>
      </c>
      <c r="H155" s="239"/>
      <c r="I155" s="240"/>
      <c r="J155" s="241"/>
      <c r="K155" s="241"/>
    </row>
    <row r="156" spans="2:11">
      <c r="B156" s="315"/>
      <c r="C156" s="271" t="s">
        <v>220</v>
      </c>
      <c r="D156" s="278" t="s">
        <v>221</v>
      </c>
      <c r="E156" s="237" t="s">
        <v>44</v>
      </c>
      <c r="F156" s="237"/>
      <c r="G156" s="285"/>
      <c r="H156" s="239">
        <v>10</v>
      </c>
      <c r="I156" s="240" t="s">
        <v>55</v>
      </c>
      <c r="J156" s="241"/>
      <c r="K156" s="241"/>
    </row>
    <row r="157" spans="2:11">
      <c r="B157" s="315"/>
      <c r="C157" s="271" t="s">
        <v>222</v>
      </c>
      <c r="D157" s="278" t="s">
        <v>223</v>
      </c>
      <c r="E157" s="237" t="s">
        <v>44</v>
      </c>
      <c r="F157" s="237"/>
      <c r="G157" s="285"/>
      <c r="H157" s="244">
        <v>0</v>
      </c>
      <c r="I157" s="237" t="s">
        <v>51</v>
      </c>
      <c r="J157" s="285"/>
      <c r="K157" s="241"/>
    </row>
    <row r="158" spans="2:11" ht="61.25" customHeight="1">
      <c r="B158" s="315"/>
      <c r="C158" s="235">
        <v>10</v>
      </c>
      <c r="D158" s="236" t="s">
        <v>224</v>
      </c>
      <c r="E158" s="237"/>
      <c r="F158" s="259" t="s">
        <v>155</v>
      </c>
      <c r="G158" s="285"/>
      <c r="H158" s="244"/>
      <c r="I158" s="237"/>
      <c r="J158" s="285" t="s">
        <v>225</v>
      </c>
      <c r="K158" s="241"/>
    </row>
    <row r="159" spans="2:11">
      <c r="B159" s="315"/>
      <c r="C159" s="271">
        <v>10.1</v>
      </c>
      <c r="D159" s="278" t="s">
        <v>226</v>
      </c>
      <c r="E159" s="237"/>
      <c r="F159" s="261"/>
      <c r="G159" s="285"/>
      <c r="H159" s="239"/>
      <c r="I159" s="237"/>
      <c r="J159" s="285"/>
      <c r="K159" s="241"/>
    </row>
    <row r="160" spans="2:11">
      <c r="B160" s="315"/>
      <c r="C160" s="271"/>
      <c r="D160" s="286" t="s">
        <v>78</v>
      </c>
      <c r="E160" s="237" t="s">
        <v>44</v>
      </c>
      <c r="F160" s="237"/>
      <c r="G160" s="285"/>
      <c r="H160" s="239">
        <v>0</v>
      </c>
      <c r="I160" s="237" t="s">
        <v>106</v>
      </c>
      <c r="J160" s="285"/>
      <c r="K160" s="241"/>
    </row>
    <row r="161" spans="2:11">
      <c r="B161" s="315"/>
      <c r="C161" s="271"/>
      <c r="D161" s="286" t="s">
        <v>79</v>
      </c>
      <c r="E161" s="237" t="s">
        <v>44</v>
      </c>
      <c r="F161" s="237"/>
      <c r="G161" s="285"/>
      <c r="H161" s="239"/>
      <c r="I161" s="237" t="s">
        <v>106</v>
      </c>
      <c r="J161" s="285"/>
      <c r="K161" s="241"/>
    </row>
    <row r="162" spans="2:11">
      <c r="B162" s="315"/>
      <c r="C162" s="271"/>
      <c r="D162" s="286" t="s">
        <v>80</v>
      </c>
      <c r="E162" s="237" t="s">
        <v>44</v>
      </c>
      <c r="F162" s="237"/>
      <c r="G162" s="285"/>
      <c r="H162" s="239"/>
      <c r="I162" s="237" t="s">
        <v>106</v>
      </c>
      <c r="J162" s="285"/>
      <c r="K162" s="241"/>
    </row>
    <row r="163" spans="2:11">
      <c r="B163" s="315"/>
      <c r="C163" s="271"/>
      <c r="D163" s="286" t="s">
        <v>81</v>
      </c>
      <c r="E163" s="237" t="s">
        <v>44</v>
      </c>
      <c r="F163" s="237"/>
      <c r="G163" s="285"/>
      <c r="H163" s="239"/>
      <c r="I163" s="237" t="s">
        <v>106</v>
      </c>
      <c r="J163" s="285"/>
      <c r="K163" s="241"/>
    </row>
    <row r="164" spans="2:11">
      <c r="B164" s="315"/>
      <c r="C164" s="271"/>
      <c r="D164" s="286" t="s">
        <v>82</v>
      </c>
      <c r="E164" s="237" t="s">
        <v>44</v>
      </c>
      <c r="F164" s="237"/>
      <c r="G164" s="285"/>
      <c r="H164" s="239"/>
      <c r="I164" s="237" t="s">
        <v>106</v>
      </c>
      <c r="J164" s="285"/>
      <c r="K164" s="241"/>
    </row>
    <row r="165" spans="2:11">
      <c r="B165" s="315"/>
      <c r="C165" s="271"/>
      <c r="D165" s="286" t="s">
        <v>83</v>
      </c>
      <c r="E165" s="237" t="s">
        <v>44</v>
      </c>
      <c r="F165" s="237"/>
      <c r="G165" s="285"/>
      <c r="H165" s="239">
        <v>0</v>
      </c>
      <c r="I165" s="237" t="s">
        <v>106</v>
      </c>
      <c r="J165" s="285"/>
      <c r="K165" s="241"/>
    </row>
    <row r="166" spans="2:11">
      <c r="B166" s="315"/>
      <c r="C166" s="271"/>
      <c r="D166" s="286" t="s">
        <v>84</v>
      </c>
      <c r="E166" s="237" t="s">
        <v>44</v>
      </c>
      <c r="F166" s="237"/>
      <c r="G166" s="285"/>
      <c r="H166" s="239"/>
      <c r="I166" s="237" t="s">
        <v>106</v>
      </c>
      <c r="J166" s="285"/>
      <c r="K166" s="241"/>
    </row>
    <row r="167" spans="2:11">
      <c r="B167" s="315"/>
      <c r="C167" s="271"/>
      <c r="D167" s="286" t="s">
        <v>85</v>
      </c>
      <c r="E167" s="237" t="s">
        <v>44</v>
      </c>
      <c r="F167" s="237"/>
      <c r="G167" s="285"/>
      <c r="H167" s="239"/>
      <c r="I167" s="237" t="s">
        <v>106</v>
      </c>
      <c r="J167" s="285"/>
      <c r="K167" s="241"/>
    </row>
    <row r="168" spans="2:11">
      <c r="B168" s="315"/>
      <c r="C168" s="271"/>
      <c r="D168" s="286" t="s">
        <v>86</v>
      </c>
      <c r="E168" s="237" t="s">
        <v>44</v>
      </c>
      <c r="F168" s="237"/>
      <c r="G168" s="285"/>
      <c r="H168" s="239"/>
      <c r="I168" s="237" t="s">
        <v>106</v>
      </c>
      <c r="J168" s="285"/>
      <c r="K168" s="241"/>
    </row>
    <row r="169" spans="2:11">
      <c r="B169" s="315"/>
      <c r="C169" s="271"/>
      <c r="D169" s="286" t="s">
        <v>87</v>
      </c>
      <c r="E169" s="237" t="s">
        <v>44</v>
      </c>
      <c r="F169" s="237"/>
      <c r="G169" s="285"/>
      <c r="H169" s="239"/>
      <c r="I169" s="237" t="s">
        <v>106</v>
      </c>
      <c r="J169" s="285"/>
      <c r="K169" s="241"/>
    </row>
    <row r="170" spans="2:11">
      <c r="B170" s="315"/>
      <c r="C170" s="271"/>
      <c r="D170" s="286" t="s">
        <v>88</v>
      </c>
      <c r="E170" s="237" t="s">
        <v>44</v>
      </c>
      <c r="F170" s="237"/>
      <c r="G170" s="285"/>
      <c r="H170" s="239">
        <v>0</v>
      </c>
      <c r="I170" s="237" t="s">
        <v>106</v>
      </c>
      <c r="J170" s="285"/>
      <c r="K170" s="241"/>
    </row>
    <row r="171" spans="2:11">
      <c r="B171" s="315"/>
      <c r="C171" s="271"/>
      <c r="D171" s="286" t="s">
        <v>89</v>
      </c>
      <c r="E171" s="237" t="s">
        <v>44</v>
      </c>
      <c r="F171" s="237"/>
      <c r="G171" s="285"/>
      <c r="H171" s="239"/>
      <c r="I171" s="237" t="s">
        <v>106</v>
      </c>
      <c r="J171" s="285"/>
      <c r="K171" s="241"/>
    </row>
    <row r="172" spans="2:11">
      <c r="B172" s="315"/>
      <c r="C172" s="271"/>
      <c r="D172" s="286" t="s">
        <v>90</v>
      </c>
      <c r="E172" s="237" t="s">
        <v>44</v>
      </c>
      <c r="F172" s="237"/>
      <c r="G172" s="285"/>
      <c r="H172" s="239"/>
      <c r="I172" s="237" t="s">
        <v>106</v>
      </c>
      <c r="J172" s="285"/>
      <c r="K172" s="241"/>
    </row>
    <row r="173" spans="2:11">
      <c r="B173" s="315"/>
      <c r="C173" s="271"/>
      <c r="D173" s="286" t="s">
        <v>91</v>
      </c>
      <c r="E173" s="237" t="s">
        <v>44</v>
      </c>
      <c r="F173" s="237"/>
      <c r="G173" s="285"/>
      <c r="H173" s="239"/>
      <c r="I173" s="237" t="s">
        <v>106</v>
      </c>
      <c r="J173" s="285"/>
      <c r="K173" s="241"/>
    </row>
    <row r="174" spans="2:11">
      <c r="B174" s="315"/>
      <c r="C174" s="271"/>
      <c r="D174" s="286" t="s">
        <v>92</v>
      </c>
      <c r="E174" s="237" t="s">
        <v>44</v>
      </c>
      <c r="F174" s="237"/>
      <c r="G174" s="285"/>
      <c r="H174" s="239"/>
      <c r="I174" s="237" t="s">
        <v>106</v>
      </c>
      <c r="J174" s="285"/>
      <c r="K174" s="241"/>
    </row>
    <row r="175" spans="2:11">
      <c r="B175" s="315"/>
      <c r="C175" s="271"/>
      <c r="D175" s="286" t="s">
        <v>93</v>
      </c>
      <c r="E175" s="237" t="s">
        <v>44</v>
      </c>
      <c r="F175" s="237"/>
      <c r="G175" s="285"/>
      <c r="H175" s="239">
        <v>0</v>
      </c>
      <c r="I175" s="237" t="s">
        <v>106</v>
      </c>
      <c r="J175" s="285"/>
      <c r="K175" s="241"/>
    </row>
    <row r="176" spans="2:11">
      <c r="B176" s="315"/>
      <c r="C176" s="271"/>
      <c r="D176" s="286" t="s">
        <v>94</v>
      </c>
      <c r="E176" s="237" t="s">
        <v>44</v>
      </c>
      <c r="F176" s="237"/>
      <c r="G176" s="285"/>
      <c r="H176" s="239"/>
      <c r="I176" s="237" t="s">
        <v>106</v>
      </c>
      <c r="J176" s="285"/>
      <c r="K176" s="241"/>
    </row>
    <row r="177" spans="2:11">
      <c r="B177" s="315"/>
      <c r="C177" s="271"/>
      <c r="D177" s="286" t="s">
        <v>95</v>
      </c>
      <c r="E177" s="237" t="s">
        <v>44</v>
      </c>
      <c r="F177" s="237"/>
      <c r="G177" s="285"/>
      <c r="H177" s="239"/>
      <c r="I177" s="237" t="s">
        <v>106</v>
      </c>
      <c r="J177" s="285"/>
      <c r="K177" s="241"/>
    </row>
    <row r="178" spans="2:11">
      <c r="B178" s="315"/>
      <c r="C178" s="271"/>
      <c r="D178" s="286" t="s">
        <v>96</v>
      </c>
      <c r="E178" s="237" t="s">
        <v>44</v>
      </c>
      <c r="F178" s="237"/>
      <c r="G178" s="285"/>
      <c r="H178" s="239"/>
      <c r="I178" s="237" t="s">
        <v>106</v>
      </c>
      <c r="J178" s="285"/>
      <c r="K178" s="241"/>
    </row>
    <row r="179" spans="2:11" ht="51" customHeight="1">
      <c r="B179" s="315"/>
      <c r="C179" s="271"/>
      <c r="D179" s="286" t="s">
        <v>97</v>
      </c>
      <c r="E179" s="237" t="s">
        <v>44</v>
      </c>
      <c r="F179" s="237"/>
      <c r="G179" s="285"/>
      <c r="H179" s="239"/>
      <c r="I179" s="237" t="s">
        <v>106</v>
      </c>
      <c r="J179" s="285"/>
      <c r="K179" s="241"/>
    </row>
    <row r="180" spans="2:11">
      <c r="B180" s="315"/>
      <c r="C180" s="271">
        <v>10.199999999999999</v>
      </c>
      <c r="D180" s="278" t="s">
        <v>227</v>
      </c>
      <c r="E180" s="237" t="s">
        <v>58</v>
      </c>
      <c r="F180" s="237"/>
      <c r="G180" s="285" t="s">
        <v>228</v>
      </c>
      <c r="H180" s="244"/>
      <c r="I180" s="237"/>
      <c r="J180" s="285"/>
      <c r="K180" s="241"/>
    </row>
    <row r="181" spans="2:11">
      <c r="B181" s="315"/>
      <c r="C181" s="271">
        <v>10.3</v>
      </c>
      <c r="D181" s="278" t="s">
        <v>229</v>
      </c>
      <c r="E181" s="237" t="s">
        <v>44</v>
      </c>
      <c r="F181" s="237"/>
      <c r="G181" s="285"/>
      <c r="H181" s="239">
        <v>5</v>
      </c>
      <c r="I181" s="237" t="s">
        <v>55</v>
      </c>
      <c r="J181" s="285"/>
      <c r="K181" s="241"/>
    </row>
    <row r="182" spans="2:11">
      <c r="B182" s="234"/>
      <c r="C182" s="271">
        <v>10.4</v>
      </c>
      <c r="D182" s="278" t="s">
        <v>175</v>
      </c>
      <c r="E182" s="237" t="s">
        <v>58</v>
      </c>
      <c r="F182" s="237"/>
      <c r="G182" s="238" t="s">
        <v>164</v>
      </c>
      <c r="H182" s="244">
        <v>0.09</v>
      </c>
      <c r="I182" s="237" t="s">
        <v>51</v>
      </c>
      <c r="J182" s="285"/>
      <c r="K182" s="241"/>
    </row>
    <row r="183" spans="2:11" ht="60">
      <c r="B183" s="234"/>
      <c r="C183" s="235">
        <v>11</v>
      </c>
      <c r="D183" s="236" t="s">
        <v>230</v>
      </c>
      <c r="E183" s="237"/>
      <c r="F183" s="259" t="s">
        <v>155</v>
      </c>
      <c r="G183" s="285"/>
      <c r="H183" s="239"/>
      <c r="I183" s="237"/>
      <c r="J183" s="285" t="s">
        <v>231</v>
      </c>
      <c r="K183" s="241"/>
    </row>
    <row r="184" spans="2:11">
      <c r="B184" s="234"/>
      <c r="C184" s="271">
        <v>11.1</v>
      </c>
      <c r="D184" s="243" t="s">
        <v>232</v>
      </c>
      <c r="E184" s="237"/>
      <c r="F184" s="237"/>
      <c r="G184" s="285"/>
      <c r="H184" s="239"/>
      <c r="I184" s="237"/>
      <c r="J184" s="285"/>
      <c r="K184" s="241"/>
    </row>
    <row r="185" spans="2:11">
      <c r="B185" s="234"/>
      <c r="C185" s="271"/>
      <c r="D185" s="278" t="s">
        <v>78</v>
      </c>
      <c r="E185" s="237" t="s">
        <v>44</v>
      </c>
      <c r="F185" s="237"/>
      <c r="G185" s="285"/>
      <c r="H185" s="239">
        <v>0</v>
      </c>
      <c r="I185" s="237" t="s">
        <v>106</v>
      </c>
      <c r="J185" s="285"/>
      <c r="K185" s="241"/>
    </row>
    <row r="186" spans="2:11">
      <c r="B186" s="234"/>
      <c r="C186" s="271"/>
      <c r="D186" s="278" t="s">
        <v>79</v>
      </c>
      <c r="E186" s="237" t="s">
        <v>44</v>
      </c>
      <c r="F186" s="237"/>
      <c r="G186" s="285"/>
      <c r="H186" s="239">
        <v>0</v>
      </c>
      <c r="I186" s="237" t="s">
        <v>106</v>
      </c>
      <c r="J186" s="285"/>
      <c r="K186" s="241"/>
    </row>
    <row r="187" spans="2:11">
      <c r="B187" s="234"/>
      <c r="C187" s="271"/>
      <c r="D187" s="278" t="s">
        <v>80</v>
      </c>
      <c r="E187" s="237" t="s">
        <v>44</v>
      </c>
      <c r="F187" s="237"/>
      <c r="G187" s="285"/>
      <c r="H187" s="239">
        <v>0</v>
      </c>
      <c r="I187" s="237" t="s">
        <v>106</v>
      </c>
      <c r="J187" s="285"/>
      <c r="K187" s="241"/>
    </row>
    <row r="188" spans="2:11">
      <c r="B188" s="234"/>
      <c r="C188" s="271"/>
      <c r="D188" s="278" t="s">
        <v>81</v>
      </c>
      <c r="E188" s="237" t="s">
        <v>44</v>
      </c>
      <c r="F188" s="237"/>
      <c r="G188" s="285"/>
      <c r="H188" s="239">
        <v>0</v>
      </c>
      <c r="I188" s="237" t="s">
        <v>106</v>
      </c>
      <c r="J188" s="285"/>
      <c r="K188" s="241"/>
    </row>
    <row r="189" spans="2:11">
      <c r="B189" s="234"/>
      <c r="C189" s="271"/>
      <c r="D189" s="278" t="s">
        <v>82</v>
      </c>
      <c r="E189" s="237" t="s">
        <v>44</v>
      </c>
      <c r="F189" s="237"/>
      <c r="G189" s="285"/>
      <c r="H189" s="239">
        <v>0</v>
      </c>
      <c r="I189" s="237" t="s">
        <v>106</v>
      </c>
      <c r="J189" s="285"/>
      <c r="K189" s="241"/>
    </row>
    <row r="190" spans="2:11">
      <c r="B190" s="234"/>
      <c r="C190" s="271"/>
      <c r="D190" s="278" t="s">
        <v>83</v>
      </c>
      <c r="E190" s="237" t="s">
        <v>44</v>
      </c>
      <c r="F190" s="237"/>
      <c r="G190" s="285"/>
      <c r="H190" s="239">
        <v>0</v>
      </c>
      <c r="I190" s="237" t="s">
        <v>106</v>
      </c>
      <c r="J190" s="285"/>
      <c r="K190" s="241"/>
    </row>
    <row r="191" spans="2:11">
      <c r="B191" s="234"/>
      <c r="C191" s="271"/>
      <c r="D191" s="278" t="s">
        <v>84</v>
      </c>
      <c r="E191" s="237" t="s">
        <v>44</v>
      </c>
      <c r="F191" s="237"/>
      <c r="G191" s="285"/>
      <c r="H191" s="239">
        <v>0</v>
      </c>
      <c r="I191" s="237" t="s">
        <v>106</v>
      </c>
      <c r="J191" s="285"/>
      <c r="K191" s="241"/>
    </row>
    <row r="192" spans="2:11">
      <c r="B192" s="234"/>
      <c r="C192" s="271"/>
      <c r="D192" s="278" t="s">
        <v>85</v>
      </c>
      <c r="E192" s="237" t="s">
        <v>44</v>
      </c>
      <c r="F192" s="237"/>
      <c r="G192" s="285"/>
      <c r="H192" s="239">
        <v>0</v>
      </c>
      <c r="I192" s="237" t="s">
        <v>106</v>
      </c>
      <c r="J192" s="285"/>
      <c r="K192" s="241"/>
    </row>
    <row r="193" spans="2:11">
      <c r="B193" s="234"/>
      <c r="C193" s="271"/>
      <c r="D193" s="278" t="s">
        <v>86</v>
      </c>
      <c r="E193" s="237" t="s">
        <v>44</v>
      </c>
      <c r="F193" s="237"/>
      <c r="G193" s="285"/>
      <c r="H193" s="239">
        <v>0</v>
      </c>
      <c r="I193" s="237" t="s">
        <v>106</v>
      </c>
      <c r="J193" s="285"/>
      <c r="K193" s="241"/>
    </row>
    <row r="194" spans="2:11">
      <c r="B194" s="234"/>
      <c r="C194" s="271"/>
      <c r="D194" s="278" t="s">
        <v>87</v>
      </c>
      <c r="E194" s="237" t="s">
        <v>44</v>
      </c>
      <c r="F194" s="237"/>
      <c r="G194" s="285"/>
      <c r="H194" s="239">
        <v>0</v>
      </c>
      <c r="I194" s="237" t="s">
        <v>106</v>
      </c>
      <c r="J194" s="285"/>
      <c r="K194" s="241"/>
    </row>
    <row r="195" spans="2:11">
      <c r="B195" s="234"/>
      <c r="C195" s="271"/>
      <c r="D195" s="278" t="s">
        <v>88</v>
      </c>
      <c r="E195" s="237" t="s">
        <v>44</v>
      </c>
      <c r="F195" s="237"/>
      <c r="G195" s="285"/>
      <c r="H195" s="239">
        <v>480</v>
      </c>
      <c r="I195" s="237" t="s">
        <v>106</v>
      </c>
      <c r="J195" s="285"/>
      <c r="K195" s="241"/>
    </row>
    <row r="196" spans="2:11">
      <c r="B196" s="234"/>
      <c r="C196" s="271"/>
      <c r="D196" s="278" t="s">
        <v>89</v>
      </c>
      <c r="E196" s="237" t="s">
        <v>44</v>
      </c>
      <c r="F196" s="237"/>
      <c r="G196" s="285"/>
      <c r="H196" s="239">
        <v>0</v>
      </c>
      <c r="I196" s="237" t="s">
        <v>106</v>
      </c>
      <c r="J196" s="285"/>
      <c r="K196" s="241"/>
    </row>
    <row r="197" spans="2:11">
      <c r="B197" s="234"/>
      <c r="C197" s="271"/>
      <c r="D197" s="278" t="s">
        <v>90</v>
      </c>
      <c r="E197" s="237" t="s">
        <v>44</v>
      </c>
      <c r="F197" s="237"/>
      <c r="G197" s="285"/>
      <c r="H197" s="239">
        <v>0</v>
      </c>
      <c r="I197" s="237" t="s">
        <v>106</v>
      </c>
      <c r="J197" s="285"/>
      <c r="K197" s="241"/>
    </row>
    <row r="198" spans="2:11">
      <c r="B198" s="234"/>
      <c r="C198" s="271"/>
      <c r="D198" s="278" t="s">
        <v>91</v>
      </c>
      <c r="E198" s="237" t="s">
        <v>44</v>
      </c>
      <c r="F198" s="237"/>
      <c r="G198" s="285"/>
      <c r="H198" s="239">
        <v>0</v>
      </c>
      <c r="I198" s="237" t="s">
        <v>106</v>
      </c>
      <c r="J198" s="285"/>
      <c r="K198" s="241"/>
    </row>
    <row r="199" spans="2:11">
      <c r="B199" s="234"/>
      <c r="C199" s="271"/>
      <c r="D199" s="278" t="s">
        <v>92</v>
      </c>
      <c r="E199" s="237" t="s">
        <v>44</v>
      </c>
      <c r="F199" s="237"/>
      <c r="G199" s="285"/>
      <c r="H199" s="239">
        <v>0</v>
      </c>
      <c r="I199" s="237" t="s">
        <v>106</v>
      </c>
      <c r="J199" s="285"/>
      <c r="K199" s="241"/>
    </row>
    <row r="200" spans="2:11">
      <c r="B200" s="234"/>
      <c r="C200" s="271"/>
      <c r="D200" s="278" t="s">
        <v>93</v>
      </c>
      <c r="E200" s="237" t="s">
        <v>44</v>
      </c>
      <c r="F200" s="237"/>
      <c r="G200" s="285"/>
      <c r="H200" s="239">
        <v>0</v>
      </c>
      <c r="I200" s="237" t="s">
        <v>106</v>
      </c>
      <c r="J200" s="285"/>
      <c r="K200" s="241"/>
    </row>
    <row r="201" spans="2:11">
      <c r="B201" s="234"/>
      <c r="C201" s="271"/>
      <c r="D201" s="278" t="s">
        <v>94</v>
      </c>
      <c r="E201" s="237" t="s">
        <v>44</v>
      </c>
      <c r="F201" s="237"/>
      <c r="G201" s="285"/>
      <c r="H201" s="239">
        <v>0</v>
      </c>
      <c r="I201" s="237" t="s">
        <v>106</v>
      </c>
      <c r="J201" s="285"/>
      <c r="K201" s="241"/>
    </row>
    <row r="202" spans="2:11">
      <c r="B202" s="234"/>
      <c r="C202" s="271"/>
      <c r="D202" s="278" t="s">
        <v>95</v>
      </c>
      <c r="E202" s="237" t="s">
        <v>44</v>
      </c>
      <c r="F202" s="237"/>
      <c r="G202" s="285"/>
      <c r="H202" s="239">
        <v>0</v>
      </c>
      <c r="I202" s="237" t="s">
        <v>106</v>
      </c>
      <c r="J202" s="285"/>
      <c r="K202" s="241"/>
    </row>
    <row r="203" spans="2:11">
      <c r="B203" s="234"/>
      <c r="C203" s="271"/>
      <c r="D203" s="278" t="s">
        <v>96</v>
      </c>
      <c r="E203" s="237" t="s">
        <v>44</v>
      </c>
      <c r="F203" s="237"/>
      <c r="G203" s="285"/>
      <c r="H203" s="239">
        <v>0</v>
      </c>
      <c r="I203" s="237" t="s">
        <v>106</v>
      </c>
      <c r="J203" s="285"/>
      <c r="K203" s="241"/>
    </row>
    <row r="204" spans="2:11">
      <c r="B204" s="234"/>
      <c r="C204" s="271"/>
      <c r="D204" s="278" t="s">
        <v>97</v>
      </c>
      <c r="E204" s="237" t="s">
        <v>44</v>
      </c>
      <c r="F204" s="237"/>
      <c r="G204" s="285"/>
      <c r="H204" s="239">
        <v>0</v>
      </c>
      <c r="I204" s="237" t="s">
        <v>106</v>
      </c>
      <c r="J204" s="285"/>
      <c r="K204" s="241"/>
    </row>
    <row r="205" spans="2:11">
      <c r="B205" s="234"/>
      <c r="C205" s="271">
        <v>11.2</v>
      </c>
      <c r="D205" s="243" t="s">
        <v>233</v>
      </c>
      <c r="E205" s="237" t="s">
        <v>58</v>
      </c>
      <c r="F205" s="237"/>
      <c r="G205" s="285" t="s">
        <v>228</v>
      </c>
      <c r="H205" s="239"/>
      <c r="I205" s="237"/>
      <c r="J205" s="285"/>
      <c r="K205" s="241"/>
    </row>
    <row r="206" spans="2:11">
      <c r="B206" s="234"/>
      <c r="C206" s="271">
        <v>11.3</v>
      </c>
      <c r="D206" s="243" t="s">
        <v>234</v>
      </c>
      <c r="E206" s="237" t="s">
        <v>44</v>
      </c>
      <c r="F206" s="237"/>
      <c r="G206" s="285"/>
      <c r="H206" s="239">
        <v>10</v>
      </c>
      <c r="I206" s="237" t="s">
        <v>55</v>
      </c>
      <c r="J206" s="285"/>
      <c r="K206" s="241"/>
    </row>
    <row r="207" spans="2:11">
      <c r="B207" s="234"/>
      <c r="C207" s="271"/>
      <c r="D207" s="287" t="s">
        <v>235</v>
      </c>
      <c r="E207" s="237" t="s">
        <v>44</v>
      </c>
      <c r="F207" s="237"/>
      <c r="G207" s="285"/>
      <c r="H207" s="244">
        <v>0.05</v>
      </c>
      <c r="I207" s="237"/>
      <c r="J207" s="285"/>
      <c r="K207" s="241"/>
    </row>
    <row r="208" spans="2:11">
      <c r="B208" s="234"/>
      <c r="C208" s="271">
        <v>11.4</v>
      </c>
      <c r="D208" s="243" t="s">
        <v>175</v>
      </c>
      <c r="E208" s="237" t="s">
        <v>58</v>
      </c>
      <c r="F208" s="237"/>
      <c r="G208" s="238" t="s">
        <v>164</v>
      </c>
      <c r="H208" s="244">
        <v>0.13</v>
      </c>
      <c r="I208" s="237" t="s">
        <v>51</v>
      </c>
      <c r="J208" s="285"/>
      <c r="K208" s="241"/>
    </row>
    <row r="209" spans="2:11" ht="69.5" customHeight="1">
      <c r="B209" s="234"/>
      <c r="C209" s="271">
        <v>11.5</v>
      </c>
      <c r="D209" s="243" t="s">
        <v>236</v>
      </c>
      <c r="E209" s="237" t="s">
        <v>72</v>
      </c>
      <c r="F209" s="261"/>
      <c r="G209" s="238" t="s">
        <v>237</v>
      </c>
      <c r="H209" s="282">
        <f>(SUM(H185:H204))/(1+H208)*H208</f>
        <v>55.221238938053098</v>
      </c>
      <c r="I209" s="237" t="s">
        <v>106</v>
      </c>
      <c r="J209" s="285"/>
      <c r="K209" s="241"/>
    </row>
    <row r="210" spans="2:11" ht="34.75" customHeight="1">
      <c r="B210" s="234"/>
      <c r="C210" s="235">
        <v>12</v>
      </c>
      <c r="D210" s="236" t="s">
        <v>238</v>
      </c>
      <c r="E210" s="237"/>
      <c r="F210" s="259" t="s">
        <v>238</v>
      </c>
      <c r="G210" s="238"/>
      <c r="H210" s="282"/>
      <c r="I210" s="237"/>
      <c r="J210" s="285"/>
      <c r="K210" s="241"/>
    </row>
    <row r="211" spans="2:11" ht="24" customHeight="1">
      <c r="B211" s="234"/>
      <c r="C211" s="271">
        <v>12.1</v>
      </c>
      <c r="D211" s="243" t="s">
        <v>239</v>
      </c>
      <c r="E211" s="237"/>
      <c r="F211" s="261"/>
      <c r="G211" s="238"/>
      <c r="H211" s="239"/>
      <c r="I211" s="237"/>
      <c r="J211" s="285" t="s">
        <v>240</v>
      </c>
      <c r="K211" s="241"/>
    </row>
    <row r="212" spans="2:11" ht="23" customHeight="1">
      <c r="B212" s="234"/>
      <c r="C212" s="271"/>
      <c r="D212" s="278" t="s">
        <v>78</v>
      </c>
      <c r="E212" s="237" t="s">
        <v>44</v>
      </c>
      <c r="F212" s="261"/>
      <c r="G212" s="238"/>
      <c r="H212" s="239">
        <v>0</v>
      </c>
      <c r="I212" s="237" t="s">
        <v>106</v>
      </c>
      <c r="J212" s="285"/>
      <c r="K212" s="241"/>
    </row>
    <row r="213" spans="2:11" ht="23" customHeight="1">
      <c r="B213" s="234"/>
      <c r="C213" s="271"/>
      <c r="D213" s="278" t="s">
        <v>100</v>
      </c>
      <c r="E213" s="237" t="s">
        <v>44</v>
      </c>
      <c r="F213" s="261"/>
      <c r="G213" s="238"/>
      <c r="H213" s="239">
        <v>0</v>
      </c>
      <c r="I213" s="237" t="s">
        <v>106</v>
      </c>
      <c r="J213" s="285"/>
      <c r="K213" s="241"/>
    </row>
    <row r="214" spans="2:11" ht="23" customHeight="1">
      <c r="B214" s="234"/>
      <c r="C214" s="271"/>
      <c r="D214" s="278" t="s">
        <v>97</v>
      </c>
      <c r="E214" s="237" t="s">
        <v>44</v>
      </c>
      <c r="F214" s="261"/>
      <c r="G214" s="238"/>
      <c r="H214" s="239">
        <v>0</v>
      </c>
      <c r="I214" s="237" t="s">
        <v>106</v>
      </c>
      <c r="J214" s="285"/>
      <c r="K214" s="241"/>
    </row>
    <row r="215" spans="2:11" ht="22.5" customHeight="1">
      <c r="B215" s="234"/>
      <c r="C215" s="271">
        <v>12.2</v>
      </c>
      <c r="D215" s="243" t="s">
        <v>175</v>
      </c>
      <c r="E215" s="237" t="s">
        <v>58</v>
      </c>
      <c r="F215" s="237"/>
      <c r="G215" s="238" t="s">
        <v>164</v>
      </c>
      <c r="H215" s="244">
        <v>0</v>
      </c>
      <c r="I215" s="237" t="s">
        <v>51</v>
      </c>
      <c r="J215" s="285"/>
      <c r="K215" s="241"/>
    </row>
    <row r="216" spans="2:11" ht="47" customHeight="1">
      <c r="B216" s="314" t="s">
        <v>241</v>
      </c>
      <c r="C216" s="235"/>
      <c r="D216" s="266" t="s">
        <v>242</v>
      </c>
      <c r="E216" s="237"/>
      <c r="F216" s="259" t="s">
        <v>242</v>
      </c>
      <c r="G216" s="238"/>
      <c r="H216" s="239"/>
      <c r="I216" s="237"/>
      <c r="J216" s="285"/>
      <c r="K216" s="241"/>
    </row>
    <row r="217" spans="2:11" ht="61.25" customHeight="1">
      <c r="B217" s="315"/>
      <c r="C217" s="235">
        <v>1</v>
      </c>
      <c r="D217" s="266" t="s">
        <v>243</v>
      </c>
      <c r="E217" s="237" t="s">
        <v>72</v>
      </c>
      <c r="F217" s="259" t="s">
        <v>242</v>
      </c>
      <c r="G217" s="238" t="s">
        <v>244</v>
      </c>
      <c r="H217" s="239"/>
      <c r="I217" s="237"/>
      <c r="J217" s="285"/>
      <c r="K217" s="241"/>
    </row>
    <row r="218" spans="2:11" ht="61.25" customHeight="1">
      <c r="B218" s="315"/>
      <c r="C218" s="235">
        <v>1.1000000000000001</v>
      </c>
      <c r="D218" s="266" t="s">
        <v>245</v>
      </c>
      <c r="E218" s="237"/>
      <c r="F218" s="259"/>
      <c r="G218" s="238"/>
      <c r="H218" s="239"/>
      <c r="I218" s="237"/>
      <c r="J218" s="285"/>
      <c r="K218" s="241"/>
    </row>
    <row r="219" spans="2:11" ht="41" customHeight="1">
      <c r="B219" s="315"/>
      <c r="C219" s="271" t="s">
        <v>246</v>
      </c>
      <c r="D219" s="277" t="s">
        <v>75</v>
      </c>
      <c r="E219" s="237" t="s">
        <v>247</v>
      </c>
      <c r="F219" s="261"/>
      <c r="G219" s="251"/>
      <c r="H219" s="239"/>
      <c r="I219" s="240"/>
      <c r="J219" s="241"/>
      <c r="K219" s="241"/>
    </row>
    <row r="220" spans="2:11" ht="20" customHeight="1">
      <c r="B220" s="315"/>
      <c r="C220" s="271"/>
      <c r="D220" s="278" t="s">
        <v>101</v>
      </c>
      <c r="E220" s="237" t="s">
        <v>247</v>
      </c>
      <c r="F220" s="237"/>
      <c r="G220" s="251"/>
      <c r="H220" s="265"/>
      <c r="I220" s="240"/>
      <c r="J220" s="241"/>
      <c r="K220" s="241"/>
    </row>
    <row r="221" spans="2:11">
      <c r="B221" s="315"/>
      <c r="C221" s="271" t="s">
        <v>248</v>
      </c>
      <c r="D221" s="277" t="s">
        <v>98</v>
      </c>
      <c r="E221" s="261" t="s">
        <v>247</v>
      </c>
      <c r="F221" s="237"/>
      <c r="G221" s="251"/>
      <c r="H221" s="239"/>
      <c r="I221" s="240"/>
      <c r="J221" s="238"/>
      <c r="K221" s="241"/>
    </row>
    <row r="222" spans="2:11">
      <c r="B222" s="315"/>
      <c r="C222" s="271"/>
      <c r="D222" s="278" t="s">
        <v>78</v>
      </c>
      <c r="E222" s="261" t="s">
        <v>247</v>
      </c>
      <c r="F222" s="237"/>
      <c r="G222" s="251"/>
      <c r="H222" s="239"/>
      <c r="I222" s="240"/>
      <c r="J222" s="238"/>
      <c r="K222" s="241"/>
    </row>
    <row r="223" spans="2:11">
      <c r="B223" s="315"/>
      <c r="C223" s="271"/>
      <c r="D223" s="286" t="s">
        <v>100</v>
      </c>
      <c r="E223" s="261" t="s">
        <v>247</v>
      </c>
      <c r="F223" s="237"/>
      <c r="G223" s="251"/>
      <c r="H223" s="239"/>
      <c r="I223" s="240"/>
      <c r="J223" s="238"/>
      <c r="K223" s="241"/>
    </row>
    <row r="224" spans="2:11">
      <c r="B224" s="315"/>
      <c r="C224" s="271"/>
      <c r="D224" s="278" t="s">
        <v>97</v>
      </c>
      <c r="E224" s="261" t="s">
        <v>247</v>
      </c>
      <c r="F224" s="237"/>
      <c r="G224" s="251"/>
      <c r="H224" s="239"/>
      <c r="I224" s="240"/>
      <c r="J224" s="238"/>
      <c r="K224" s="241"/>
    </row>
    <row r="225" spans="2:11" ht="28">
      <c r="B225" s="315"/>
      <c r="C225" s="271" t="s">
        <v>249</v>
      </c>
      <c r="D225" s="277" t="s">
        <v>250</v>
      </c>
      <c r="E225" s="237"/>
      <c r="F225" s="237"/>
      <c r="G225" s="251"/>
      <c r="H225" s="239"/>
      <c r="I225" s="240"/>
      <c r="J225" s="238" t="s">
        <v>251</v>
      </c>
      <c r="K225" s="241"/>
    </row>
    <row r="226" spans="2:11">
      <c r="B226" s="315"/>
      <c r="C226" s="271"/>
      <c r="D226" s="278" t="s">
        <v>78</v>
      </c>
      <c r="E226" s="237" t="s">
        <v>44</v>
      </c>
      <c r="F226" s="237"/>
      <c r="G226" s="251"/>
      <c r="H226" s="239">
        <v>0</v>
      </c>
      <c r="I226" s="240" t="s">
        <v>99</v>
      </c>
      <c r="J226" s="238"/>
      <c r="K226" s="241"/>
    </row>
    <row r="227" spans="2:11">
      <c r="B227" s="315"/>
      <c r="C227" s="271"/>
      <c r="D227" s="286" t="s">
        <v>100</v>
      </c>
      <c r="E227" s="237" t="s">
        <v>44</v>
      </c>
      <c r="F227" s="237"/>
      <c r="G227" s="251"/>
      <c r="H227" s="239">
        <v>0</v>
      </c>
      <c r="I227" s="240" t="s">
        <v>99</v>
      </c>
      <c r="J227" s="238"/>
      <c r="K227" s="241"/>
    </row>
    <row r="228" spans="2:11">
      <c r="B228" s="315"/>
      <c r="C228" s="271"/>
      <c r="D228" s="278" t="s">
        <v>97</v>
      </c>
      <c r="E228" s="237" t="s">
        <v>44</v>
      </c>
      <c r="F228" s="237"/>
      <c r="G228" s="251"/>
      <c r="H228" s="239"/>
      <c r="I228" s="240" t="s">
        <v>99</v>
      </c>
      <c r="J228" s="238"/>
      <c r="K228" s="241"/>
    </row>
    <row r="229" spans="2:11" ht="28">
      <c r="B229" s="315"/>
      <c r="C229" s="271" t="s">
        <v>252</v>
      </c>
      <c r="D229" s="277" t="s">
        <v>253</v>
      </c>
      <c r="E229" s="237"/>
      <c r="F229" s="237"/>
      <c r="G229" s="251"/>
      <c r="H229" s="239"/>
      <c r="I229" s="240"/>
      <c r="J229" s="238" t="s">
        <v>251</v>
      </c>
      <c r="K229" s="241"/>
    </row>
    <row r="230" spans="2:11">
      <c r="B230" s="315"/>
      <c r="C230" s="235"/>
      <c r="D230" s="278" t="s">
        <v>78</v>
      </c>
      <c r="E230" s="237" t="s">
        <v>44</v>
      </c>
      <c r="F230" s="237"/>
      <c r="G230" s="251"/>
      <c r="H230" s="239">
        <v>0</v>
      </c>
      <c r="I230" s="240" t="s">
        <v>99</v>
      </c>
      <c r="J230" s="238"/>
      <c r="K230" s="241"/>
    </row>
    <row r="231" spans="2:11">
      <c r="B231" s="315"/>
      <c r="C231" s="235"/>
      <c r="D231" s="286" t="s">
        <v>100</v>
      </c>
      <c r="E231" s="237" t="s">
        <v>44</v>
      </c>
      <c r="F231" s="237"/>
      <c r="G231" s="251"/>
      <c r="H231" s="239">
        <v>0</v>
      </c>
      <c r="I231" s="240" t="s">
        <v>99</v>
      </c>
      <c r="J231" s="238"/>
      <c r="K231" s="241"/>
    </row>
    <row r="232" spans="2:11">
      <c r="B232" s="315"/>
      <c r="C232" s="235"/>
      <c r="D232" s="278" t="s">
        <v>97</v>
      </c>
      <c r="E232" s="237" t="s">
        <v>44</v>
      </c>
      <c r="F232" s="237"/>
      <c r="G232" s="251"/>
      <c r="H232" s="239"/>
      <c r="I232" s="240" t="s">
        <v>99</v>
      </c>
      <c r="J232" s="238"/>
      <c r="K232" s="241"/>
    </row>
    <row r="233" spans="2:11" ht="28">
      <c r="B233" s="315"/>
      <c r="C233" s="271" t="s">
        <v>254</v>
      </c>
      <c r="D233" s="277" t="s">
        <v>175</v>
      </c>
      <c r="E233" s="237" t="s">
        <v>58</v>
      </c>
      <c r="F233" s="237"/>
      <c r="G233" s="238" t="s">
        <v>105</v>
      </c>
      <c r="H233" s="244">
        <v>0.13</v>
      </c>
      <c r="I233" s="240" t="s">
        <v>51</v>
      </c>
      <c r="J233" s="238"/>
      <c r="K233" s="241"/>
    </row>
    <row r="234" spans="2:11">
      <c r="B234" s="315"/>
      <c r="C234" s="235">
        <v>1.2</v>
      </c>
      <c r="D234" s="266" t="s">
        <v>255</v>
      </c>
      <c r="E234" s="237"/>
      <c r="F234" s="270"/>
      <c r="G234" s="238"/>
      <c r="H234" s="244"/>
      <c r="I234" s="240"/>
      <c r="J234" s="238"/>
      <c r="K234" s="241"/>
    </row>
    <row r="235" spans="2:11">
      <c r="B235" s="315"/>
      <c r="C235" s="271" t="s">
        <v>256</v>
      </c>
      <c r="D235" s="243" t="s">
        <v>257</v>
      </c>
      <c r="E235" s="237" t="s">
        <v>247</v>
      </c>
      <c r="F235" s="237"/>
      <c r="G235" s="238"/>
      <c r="H235" s="239"/>
      <c r="I235" s="240"/>
      <c r="J235" s="238"/>
      <c r="K235" s="241"/>
    </row>
    <row r="236" spans="2:11">
      <c r="B236" s="315"/>
      <c r="C236" s="271" t="s">
        <v>258</v>
      </c>
      <c r="D236" s="243" t="s">
        <v>103</v>
      </c>
      <c r="E236" s="237" t="s">
        <v>247</v>
      </c>
      <c r="F236" s="270"/>
      <c r="G236" s="238"/>
      <c r="H236" s="244"/>
      <c r="I236" s="240"/>
      <c r="J236" s="238"/>
      <c r="K236" s="241"/>
    </row>
    <row r="237" spans="2:11" ht="28">
      <c r="B237" s="315"/>
      <c r="C237" s="271">
        <v>2.2999999999999998</v>
      </c>
      <c r="D237" s="243" t="s">
        <v>175</v>
      </c>
      <c r="E237" s="237" t="s">
        <v>58</v>
      </c>
      <c r="F237" s="237"/>
      <c r="G237" s="238" t="s">
        <v>105</v>
      </c>
      <c r="H237" s="244">
        <v>0.13</v>
      </c>
      <c r="I237" s="240" t="s">
        <v>51</v>
      </c>
      <c r="J237" s="238"/>
      <c r="K237" s="241"/>
    </row>
    <row r="238" spans="2:11" ht="51.65" customHeight="1">
      <c r="B238" s="315"/>
      <c r="C238" s="235">
        <v>2</v>
      </c>
      <c r="D238" s="266" t="s">
        <v>259</v>
      </c>
      <c r="E238" s="237"/>
      <c r="F238" s="259" t="s">
        <v>259</v>
      </c>
      <c r="G238" s="238" t="s">
        <v>260</v>
      </c>
      <c r="H238" s="239"/>
      <c r="I238" s="240"/>
      <c r="J238" s="238"/>
      <c r="K238" s="241"/>
    </row>
    <row r="239" spans="2:11" ht="18.5" customHeight="1">
      <c r="B239" s="315"/>
      <c r="C239" s="271">
        <v>2.1</v>
      </c>
      <c r="D239" s="243" t="s">
        <v>261</v>
      </c>
      <c r="E239" s="237" t="s">
        <v>44</v>
      </c>
      <c r="F239" s="237"/>
      <c r="G239" s="238"/>
      <c r="H239" s="239"/>
      <c r="I239" s="240" t="s">
        <v>64</v>
      </c>
      <c r="J239" s="238"/>
      <c r="K239" s="241"/>
    </row>
    <row r="240" spans="2:11" ht="18.5" customHeight="1">
      <c r="B240" s="315"/>
      <c r="C240" s="271">
        <v>2.2000000000000002</v>
      </c>
      <c r="D240" s="243" t="s">
        <v>262</v>
      </c>
      <c r="E240" s="237" t="s">
        <v>44</v>
      </c>
      <c r="F240" s="237"/>
      <c r="G240" s="238"/>
      <c r="H240" s="239"/>
      <c r="I240" s="240" t="s">
        <v>191</v>
      </c>
      <c r="J240" s="238"/>
      <c r="K240" s="241"/>
    </row>
    <row r="241" spans="2:11" ht="18.5" customHeight="1">
      <c r="B241" s="315"/>
      <c r="C241" s="271">
        <v>2.2999999999999998</v>
      </c>
      <c r="D241" s="243" t="s">
        <v>175</v>
      </c>
      <c r="E241" s="237" t="s">
        <v>58</v>
      </c>
      <c r="F241" s="237"/>
      <c r="G241" s="238" t="s">
        <v>105</v>
      </c>
      <c r="H241" s="244">
        <v>0.13</v>
      </c>
      <c r="I241" s="240" t="s">
        <v>51</v>
      </c>
      <c r="J241" s="238"/>
      <c r="K241" s="241"/>
    </row>
    <row r="242" spans="2:11" ht="18.5" customHeight="1">
      <c r="B242" s="315"/>
      <c r="C242" s="235">
        <v>3</v>
      </c>
      <c r="D242" s="266" t="s">
        <v>263</v>
      </c>
      <c r="E242" s="237"/>
      <c r="F242" s="270"/>
      <c r="G242" s="238"/>
      <c r="H242" s="244"/>
      <c r="I242" s="240"/>
      <c r="J242" s="238"/>
      <c r="K242" s="241"/>
    </row>
    <row r="243" spans="2:11" ht="39.65" customHeight="1">
      <c r="B243" s="315"/>
      <c r="C243" s="235">
        <v>3.1</v>
      </c>
      <c r="D243" s="266" t="s">
        <v>264</v>
      </c>
      <c r="E243" s="237" t="s">
        <v>44</v>
      </c>
      <c r="F243" s="259" t="s">
        <v>263</v>
      </c>
      <c r="G243" s="238"/>
      <c r="H243" s="244"/>
      <c r="I243" s="240"/>
      <c r="J243" s="238"/>
      <c r="K243" s="241"/>
    </row>
    <row r="244" spans="2:11" ht="18.5" customHeight="1">
      <c r="B244" s="315"/>
      <c r="C244" s="271" t="s">
        <v>265</v>
      </c>
      <c r="D244" s="243" t="s">
        <v>266</v>
      </c>
      <c r="E244" s="237" t="s">
        <v>44</v>
      </c>
      <c r="F244" s="237"/>
      <c r="G244" s="238"/>
      <c r="H244" s="239">
        <v>0</v>
      </c>
      <c r="I244" s="240" t="s">
        <v>106</v>
      </c>
      <c r="J244" s="238"/>
      <c r="K244" s="241"/>
    </row>
    <row r="245" spans="2:11" ht="18.5" customHeight="1">
      <c r="B245" s="315"/>
      <c r="C245" s="271" t="s">
        <v>267</v>
      </c>
      <c r="D245" s="243" t="s">
        <v>268</v>
      </c>
      <c r="E245" s="237"/>
      <c r="F245" s="237"/>
      <c r="G245" s="238"/>
      <c r="H245" s="244"/>
      <c r="I245" s="240"/>
      <c r="J245" s="238"/>
      <c r="K245" s="241"/>
    </row>
    <row r="246" spans="2:11" ht="18.5" customHeight="1">
      <c r="B246" s="315"/>
      <c r="C246" s="271"/>
      <c r="D246" s="278" t="s">
        <v>78</v>
      </c>
      <c r="E246" s="237" t="s">
        <v>44</v>
      </c>
      <c r="F246" s="237"/>
      <c r="G246" s="238"/>
      <c r="H246" s="239">
        <v>0</v>
      </c>
      <c r="I246" s="240" t="s">
        <v>106</v>
      </c>
      <c r="J246" s="238"/>
      <c r="K246" s="241"/>
    </row>
    <row r="247" spans="2:11" ht="18.5" customHeight="1">
      <c r="B247" s="315"/>
      <c r="C247" s="271"/>
      <c r="D247" s="278" t="s">
        <v>79</v>
      </c>
      <c r="E247" s="237" t="s">
        <v>44</v>
      </c>
      <c r="F247" s="237"/>
      <c r="G247" s="238"/>
      <c r="H247" s="239">
        <v>0</v>
      </c>
      <c r="I247" s="240" t="s">
        <v>106</v>
      </c>
      <c r="J247" s="238"/>
      <c r="K247" s="241"/>
    </row>
    <row r="248" spans="2:11" ht="18.5" customHeight="1">
      <c r="B248" s="315"/>
      <c r="C248" s="271"/>
      <c r="D248" s="278" t="s">
        <v>80</v>
      </c>
      <c r="E248" s="237" t="s">
        <v>44</v>
      </c>
      <c r="F248" s="237"/>
      <c r="G248" s="238"/>
      <c r="H248" s="239">
        <v>0</v>
      </c>
      <c r="I248" s="240" t="s">
        <v>106</v>
      </c>
      <c r="J248" s="238"/>
      <c r="K248" s="241"/>
    </row>
    <row r="249" spans="2:11" ht="18.5" customHeight="1">
      <c r="B249" s="315"/>
      <c r="C249" s="271"/>
      <c r="D249" s="278" t="s">
        <v>81</v>
      </c>
      <c r="E249" s="237" t="s">
        <v>44</v>
      </c>
      <c r="F249" s="237"/>
      <c r="G249" s="238"/>
      <c r="H249" s="239">
        <v>0</v>
      </c>
      <c r="I249" s="240" t="s">
        <v>106</v>
      </c>
      <c r="J249" s="238"/>
      <c r="K249" s="241"/>
    </row>
    <row r="250" spans="2:11" ht="18.5" customHeight="1">
      <c r="B250" s="315"/>
      <c r="C250" s="271"/>
      <c r="D250" s="278" t="s">
        <v>82</v>
      </c>
      <c r="E250" s="237" t="s">
        <v>44</v>
      </c>
      <c r="F250" s="237"/>
      <c r="G250" s="238"/>
      <c r="H250" s="239">
        <v>0</v>
      </c>
      <c r="I250" s="240" t="s">
        <v>106</v>
      </c>
      <c r="J250" s="238"/>
      <c r="K250" s="241"/>
    </row>
    <row r="251" spans="2:11" ht="18.5" customHeight="1">
      <c r="B251" s="315"/>
      <c r="C251" s="271"/>
      <c r="D251" s="278" t="s">
        <v>83</v>
      </c>
      <c r="E251" s="237" t="s">
        <v>44</v>
      </c>
      <c r="F251" s="237"/>
      <c r="G251" s="238"/>
      <c r="H251" s="239">
        <v>0</v>
      </c>
      <c r="I251" s="240" t="s">
        <v>106</v>
      </c>
      <c r="J251" s="238"/>
      <c r="K251" s="241"/>
    </row>
    <row r="252" spans="2:11" ht="18.5" customHeight="1">
      <c r="B252" s="315"/>
      <c r="C252" s="271"/>
      <c r="D252" s="278" t="s">
        <v>84</v>
      </c>
      <c r="E252" s="237" t="s">
        <v>44</v>
      </c>
      <c r="F252" s="237"/>
      <c r="G252" s="238"/>
      <c r="H252" s="239">
        <v>0</v>
      </c>
      <c r="I252" s="240" t="s">
        <v>106</v>
      </c>
      <c r="J252" s="238"/>
      <c r="K252" s="241"/>
    </row>
    <row r="253" spans="2:11" ht="18.5" customHeight="1">
      <c r="B253" s="315"/>
      <c r="C253" s="271"/>
      <c r="D253" s="278" t="s">
        <v>85</v>
      </c>
      <c r="E253" s="237" t="s">
        <v>44</v>
      </c>
      <c r="F253" s="237"/>
      <c r="G253" s="238"/>
      <c r="H253" s="239">
        <v>0</v>
      </c>
      <c r="I253" s="240" t="s">
        <v>106</v>
      </c>
      <c r="J253" s="238"/>
      <c r="K253" s="241"/>
    </row>
    <row r="254" spans="2:11" ht="18.5" customHeight="1">
      <c r="B254" s="315"/>
      <c r="C254" s="271"/>
      <c r="D254" s="278" t="s">
        <v>86</v>
      </c>
      <c r="E254" s="237" t="s">
        <v>44</v>
      </c>
      <c r="F254" s="237"/>
      <c r="G254" s="238"/>
      <c r="H254" s="239">
        <v>0</v>
      </c>
      <c r="I254" s="240" t="s">
        <v>106</v>
      </c>
      <c r="J254" s="238"/>
      <c r="K254" s="241"/>
    </row>
    <row r="255" spans="2:11" ht="18.5" customHeight="1">
      <c r="B255" s="315"/>
      <c r="C255" s="271"/>
      <c r="D255" s="278" t="s">
        <v>87</v>
      </c>
      <c r="E255" s="237" t="s">
        <v>44</v>
      </c>
      <c r="F255" s="237"/>
      <c r="G255" s="238"/>
      <c r="H255" s="239">
        <v>0</v>
      </c>
      <c r="I255" s="240" t="s">
        <v>106</v>
      </c>
      <c r="J255" s="238"/>
      <c r="K255" s="241"/>
    </row>
    <row r="256" spans="2:11" ht="18.5" customHeight="1">
      <c r="B256" s="315"/>
      <c r="C256" s="271"/>
      <c r="D256" s="278" t="s">
        <v>88</v>
      </c>
      <c r="E256" s="237" t="s">
        <v>44</v>
      </c>
      <c r="F256" s="237"/>
      <c r="G256" s="238"/>
      <c r="H256" s="239">
        <v>0</v>
      </c>
      <c r="I256" s="240" t="s">
        <v>106</v>
      </c>
      <c r="J256" s="238"/>
      <c r="K256" s="241"/>
    </row>
    <row r="257" spans="2:11" ht="18.5" customHeight="1">
      <c r="B257" s="315"/>
      <c r="C257" s="271"/>
      <c r="D257" s="278" t="s">
        <v>89</v>
      </c>
      <c r="E257" s="237" t="s">
        <v>44</v>
      </c>
      <c r="F257" s="237"/>
      <c r="G257" s="238"/>
      <c r="H257" s="239">
        <v>0</v>
      </c>
      <c r="I257" s="240" t="s">
        <v>106</v>
      </c>
      <c r="J257" s="238"/>
      <c r="K257" s="241"/>
    </row>
    <row r="258" spans="2:11" ht="18.5" customHeight="1">
      <c r="B258" s="315"/>
      <c r="C258" s="271"/>
      <c r="D258" s="278" t="s">
        <v>90</v>
      </c>
      <c r="E258" s="237" t="s">
        <v>44</v>
      </c>
      <c r="F258" s="237"/>
      <c r="G258" s="238"/>
      <c r="H258" s="239">
        <v>0</v>
      </c>
      <c r="I258" s="240" t="s">
        <v>106</v>
      </c>
      <c r="J258" s="238"/>
      <c r="K258" s="241"/>
    </row>
    <row r="259" spans="2:11" ht="18.5" customHeight="1">
      <c r="B259" s="315"/>
      <c r="C259" s="271"/>
      <c r="D259" s="278" t="s">
        <v>91</v>
      </c>
      <c r="E259" s="237" t="s">
        <v>44</v>
      </c>
      <c r="F259" s="237"/>
      <c r="G259" s="238"/>
      <c r="H259" s="239">
        <v>0</v>
      </c>
      <c r="I259" s="240" t="s">
        <v>106</v>
      </c>
      <c r="J259" s="238"/>
      <c r="K259" s="241"/>
    </row>
    <row r="260" spans="2:11" ht="18.5" customHeight="1">
      <c r="B260" s="315"/>
      <c r="C260" s="271"/>
      <c r="D260" s="278" t="s">
        <v>92</v>
      </c>
      <c r="E260" s="237" t="s">
        <v>44</v>
      </c>
      <c r="F260" s="237"/>
      <c r="G260" s="238"/>
      <c r="H260" s="239">
        <v>0</v>
      </c>
      <c r="I260" s="240" t="s">
        <v>106</v>
      </c>
      <c r="J260" s="238"/>
      <c r="K260" s="241"/>
    </row>
    <row r="261" spans="2:11" ht="18.5" customHeight="1">
      <c r="B261" s="315"/>
      <c r="C261" s="271"/>
      <c r="D261" s="278" t="s">
        <v>93</v>
      </c>
      <c r="E261" s="237" t="s">
        <v>44</v>
      </c>
      <c r="F261" s="237"/>
      <c r="G261" s="238"/>
      <c r="H261" s="239">
        <v>0</v>
      </c>
      <c r="I261" s="240" t="s">
        <v>106</v>
      </c>
      <c r="J261" s="238"/>
      <c r="K261" s="241"/>
    </row>
    <row r="262" spans="2:11" ht="18.5" customHeight="1">
      <c r="B262" s="315"/>
      <c r="C262" s="271"/>
      <c r="D262" s="278" t="s">
        <v>94</v>
      </c>
      <c r="E262" s="237" t="s">
        <v>44</v>
      </c>
      <c r="F262" s="237"/>
      <c r="G262" s="238"/>
      <c r="H262" s="239">
        <v>0</v>
      </c>
      <c r="I262" s="240" t="s">
        <v>106</v>
      </c>
      <c r="J262" s="238"/>
      <c r="K262" s="241"/>
    </row>
    <row r="263" spans="2:11" ht="18.5" customHeight="1">
      <c r="B263" s="315"/>
      <c r="C263" s="271"/>
      <c r="D263" s="278" t="s">
        <v>95</v>
      </c>
      <c r="E263" s="237" t="s">
        <v>44</v>
      </c>
      <c r="F263" s="237"/>
      <c r="G263" s="238"/>
      <c r="H263" s="239">
        <v>0</v>
      </c>
      <c r="I263" s="240" t="s">
        <v>106</v>
      </c>
      <c r="J263" s="238"/>
      <c r="K263" s="241"/>
    </row>
    <row r="264" spans="2:11" ht="18.5" customHeight="1">
      <c r="B264" s="315"/>
      <c r="C264" s="271"/>
      <c r="D264" s="278" t="s">
        <v>96</v>
      </c>
      <c r="E264" s="237" t="s">
        <v>44</v>
      </c>
      <c r="F264" s="237"/>
      <c r="G264" s="238"/>
      <c r="H264" s="239">
        <v>0</v>
      </c>
      <c r="I264" s="240" t="s">
        <v>106</v>
      </c>
      <c r="J264" s="238"/>
      <c r="K264" s="241"/>
    </row>
    <row r="265" spans="2:11" ht="18.5" customHeight="1">
      <c r="B265" s="315"/>
      <c r="C265" s="271"/>
      <c r="D265" s="278" t="s">
        <v>97</v>
      </c>
      <c r="E265" s="237" t="s">
        <v>44</v>
      </c>
      <c r="F265" s="237"/>
      <c r="G265" s="238"/>
      <c r="H265" s="239">
        <v>0</v>
      </c>
      <c r="I265" s="240" t="s">
        <v>106</v>
      </c>
      <c r="J265" s="238"/>
      <c r="K265" s="241"/>
    </row>
    <row r="266" spans="2:11" ht="23" customHeight="1">
      <c r="B266" s="316" t="s">
        <v>269</v>
      </c>
      <c r="C266" s="235">
        <v>1</v>
      </c>
      <c r="D266" s="236" t="s">
        <v>270</v>
      </c>
      <c r="E266" s="237" t="s">
        <v>58</v>
      </c>
      <c r="F266" s="237"/>
      <c r="G266" s="251" t="s">
        <v>271</v>
      </c>
      <c r="H266" s="239"/>
      <c r="I266" s="237"/>
      <c r="J266" s="241"/>
      <c r="K266" s="241"/>
    </row>
    <row r="267" spans="2:11" ht="23" customHeight="1">
      <c r="B267" s="316"/>
      <c r="C267" s="235"/>
      <c r="D267" s="243" t="s">
        <v>272</v>
      </c>
      <c r="E267" s="237" t="s">
        <v>273</v>
      </c>
      <c r="F267" s="237"/>
      <c r="G267" s="251"/>
      <c r="H267" s="244">
        <v>0.5</v>
      </c>
      <c r="I267" s="237" t="s">
        <v>51</v>
      </c>
      <c r="J267" s="241" t="s">
        <v>274</v>
      </c>
      <c r="K267" s="241"/>
    </row>
    <row r="268" spans="2:11" ht="84">
      <c r="B268" s="316"/>
      <c r="C268" s="235">
        <v>2</v>
      </c>
      <c r="D268" s="266" t="s">
        <v>275</v>
      </c>
      <c r="E268" s="288" t="s">
        <v>276</v>
      </c>
      <c r="F268" s="288"/>
      <c r="G268" s="251" t="s">
        <v>277</v>
      </c>
      <c r="H268" s="244" t="s">
        <v>278</v>
      </c>
      <c r="I268" s="240"/>
      <c r="J268" s="238" t="s">
        <v>279</v>
      </c>
      <c r="K268" s="241"/>
    </row>
    <row r="269" spans="2:11">
      <c r="B269" s="316"/>
      <c r="C269" s="235"/>
      <c r="D269" s="243" t="s">
        <v>280</v>
      </c>
      <c r="E269" s="237" t="s">
        <v>273</v>
      </c>
      <c r="F269" s="237"/>
      <c r="G269" s="251" t="s">
        <v>281</v>
      </c>
      <c r="H269" s="244">
        <v>0.25</v>
      </c>
      <c r="I269" s="240" t="s">
        <v>51</v>
      </c>
      <c r="J269" s="238"/>
      <c r="K269" s="241"/>
    </row>
    <row r="270" spans="2:11" ht="28">
      <c r="B270" s="316"/>
      <c r="C270" s="235"/>
      <c r="D270" s="243" t="s">
        <v>282</v>
      </c>
      <c r="E270" s="237" t="s">
        <v>273</v>
      </c>
      <c r="F270" s="237"/>
      <c r="G270" s="251" t="s">
        <v>282</v>
      </c>
      <c r="H270" s="244">
        <v>0.25</v>
      </c>
      <c r="I270" s="240" t="s">
        <v>51</v>
      </c>
      <c r="J270" s="238" t="s">
        <v>283</v>
      </c>
      <c r="K270" s="241"/>
    </row>
    <row r="271" spans="2:11">
      <c r="B271" s="316"/>
      <c r="C271" s="235"/>
      <c r="D271" s="243" t="s">
        <v>284</v>
      </c>
      <c r="E271" s="237" t="s">
        <v>273</v>
      </c>
      <c r="F271" s="237"/>
      <c r="G271" s="251" t="s">
        <v>285</v>
      </c>
      <c r="H271" s="244">
        <v>0.15</v>
      </c>
      <c r="I271" s="240" t="s">
        <v>51</v>
      </c>
      <c r="J271" s="238" t="s">
        <v>286</v>
      </c>
      <c r="K271" s="241"/>
    </row>
    <row r="272" spans="2:11" ht="42">
      <c r="B272" s="316"/>
      <c r="C272" s="235">
        <v>3</v>
      </c>
      <c r="D272" s="266" t="s">
        <v>287</v>
      </c>
      <c r="E272" s="237" t="s">
        <v>58</v>
      </c>
      <c r="F272" s="237"/>
      <c r="G272" s="251"/>
      <c r="H272" s="239"/>
      <c r="I272" s="240" t="s">
        <v>51</v>
      </c>
      <c r="J272" s="238" t="s">
        <v>288</v>
      </c>
      <c r="K272" s="241"/>
    </row>
    <row r="273" spans="2:11">
      <c r="B273" s="316"/>
      <c r="C273" s="235"/>
      <c r="D273" s="243" t="s">
        <v>289</v>
      </c>
      <c r="E273" s="237" t="s">
        <v>273</v>
      </c>
      <c r="F273" s="237"/>
      <c r="G273" s="289">
        <v>7.0000000000000007E-2</v>
      </c>
      <c r="H273" s="244">
        <v>7.0000000000000007E-2</v>
      </c>
      <c r="I273" s="240" t="s">
        <v>51</v>
      </c>
      <c r="J273" s="238"/>
      <c r="K273" s="241"/>
    </row>
    <row r="274" spans="2:11">
      <c r="B274" s="316"/>
      <c r="C274" s="235"/>
      <c r="D274" s="243" t="s">
        <v>290</v>
      </c>
      <c r="E274" s="237" t="s">
        <v>273</v>
      </c>
      <c r="F274" s="237"/>
      <c r="G274" s="289">
        <v>0.05</v>
      </c>
      <c r="H274" s="244">
        <v>0.05</v>
      </c>
      <c r="I274" s="240" t="s">
        <v>51</v>
      </c>
      <c r="J274" s="238"/>
      <c r="K274" s="241"/>
    </row>
    <row r="275" spans="2:11">
      <c r="B275" s="316"/>
      <c r="C275" s="235"/>
      <c r="D275" s="243" t="s">
        <v>291</v>
      </c>
      <c r="E275" s="237" t="s">
        <v>273</v>
      </c>
      <c r="F275" s="237"/>
      <c r="G275" s="289">
        <v>0.01</v>
      </c>
      <c r="H275" s="244">
        <v>0.01</v>
      </c>
      <c r="I275" s="240" t="s">
        <v>51</v>
      </c>
      <c r="J275" s="238"/>
      <c r="K275" s="241"/>
    </row>
    <row r="276" spans="2:11" ht="30">
      <c r="B276" s="316"/>
      <c r="C276" s="235">
        <v>4</v>
      </c>
      <c r="D276" s="266" t="s">
        <v>292</v>
      </c>
      <c r="E276" s="237" t="s">
        <v>58</v>
      </c>
      <c r="F276" s="237"/>
      <c r="G276" s="251"/>
      <c r="H276" s="239"/>
      <c r="I276" s="240" t="s">
        <v>51</v>
      </c>
      <c r="J276" s="251" t="s">
        <v>293</v>
      </c>
      <c r="K276" s="241"/>
    </row>
    <row r="277" spans="2:11">
      <c r="B277" s="316"/>
      <c r="C277" s="235"/>
      <c r="D277" s="243" t="s">
        <v>294</v>
      </c>
      <c r="E277" s="237" t="s">
        <v>273</v>
      </c>
      <c r="F277" s="237"/>
      <c r="G277" s="289">
        <v>0.03</v>
      </c>
      <c r="H277" s="244">
        <v>0.03</v>
      </c>
      <c r="I277" s="240" t="s">
        <v>51</v>
      </c>
      <c r="J277" s="241"/>
      <c r="K277" s="241"/>
    </row>
    <row r="278" spans="2:11">
      <c r="B278" s="316"/>
      <c r="C278" s="235"/>
      <c r="D278" s="243" t="s">
        <v>295</v>
      </c>
      <c r="E278" s="237" t="s">
        <v>273</v>
      </c>
      <c r="F278" s="237"/>
      <c r="G278" s="289">
        <v>0.02</v>
      </c>
      <c r="H278" s="244">
        <v>0.02</v>
      </c>
      <c r="I278" s="240" t="s">
        <v>51</v>
      </c>
      <c r="J278" s="241"/>
      <c r="K278" s="241"/>
    </row>
    <row r="279" spans="2:11">
      <c r="B279" s="316"/>
      <c r="C279" s="235">
        <v>5</v>
      </c>
      <c r="D279" s="266" t="s">
        <v>296</v>
      </c>
      <c r="E279" s="237"/>
      <c r="F279" s="237"/>
      <c r="G279" s="238"/>
      <c r="H279" s="239"/>
      <c r="I279" s="240"/>
      <c r="J279" s="238"/>
      <c r="K279" s="241"/>
    </row>
    <row r="280" spans="2:11">
      <c r="B280" s="316"/>
      <c r="C280" s="271">
        <v>5.0999999999999996</v>
      </c>
      <c r="D280" s="243" t="s">
        <v>297</v>
      </c>
      <c r="E280" s="237" t="s">
        <v>44</v>
      </c>
      <c r="F280" s="237"/>
      <c r="G280" s="238"/>
      <c r="H280" s="239">
        <v>0</v>
      </c>
      <c r="I280" s="240" t="s">
        <v>298</v>
      </c>
      <c r="J280" s="238"/>
      <c r="K280" s="241"/>
    </row>
    <row r="281" spans="2:11">
      <c r="B281" s="316"/>
      <c r="C281" s="271">
        <v>5.2</v>
      </c>
      <c r="D281" s="243" t="s">
        <v>299</v>
      </c>
      <c r="E281" s="237" t="s">
        <v>44</v>
      </c>
      <c r="F281" s="237"/>
      <c r="G281" s="238"/>
      <c r="H281" s="239">
        <v>0</v>
      </c>
      <c r="I281" s="240" t="s">
        <v>300</v>
      </c>
      <c r="J281" s="238"/>
      <c r="K281" s="241"/>
    </row>
    <row r="282" spans="2:11">
      <c r="B282" s="290"/>
      <c r="D282" s="291"/>
    </row>
    <row r="283" spans="2:11">
      <c r="B283" s="290"/>
      <c r="D283" s="291"/>
    </row>
    <row r="284" spans="2:11">
      <c r="B284" s="290"/>
      <c r="D284" s="291"/>
    </row>
    <row r="285" spans="2:11" ht="15">
      <c r="B285" s="227"/>
      <c r="C285" s="292"/>
      <c r="E285" s="293"/>
      <c r="F285" s="292"/>
      <c r="G285" s="227"/>
      <c r="H285" s="292"/>
      <c r="I285" s="292"/>
      <c r="J285" s="227"/>
      <c r="K285" s="227"/>
    </row>
    <row r="286" spans="2:11" ht="15">
      <c r="B286" s="233" t="s">
        <v>33</v>
      </c>
      <c r="C286" s="233" t="s">
        <v>14</v>
      </c>
      <c r="D286" s="233" t="s">
        <v>34</v>
      </c>
      <c r="E286" s="233" t="s">
        <v>35</v>
      </c>
      <c r="F286" s="233"/>
      <c r="G286" s="233"/>
      <c r="H286" s="233" t="s">
        <v>38</v>
      </c>
      <c r="I286" s="233"/>
      <c r="J286" s="227"/>
      <c r="K286" s="227"/>
    </row>
    <row r="287" spans="2:11" ht="15">
      <c r="B287" s="317" t="s">
        <v>301</v>
      </c>
      <c r="C287" s="287">
        <v>1</v>
      </c>
      <c r="D287" s="236" t="s">
        <v>302</v>
      </c>
      <c r="E287" s="237" t="s">
        <v>58</v>
      </c>
      <c r="F287" s="237"/>
      <c r="G287" s="294"/>
      <c r="H287" s="287"/>
      <c r="I287" s="287"/>
      <c r="J287" s="227"/>
      <c r="K287" s="227"/>
    </row>
    <row r="288" spans="2:11" ht="15">
      <c r="B288" s="317"/>
      <c r="C288" s="287"/>
      <c r="D288" s="243" t="s">
        <v>19</v>
      </c>
      <c r="E288" s="237" t="s">
        <v>58</v>
      </c>
      <c r="F288" s="237"/>
      <c r="G288" s="294"/>
      <c r="H288" s="295">
        <v>0.13</v>
      </c>
      <c r="I288" s="287"/>
      <c r="J288" s="227"/>
      <c r="K288" s="227"/>
    </row>
    <row r="289" spans="2:11" ht="15">
      <c r="B289" s="317"/>
      <c r="C289" s="287"/>
      <c r="D289" s="243" t="s">
        <v>20</v>
      </c>
      <c r="E289" s="237" t="s">
        <v>58</v>
      </c>
      <c r="F289" s="237"/>
      <c r="G289" s="294"/>
      <c r="H289" s="295">
        <v>0.09</v>
      </c>
      <c r="I289" s="287"/>
      <c r="J289" s="227"/>
      <c r="K289" s="227"/>
    </row>
    <row r="290" spans="2:11" ht="15">
      <c r="B290" s="317"/>
      <c r="C290" s="287"/>
      <c r="D290" s="243" t="s">
        <v>21</v>
      </c>
      <c r="E290" s="237" t="s">
        <v>58</v>
      </c>
      <c r="F290" s="237"/>
      <c r="G290" s="294"/>
      <c r="H290" s="295">
        <v>0.06</v>
      </c>
      <c r="I290" s="287"/>
      <c r="J290" s="227"/>
      <c r="K290" s="227"/>
    </row>
    <row r="291" spans="2:11" ht="15">
      <c r="B291" s="317"/>
      <c r="C291" s="287"/>
      <c r="D291" s="243" t="s">
        <v>22</v>
      </c>
      <c r="E291" s="237" t="s">
        <v>58</v>
      </c>
      <c r="F291" s="237"/>
      <c r="G291" s="294"/>
      <c r="H291" s="295">
        <v>0</v>
      </c>
      <c r="I291" s="287"/>
      <c r="J291" s="227"/>
      <c r="K291" s="227"/>
    </row>
    <row r="292" spans="2:11" ht="15">
      <c r="B292" s="317"/>
      <c r="C292" s="287"/>
      <c r="D292" s="243" t="s">
        <v>23</v>
      </c>
      <c r="E292" s="237" t="s">
        <v>58</v>
      </c>
      <c r="F292" s="237"/>
      <c r="G292" s="294"/>
      <c r="H292" s="295">
        <v>0.13</v>
      </c>
      <c r="I292" s="287"/>
      <c r="J292" s="227"/>
      <c r="K292" s="227"/>
    </row>
    <row r="293" spans="2:11" ht="15">
      <c r="B293" s="317"/>
      <c r="C293" s="287"/>
      <c r="D293" s="243" t="s">
        <v>24</v>
      </c>
      <c r="E293" s="237" t="s">
        <v>58</v>
      </c>
      <c r="F293" s="237"/>
      <c r="G293" s="294"/>
      <c r="H293" s="295">
        <v>0.09</v>
      </c>
      <c r="I293" s="287"/>
      <c r="J293" s="227"/>
      <c r="K293" s="227"/>
    </row>
    <row r="294" spans="2:11" ht="15">
      <c r="B294" s="317"/>
      <c r="C294" s="287"/>
      <c r="D294" s="243" t="s">
        <v>25</v>
      </c>
      <c r="E294" s="237" t="s">
        <v>58</v>
      </c>
      <c r="F294" s="237"/>
      <c r="G294" s="294"/>
      <c r="H294" s="295">
        <v>0</v>
      </c>
      <c r="I294" s="287"/>
      <c r="J294" s="227"/>
      <c r="K294" s="227"/>
    </row>
    <row r="295" spans="2:11" ht="15">
      <c r="B295" s="317"/>
      <c r="C295" s="287"/>
      <c r="D295" s="243" t="s">
        <v>27</v>
      </c>
      <c r="E295" s="237" t="s">
        <v>58</v>
      </c>
      <c r="F295" s="237"/>
      <c r="G295" s="294"/>
      <c r="H295" s="295">
        <v>0</v>
      </c>
      <c r="I295" s="287"/>
      <c r="J295" s="227"/>
      <c r="K295" s="227"/>
    </row>
    <row r="296" spans="2:11" ht="15">
      <c r="B296" s="317"/>
      <c r="C296" s="287">
        <v>2</v>
      </c>
      <c r="D296" s="236" t="s">
        <v>303</v>
      </c>
      <c r="E296" s="237" t="s">
        <v>58</v>
      </c>
      <c r="F296" s="237"/>
      <c r="G296" s="294"/>
      <c r="H296" s="287"/>
      <c r="I296" s="287"/>
      <c r="J296" s="227"/>
      <c r="K296" s="227"/>
    </row>
    <row r="297" spans="2:11" ht="15">
      <c r="B297" s="317"/>
      <c r="C297" s="287"/>
      <c r="D297" s="243" t="s">
        <v>304</v>
      </c>
      <c r="E297" s="237" t="s">
        <v>58</v>
      </c>
      <c r="F297" s="237"/>
      <c r="G297" s="294"/>
      <c r="H297" s="295">
        <v>0.13</v>
      </c>
      <c r="I297" s="287"/>
      <c r="J297" s="227"/>
      <c r="K297" s="227"/>
    </row>
    <row r="298" spans="2:11" ht="15">
      <c r="B298" s="227"/>
      <c r="C298" s="292"/>
      <c r="E298" s="293"/>
      <c r="F298" s="292"/>
      <c r="G298" s="227"/>
      <c r="H298" s="292"/>
      <c r="I298" s="292"/>
      <c r="J298" s="227"/>
      <c r="K298" s="227"/>
    </row>
    <row r="299" spans="2:11" ht="15">
      <c r="B299" s="227"/>
      <c r="C299" s="292"/>
      <c r="E299" s="293"/>
      <c r="F299" s="292"/>
      <c r="G299" s="227"/>
      <c r="H299" s="292"/>
      <c r="I299" s="292"/>
      <c r="J299" s="227"/>
      <c r="K299" s="227"/>
    </row>
    <row r="300" spans="2:11" ht="17.5">
      <c r="B300" s="227"/>
      <c r="C300" s="292"/>
      <c r="D300" s="296" t="s">
        <v>305</v>
      </c>
      <c r="E300" s="293"/>
      <c r="F300" s="292"/>
      <c r="G300" s="227"/>
      <c r="H300" s="292"/>
      <c r="I300" s="292"/>
      <c r="J300" s="227"/>
      <c r="K300" s="227"/>
    </row>
    <row r="301" spans="2:11" ht="17.5">
      <c r="B301" s="227"/>
      <c r="C301" s="292"/>
      <c r="D301" s="296" t="s">
        <v>306</v>
      </c>
      <c r="E301" s="293"/>
      <c r="F301" s="292"/>
      <c r="G301" s="227"/>
      <c r="H301" s="292"/>
      <c r="I301" s="292"/>
      <c r="J301" s="227"/>
      <c r="K301" s="227"/>
    </row>
    <row r="302" spans="2:11" ht="15">
      <c r="B302" s="227"/>
      <c r="C302" s="292"/>
      <c r="E302" s="293"/>
      <c r="F302" s="292"/>
      <c r="G302" s="227"/>
      <c r="H302" s="292"/>
      <c r="I302" s="292"/>
      <c r="J302" s="227"/>
      <c r="K302" s="227"/>
    </row>
    <row r="303" spans="2:11" ht="15">
      <c r="B303" s="227"/>
      <c r="C303" s="292"/>
      <c r="E303" s="293"/>
      <c r="F303" s="292"/>
      <c r="G303" s="227"/>
      <c r="H303" s="292"/>
      <c r="I303" s="292"/>
      <c r="J303" s="227"/>
      <c r="K303" s="227"/>
    </row>
    <row r="304" spans="2:11" ht="15">
      <c r="B304" s="227"/>
      <c r="C304" s="292"/>
      <c r="E304" s="293"/>
      <c r="F304" s="292"/>
      <c r="G304" s="227"/>
      <c r="H304" s="292"/>
      <c r="I304" s="292"/>
      <c r="J304" s="227"/>
      <c r="K304" s="227"/>
    </row>
  </sheetData>
  <mergeCells count="9">
    <mergeCell ref="B216:B265"/>
    <mergeCell ref="B266:B281"/>
    <mergeCell ref="B287:B297"/>
    <mergeCell ref="J126:J132"/>
    <mergeCell ref="B4:B12"/>
    <mergeCell ref="B13:B68"/>
    <mergeCell ref="B69:B84"/>
    <mergeCell ref="B85:B98"/>
    <mergeCell ref="B102:B181"/>
  </mergeCells>
  <phoneticPr fontId="6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A103"/>
  <sheetViews>
    <sheetView showGridLines="0" topLeftCell="A50" zoomScale="50" zoomScaleNormal="50" workbookViewId="0">
      <selection activeCell="B86" sqref="B86:AA86"/>
    </sheetView>
  </sheetViews>
  <sheetFormatPr defaultColWidth="8.81640625" defaultRowHeight="16.5"/>
  <cols>
    <col min="1" max="1" width="2.81640625" style="59" customWidth="1"/>
    <col min="2" max="2" width="8.81640625" style="59"/>
    <col min="3" max="3" width="31.81640625" style="59" customWidth="1"/>
    <col min="4" max="4" width="18.453125" style="59" customWidth="1"/>
    <col min="5" max="5" width="8.81640625" style="59"/>
    <col min="6" max="6" width="11.81640625" style="59" customWidth="1"/>
    <col min="7" max="7" width="13.1796875" style="59" customWidth="1"/>
    <col min="8" max="9" width="13" style="59" customWidth="1"/>
    <col min="10" max="16" width="11.81640625" style="59" customWidth="1"/>
    <col min="17" max="22" width="11.6328125" style="59" customWidth="1"/>
    <col min="23" max="27" width="11.81640625" style="59" customWidth="1"/>
    <col min="28" max="16384" width="8.81640625" style="59"/>
  </cols>
  <sheetData>
    <row r="2" spans="2:27">
      <c r="B2" s="210" t="s">
        <v>307</v>
      </c>
      <c r="C2" s="211"/>
      <c r="D2" s="211"/>
      <c r="E2" s="211"/>
      <c r="F2" s="211"/>
      <c r="G2" s="211"/>
      <c r="H2" s="211"/>
      <c r="I2" s="211"/>
      <c r="J2" s="211"/>
      <c r="K2" s="211"/>
      <c r="L2" s="211"/>
      <c r="M2" s="211"/>
      <c r="N2" s="211"/>
      <c r="O2" s="211"/>
      <c r="P2" s="211"/>
      <c r="Q2" s="211"/>
      <c r="R2" s="211"/>
      <c r="S2" s="211"/>
      <c r="T2" s="211"/>
      <c r="U2" s="211"/>
      <c r="V2" s="211"/>
      <c r="W2" s="211"/>
      <c r="X2" s="211"/>
      <c r="Y2" s="211"/>
      <c r="Z2" s="211"/>
      <c r="AA2" s="211"/>
    </row>
    <row r="3" spans="2:27">
      <c r="B3" s="327" t="s">
        <v>14</v>
      </c>
      <c r="C3" s="212" t="s">
        <v>43</v>
      </c>
      <c r="D3" s="212" t="s">
        <v>308</v>
      </c>
      <c r="E3" s="326"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28"/>
      <c r="C4" s="212"/>
      <c r="D4" s="212"/>
      <c r="E4" s="326"/>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c r="B5" s="329"/>
      <c r="C5" s="212" t="s">
        <v>50</v>
      </c>
      <c r="D5" s="213">
        <f>SUM(F5:M5)</f>
        <v>1</v>
      </c>
      <c r="E5" s="326"/>
      <c r="F5" s="214">
        <f>参数输入表!H7</f>
        <v>1</v>
      </c>
      <c r="G5" s="214">
        <f>参数输入表!H8</f>
        <v>0</v>
      </c>
      <c r="H5" s="214"/>
      <c r="I5" s="215"/>
      <c r="J5" s="215"/>
      <c r="K5" s="215"/>
      <c r="L5" s="215"/>
      <c r="M5" s="215"/>
      <c r="N5" s="72"/>
      <c r="O5" s="72"/>
      <c r="P5" s="72"/>
      <c r="Q5" s="72"/>
      <c r="R5" s="72"/>
      <c r="S5" s="72"/>
      <c r="T5" s="72"/>
      <c r="U5" s="72"/>
      <c r="V5" s="72"/>
      <c r="W5" s="72"/>
      <c r="X5" s="72"/>
      <c r="Y5" s="72"/>
      <c r="Z5" s="72"/>
      <c r="AA5" s="72"/>
    </row>
    <row r="6" spans="2:27">
      <c r="B6" s="44">
        <v>1</v>
      </c>
      <c r="C6" s="57" t="s">
        <v>309</v>
      </c>
      <c r="D6" s="216">
        <f ca="1">D7+D8+D9</f>
        <v>24902.493503387803</v>
      </c>
      <c r="E6" s="47" t="s">
        <v>106</v>
      </c>
      <c r="F6" s="216">
        <f ca="1">SUM(F7:F9)</f>
        <v>24752.493503387803</v>
      </c>
      <c r="G6" s="216">
        <f t="shared" ref="G6:H6" si="0">SUM(G7:G9)</f>
        <v>0</v>
      </c>
      <c r="H6" s="216">
        <f t="shared" si="0"/>
        <v>150</v>
      </c>
      <c r="I6" s="217"/>
      <c r="J6" s="217"/>
      <c r="K6" s="217"/>
      <c r="L6" s="217"/>
      <c r="M6" s="217"/>
      <c r="N6" s="72"/>
      <c r="O6" s="72"/>
      <c r="P6" s="72"/>
      <c r="Q6" s="72"/>
      <c r="R6" s="72"/>
      <c r="S6" s="72"/>
      <c r="T6" s="72"/>
      <c r="U6" s="72"/>
      <c r="V6" s="72"/>
      <c r="W6" s="72"/>
      <c r="X6" s="72"/>
      <c r="Y6" s="72"/>
      <c r="Z6" s="72"/>
      <c r="AA6" s="72"/>
    </row>
    <row r="7" spans="2:27">
      <c r="B7" s="47">
        <v>1.1000000000000001</v>
      </c>
      <c r="C7" s="160" t="s">
        <v>109</v>
      </c>
      <c r="D7" s="218">
        <f>SUM(F7:AA7)</f>
        <v>24402.36</v>
      </c>
      <c r="E7" s="47" t="s">
        <v>106</v>
      </c>
      <c r="F7" s="218">
        <f>参数输入表!$H$77*F5</f>
        <v>24402.36</v>
      </c>
      <c r="G7" s="218">
        <f>参数输入表!$H$77*G5</f>
        <v>0</v>
      </c>
      <c r="H7" s="218">
        <v>0</v>
      </c>
      <c r="I7" s="217"/>
      <c r="J7" s="217"/>
      <c r="K7" s="217"/>
      <c r="L7" s="217"/>
      <c r="M7" s="217"/>
      <c r="N7" s="72"/>
      <c r="O7" s="72"/>
      <c r="P7" s="72"/>
      <c r="Q7" s="72"/>
      <c r="R7" s="72"/>
      <c r="S7" s="72"/>
      <c r="T7" s="72"/>
      <c r="U7" s="72"/>
      <c r="V7" s="72"/>
      <c r="W7" s="72"/>
      <c r="X7" s="72"/>
      <c r="Y7" s="72"/>
      <c r="Z7" s="72"/>
      <c r="AA7" s="72"/>
    </row>
    <row r="8" spans="2:27">
      <c r="B8" s="47">
        <v>1.2</v>
      </c>
      <c r="C8" s="160" t="s">
        <v>27</v>
      </c>
      <c r="D8" s="218">
        <f ca="1">SUM(F8:AA8)</f>
        <v>350.13350338780384</v>
      </c>
      <c r="E8" s="47" t="s">
        <v>106</v>
      </c>
      <c r="F8" s="218">
        <f ca="1">F17</f>
        <v>350.13350338780384</v>
      </c>
      <c r="G8" s="218">
        <f>G17</f>
        <v>0</v>
      </c>
      <c r="H8" s="218">
        <f>H17</f>
        <v>0</v>
      </c>
      <c r="I8" s="217"/>
      <c r="J8" s="217"/>
      <c r="K8" s="217"/>
      <c r="L8" s="217"/>
      <c r="M8" s="217"/>
      <c r="N8" s="72"/>
      <c r="O8" s="72"/>
      <c r="P8" s="72"/>
      <c r="Q8" s="72"/>
      <c r="R8" s="72"/>
      <c r="S8" s="72"/>
      <c r="T8" s="72"/>
      <c r="U8" s="72"/>
      <c r="V8" s="72"/>
      <c r="W8" s="72"/>
      <c r="X8" s="72"/>
      <c r="Y8" s="72"/>
      <c r="Z8" s="72"/>
      <c r="AA8" s="72"/>
    </row>
    <row r="9" spans="2:27">
      <c r="B9" s="47">
        <v>1.3</v>
      </c>
      <c r="C9" s="160" t="s">
        <v>29</v>
      </c>
      <c r="D9" s="218">
        <f>SUM(F9:AA9)</f>
        <v>150</v>
      </c>
      <c r="E9" s="47" t="s">
        <v>106</v>
      </c>
      <c r="F9" s="218">
        <v>0</v>
      </c>
      <c r="G9" s="218">
        <v>0</v>
      </c>
      <c r="H9" s="218">
        <f>参数输入表!H81</f>
        <v>150</v>
      </c>
      <c r="I9" s="217"/>
      <c r="J9" s="217"/>
      <c r="K9" s="217"/>
      <c r="L9" s="217"/>
      <c r="M9" s="217"/>
      <c r="N9" s="72"/>
      <c r="O9" s="72"/>
      <c r="P9" s="72"/>
      <c r="Q9" s="72"/>
      <c r="R9" s="72"/>
      <c r="S9" s="72"/>
      <c r="T9" s="72"/>
      <c r="U9" s="72"/>
      <c r="V9" s="72"/>
      <c r="W9" s="72"/>
      <c r="X9" s="72"/>
      <c r="Y9" s="72"/>
      <c r="Z9" s="72"/>
      <c r="AA9" s="72"/>
    </row>
    <row r="10" spans="2:27">
      <c r="B10" s="44">
        <v>2</v>
      </c>
      <c r="C10" s="57" t="s">
        <v>310</v>
      </c>
      <c r="D10" s="57"/>
      <c r="E10" s="44"/>
      <c r="F10" s="218"/>
      <c r="G10" s="218"/>
      <c r="H10" s="218"/>
      <c r="I10" s="44"/>
      <c r="J10" s="44"/>
      <c r="K10" s="44"/>
      <c r="L10" s="44"/>
      <c r="M10" s="44"/>
      <c r="N10" s="72"/>
      <c r="O10" s="72"/>
      <c r="P10" s="72"/>
      <c r="Q10" s="72"/>
      <c r="R10" s="72"/>
      <c r="S10" s="72"/>
      <c r="T10" s="72"/>
      <c r="U10" s="72"/>
      <c r="V10" s="72"/>
      <c r="W10" s="72"/>
      <c r="X10" s="72"/>
      <c r="Y10" s="72"/>
      <c r="Z10" s="72"/>
      <c r="AA10" s="72"/>
    </row>
    <row r="11" spans="2:27">
      <c r="B11" s="44">
        <v>2.1</v>
      </c>
      <c r="C11" s="57" t="s">
        <v>127</v>
      </c>
      <c r="D11" s="216">
        <f ca="1">SUM(F11:AA11)</f>
        <v>4995.4987006775609</v>
      </c>
      <c r="E11" s="47" t="s">
        <v>106</v>
      </c>
      <c r="F11" s="216">
        <f ca="1">F6*参数输入表!$H$85</f>
        <v>4950.4987006775609</v>
      </c>
      <c r="G11" s="216">
        <f>G6*参数输入表!$H$85</f>
        <v>0</v>
      </c>
      <c r="H11" s="216">
        <f>H6*参数输入表!$H$93</f>
        <v>45</v>
      </c>
      <c r="I11" s="217"/>
      <c r="J11" s="217"/>
      <c r="K11" s="217"/>
      <c r="L11" s="217"/>
      <c r="M11" s="217"/>
      <c r="N11" s="72"/>
      <c r="O11" s="72"/>
      <c r="P11" s="72"/>
      <c r="Q11" s="72"/>
      <c r="R11" s="72"/>
      <c r="S11" s="72"/>
      <c r="T11" s="72"/>
      <c r="U11" s="72"/>
      <c r="V11" s="72"/>
      <c r="W11" s="72"/>
      <c r="X11" s="72"/>
      <c r="Y11" s="72"/>
      <c r="Z11" s="72"/>
      <c r="AA11" s="72"/>
    </row>
    <row r="12" spans="2:27">
      <c r="B12" s="47" t="s">
        <v>311</v>
      </c>
      <c r="C12" s="160" t="s">
        <v>312</v>
      </c>
      <c r="D12" s="218">
        <f ca="1">SUM(F12:AA12)</f>
        <v>4950.4987006775609</v>
      </c>
      <c r="E12" s="47" t="s">
        <v>106</v>
      </c>
      <c r="F12" s="218">
        <f ca="1">F11-F13-F14</f>
        <v>4950.4987006775609</v>
      </c>
      <c r="G12" s="218">
        <f>G11-G13-G14</f>
        <v>0</v>
      </c>
      <c r="H12" s="218">
        <v>0</v>
      </c>
      <c r="I12" s="219"/>
      <c r="J12" s="219"/>
      <c r="K12" s="219"/>
      <c r="L12" s="219"/>
      <c r="M12" s="219"/>
      <c r="N12" s="72"/>
      <c r="O12" s="72"/>
      <c r="P12" s="72"/>
      <c r="Q12" s="72"/>
      <c r="R12" s="72"/>
      <c r="S12" s="72"/>
      <c r="T12" s="72"/>
      <c r="U12" s="72"/>
      <c r="V12" s="72"/>
      <c r="W12" s="72"/>
      <c r="X12" s="72"/>
      <c r="Y12" s="72"/>
      <c r="Z12" s="72"/>
      <c r="AA12" s="72"/>
    </row>
    <row r="13" spans="2:27">
      <c r="B13" s="47" t="s">
        <v>313</v>
      </c>
      <c r="C13" s="160" t="s">
        <v>314</v>
      </c>
      <c r="D13" s="218">
        <f>SUM(F13:AA13)</f>
        <v>0</v>
      </c>
      <c r="E13" s="47" t="s">
        <v>106</v>
      </c>
      <c r="F13" s="218">
        <v>0</v>
      </c>
      <c r="G13" s="218">
        <v>0</v>
      </c>
      <c r="H13" s="218">
        <v>0</v>
      </c>
      <c r="I13" s="219"/>
      <c r="J13" s="219"/>
      <c r="K13" s="219"/>
      <c r="L13" s="219"/>
      <c r="M13" s="219"/>
      <c r="N13" s="72"/>
      <c r="O13" s="72"/>
      <c r="P13" s="72"/>
      <c r="Q13" s="72"/>
      <c r="R13" s="72"/>
      <c r="S13" s="72"/>
      <c r="T13" s="72"/>
      <c r="U13" s="72"/>
      <c r="V13" s="72"/>
      <c r="W13" s="72"/>
      <c r="X13" s="72"/>
      <c r="Y13" s="72"/>
      <c r="Z13" s="72"/>
      <c r="AA13" s="72"/>
    </row>
    <row r="14" spans="2:27">
      <c r="B14" s="47" t="s">
        <v>315</v>
      </c>
      <c r="C14" s="160" t="s">
        <v>316</v>
      </c>
      <c r="D14" s="218">
        <f>SUM(F14:AA14)</f>
        <v>45</v>
      </c>
      <c r="E14" s="47"/>
      <c r="F14" s="218">
        <v>0</v>
      </c>
      <c r="G14" s="218">
        <v>0</v>
      </c>
      <c r="H14" s="218">
        <f>H9*参数输入表!H93</f>
        <v>45</v>
      </c>
      <c r="I14" s="219"/>
      <c r="J14" s="219"/>
      <c r="K14" s="219"/>
      <c r="L14" s="219"/>
      <c r="M14" s="219"/>
      <c r="N14" s="72"/>
      <c r="O14" s="72"/>
      <c r="P14" s="72"/>
      <c r="Q14" s="72"/>
      <c r="R14" s="72"/>
      <c r="S14" s="72"/>
      <c r="T14" s="72"/>
      <c r="U14" s="72"/>
      <c r="V14" s="72"/>
      <c r="W14" s="72"/>
      <c r="X14" s="72"/>
      <c r="Y14" s="72"/>
      <c r="Z14" s="72"/>
      <c r="AA14" s="72"/>
    </row>
    <row r="15" spans="2:27">
      <c r="B15" s="44">
        <v>2.2000000000000002</v>
      </c>
      <c r="C15" s="57" t="s">
        <v>317</v>
      </c>
      <c r="D15" s="216">
        <f t="shared" ref="D15" ca="1" si="1">SUM(F15:M15)</f>
        <v>19906.99480271024</v>
      </c>
      <c r="E15" s="47" t="s">
        <v>106</v>
      </c>
      <c r="F15" s="216">
        <f ca="1">SUM(F16:F18)</f>
        <v>19801.99480271024</v>
      </c>
      <c r="G15" s="216">
        <f t="shared" ref="G15:H15" si="2">SUM(G16:G18)</f>
        <v>0</v>
      </c>
      <c r="H15" s="216">
        <f t="shared" si="2"/>
        <v>105</v>
      </c>
      <c r="I15" s="217"/>
      <c r="J15" s="217"/>
      <c r="K15" s="217"/>
      <c r="L15" s="217"/>
      <c r="M15" s="217"/>
      <c r="N15" s="72"/>
      <c r="O15" s="72"/>
      <c r="P15" s="72"/>
      <c r="Q15" s="72"/>
      <c r="R15" s="72"/>
      <c r="S15" s="72"/>
      <c r="T15" s="72"/>
      <c r="U15" s="72"/>
      <c r="V15" s="72"/>
      <c r="W15" s="72"/>
      <c r="X15" s="72"/>
      <c r="Y15" s="72"/>
      <c r="Z15" s="72"/>
      <c r="AA15" s="72"/>
    </row>
    <row r="16" spans="2:27">
      <c r="B16" s="47" t="s">
        <v>318</v>
      </c>
      <c r="C16" s="160" t="s">
        <v>312</v>
      </c>
      <c r="D16" s="218">
        <f ca="1">SUM(F16:AA16)</f>
        <v>19451.861299322438</v>
      </c>
      <c r="E16" s="47" t="s">
        <v>106</v>
      </c>
      <c r="F16" s="218">
        <f ca="1">F7-F12</f>
        <v>19451.861299322438</v>
      </c>
      <c r="G16" s="218">
        <f>G7-G12</f>
        <v>0</v>
      </c>
      <c r="H16" s="218">
        <f t="shared" ref="H16" si="3">H7-H12</f>
        <v>0</v>
      </c>
      <c r="I16" s="219"/>
      <c r="J16" s="219"/>
      <c r="K16" s="219"/>
      <c r="L16" s="219"/>
      <c r="M16" s="219"/>
      <c r="N16" s="72"/>
      <c r="O16" s="72"/>
      <c r="P16" s="72"/>
      <c r="Q16" s="72"/>
      <c r="R16" s="72"/>
      <c r="S16" s="72"/>
      <c r="T16" s="72"/>
      <c r="U16" s="72"/>
      <c r="V16" s="72"/>
      <c r="W16" s="72"/>
      <c r="X16" s="72"/>
      <c r="Y16" s="72"/>
      <c r="Z16" s="72"/>
      <c r="AA16" s="72"/>
    </row>
    <row r="17" spans="2:27">
      <c r="B17" s="47" t="s">
        <v>313</v>
      </c>
      <c r="C17" s="160" t="s">
        <v>314</v>
      </c>
      <c r="D17" s="218">
        <f ca="1">SUM(F17:AA17)</f>
        <v>350.13350338780384</v>
      </c>
      <c r="E17" s="47" t="s">
        <v>106</v>
      </c>
      <c r="F17" s="218">
        <f ca="1">F16/2*参数输入表!$H$88*(参数输入表!H4/12)</f>
        <v>350.13350338780384</v>
      </c>
      <c r="G17" s="218">
        <f>IF(G5&gt;0,((G16/2+F15)*参数输入表!$H$88),0)</f>
        <v>0</v>
      </c>
      <c r="H17" s="218">
        <v>0</v>
      </c>
      <c r="I17" s="219"/>
      <c r="J17" s="219"/>
      <c r="K17" s="219"/>
      <c r="L17" s="219"/>
      <c r="M17" s="219"/>
      <c r="N17" s="72"/>
      <c r="O17" s="72"/>
      <c r="P17" s="72"/>
      <c r="Q17" s="72"/>
      <c r="R17" s="72"/>
      <c r="S17" s="72"/>
      <c r="T17" s="72"/>
      <c r="U17" s="72"/>
      <c r="V17" s="72"/>
      <c r="W17" s="72"/>
      <c r="X17" s="72"/>
      <c r="Y17" s="72"/>
      <c r="Z17" s="72"/>
      <c r="AA17" s="72"/>
    </row>
    <row r="18" spans="2:27">
      <c r="B18" s="47" t="s">
        <v>315</v>
      </c>
      <c r="C18" s="160" t="s">
        <v>316</v>
      </c>
      <c r="D18" s="218">
        <f>SUM(F18:AA18)</f>
        <v>105</v>
      </c>
      <c r="E18" s="47" t="s">
        <v>106</v>
      </c>
      <c r="F18" s="218">
        <v>0</v>
      </c>
      <c r="G18" s="218">
        <v>0</v>
      </c>
      <c r="H18" s="218">
        <f>H9-H14</f>
        <v>105</v>
      </c>
      <c r="I18" s="219"/>
      <c r="J18" s="219"/>
      <c r="K18" s="219"/>
      <c r="L18" s="219"/>
      <c r="M18" s="219"/>
      <c r="N18" s="72"/>
      <c r="O18" s="72"/>
      <c r="P18" s="72"/>
      <c r="Q18" s="72"/>
      <c r="R18" s="72"/>
      <c r="S18" s="72"/>
      <c r="T18" s="72"/>
      <c r="U18" s="72"/>
      <c r="V18" s="72"/>
      <c r="W18" s="72"/>
      <c r="X18" s="72"/>
      <c r="Y18" s="72"/>
      <c r="Z18" s="72"/>
      <c r="AA18" s="72"/>
    </row>
    <row r="19" spans="2:27">
      <c r="B19" s="100"/>
      <c r="C19" s="220"/>
      <c r="D19" s="221"/>
      <c r="E19" s="100"/>
      <c r="F19" s="221"/>
      <c r="G19" s="221"/>
      <c r="H19" s="221"/>
      <c r="I19" s="222"/>
      <c r="J19" s="222"/>
      <c r="K19" s="222"/>
      <c r="L19" s="222"/>
      <c r="M19" s="222"/>
    </row>
    <row r="20" spans="2:27" hidden="1">
      <c r="B20" s="210" t="s">
        <v>319</v>
      </c>
      <c r="C20" s="211"/>
      <c r="D20" s="211"/>
      <c r="E20" s="211"/>
      <c r="F20" s="211"/>
      <c r="G20" s="211"/>
      <c r="H20" s="211"/>
      <c r="I20" s="211"/>
      <c r="J20" s="211"/>
      <c r="K20" s="211"/>
      <c r="L20" s="211"/>
      <c r="M20" s="211"/>
      <c r="N20" s="211"/>
      <c r="O20" s="211"/>
      <c r="P20" s="211"/>
      <c r="Q20" s="211"/>
      <c r="R20" s="211"/>
      <c r="S20" s="211"/>
      <c r="T20" s="211"/>
      <c r="U20" s="211"/>
      <c r="V20" s="211"/>
      <c r="W20" s="211"/>
      <c r="X20" s="211"/>
      <c r="Y20" s="211"/>
      <c r="Z20" s="211"/>
      <c r="AA20" s="211"/>
    </row>
    <row r="21" spans="2:27" hidden="1">
      <c r="B21" s="326" t="s">
        <v>14</v>
      </c>
      <c r="C21" s="326" t="s">
        <v>320</v>
      </c>
      <c r="D21" s="326" t="s">
        <v>308</v>
      </c>
      <c r="E21" s="326" t="s">
        <v>39</v>
      </c>
      <c r="F21" s="324" t="s">
        <v>43</v>
      </c>
      <c r="G21" s="324"/>
      <c r="H21" s="325" t="s">
        <v>54</v>
      </c>
      <c r="I21" s="325"/>
      <c r="J21" s="325"/>
      <c r="K21" s="325"/>
      <c r="L21" s="325"/>
      <c r="M21" s="325"/>
      <c r="N21" s="325"/>
      <c r="O21" s="325"/>
      <c r="P21" s="325"/>
      <c r="Q21" s="325"/>
      <c r="R21" s="325"/>
      <c r="S21" s="325"/>
      <c r="T21" s="325"/>
      <c r="U21" s="325"/>
      <c r="V21" s="325"/>
      <c r="W21" s="325"/>
      <c r="X21" s="325"/>
      <c r="Y21" s="325"/>
      <c r="Z21" s="325"/>
      <c r="AA21" s="325"/>
    </row>
    <row r="22" spans="2:27" hidden="1">
      <c r="B22" s="326"/>
      <c r="C22" s="326"/>
      <c r="D22" s="326"/>
      <c r="E22" s="326"/>
      <c r="F22" s="42">
        <v>1</v>
      </c>
      <c r="G22" s="42">
        <v>2</v>
      </c>
      <c r="H22" s="43">
        <v>1</v>
      </c>
      <c r="I22" s="43">
        <v>2</v>
      </c>
      <c r="J22" s="43">
        <v>3</v>
      </c>
      <c r="K22" s="43">
        <v>4</v>
      </c>
      <c r="L22" s="43">
        <v>5</v>
      </c>
      <c r="M22" s="43">
        <v>6</v>
      </c>
      <c r="N22" s="43">
        <v>7</v>
      </c>
      <c r="O22" s="43">
        <v>8</v>
      </c>
      <c r="P22" s="43">
        <v>9</v>
      </c>
      <c r="Q22" s="43">
        <v>10</v>
      </c>
      <c r="R22" s="43">
        <v>11</v>
      </c>
      <c r="S22" s="43">
        <v>12</v>
      </c>
      <c r="T22" s="43">
        <v>13</v>
      </c>
      <c r="U22" s="43">
        <v>14</v>
      </c>
      <c r="V22" s="43">
        <v>15</v>
      </c>
      <c r="W22" s="43">
        <v>16</v>
      </c>
      <c r="X22" s="43">
        <v>17</v>
      </c>
      <c r="Y22" s="43">
        <v>18</v>
      </c>
      <c r="Z22" s="43">
        <v>19</v>
      </c>
      <c r="AA22" s="43">
        <v>20</v>
      </c>
    </row>
    <row r="23" spans="2:27" hidden="1">
      <c r="B23" s="44">
        <v>1</v>
      </c>
      <c r="C23" s="57" t="s">
        <v>321</v>
      </c>
      <c r="D23" s="216">
        <f t="shared" ref="D23:D28" ca="1" si="4">SUM(F23:AA23)</f>
        <v>126032.63890515972</v>
      </c>
      <c r="E23" s="47" t="s">
        <v>106</v>
      </c>
      <c r="F23" s="216">
        <f ca="1">SUM(F24:F27)</f>
        <v>2317.7152865880998</v>
      </c>
      <c r="G23" s="216">
        <f t="shared" ref="G23:AA23" ca="1" si="5">SUM(G24:G27)</f>
        <v>2317.7152865880998</v>
      </c>
      <c r="H23" s="216">
        <f t="shared" ca="1" si="5"/>
        <v>2581.2600034446377</v>
      </c>
      <c r="I23" s="216">
        <f t="shared" ca="1" si="5"/>
        <v>2873.5605387658643</v>
      </c>
      <c r="J23" s="216">
        <f t="shared" ca="1" si="5"/>
        <v>3192.2165585805742</v>
      </c>
      <c r="K23" s="216">
        <f t="shared" ca="1" si="5"/>
        <v>3498.4988764912769</v>
      </c>
      <c r="L23" s="216">
        <f t="shared" ca="1" si="5"/>
        <v>3824.8811959177369</v>
      </c>
      <c r="M23" s="216">
        <f t="shared" ca="1" si="5"/>
        <v>4099.9844911251676</v>
      </c>
      <c r="N23" s="216">
        <f t="shared" ca="1" si="5"/>
        <v>4412.5221289628998</v>
      </c>
      <c r="O23" s="216">
        <f t="shared" ca="1" si="5"/>
        <v>4777.353810214855</v>
      </c>
      <c r="P23" s="216">
        <f t="shared" ca="1" si="5"/>
        <v>5152.4302890464587</v>
      </c>
      <c r="Q23" s="216">
        <f t="shared" ca="1" si="5"/>
        <v>5537.0835216061951</v>
      </c>
      <c r="R23" s="216">
        <f t="shared" ca="1" si="5"/>
        <v>5429.0604183431824</v>
      </c>
      <c r="S23" s="216">
        <f t="shared" ca="1" si="5"/>
        <v>5779.0066007601026</v>
      </c>
      <c r="T23" s="216">
        <f t="shared" ca="1" si="5"/>
        <v>6145.0164434520484</v>
      </c>
      <c r="U23" s="216">
        <f t="shared" ca="1" si="5"/>
        <v>6525.8400162979669</v>
      </c>
      <c r="V23" s="216">
        <f t="shared" ca="1" si="5"/>
        <v>6920.3523821889094</v>
      </c>
      <c r="W23" s="216">
        <f t="shared" ca="1" si="5"/>
        <v>8121.1842358468384</v>
      </c>
      <c r="X23" s="216">
        <f t="shared" ca="1" si="5"/>
        <v>9221.7359742492117</v>
      </c>
      <c r="Y23" s="216">
        <f t="shared" ca="1" si="5"/>
        <v>10232.035608921586</v>
      </c>
      <c r="Z23" s="216">
        <f t="shared" ca="1" si="5"/>
        <v>11161.10835023696</v>
      </c>
      <c r="AA23" s="216">
        <f t="shared" ca="1" si="5"/>
        <v>11912.076887531035</v>
      </c>
    </row>
    <row r="24" spans="2:27" hidden="1">
      <c r="B24" s="47"/>
      <c r="C24" s="160" t="s">
        <v>322</v>
      </c>
      <c r="D24" s="218">
        <f t="shared" ca="1" si="4"/>
        <v>115088.23754825024</v>
      </c>
      <c r="E24" s="47" t="s">
        <v>106</v>
      </c>
      <c r="F24" s="218">
        <f ca="1">'表9-现金流量表-财务计划'!F34</f>
        <v>0</v>
      </c>
      <c r="G24" s="218">
        <f ca="1">'表9-现金流量表-财务计划'!G34</f>
        <v>0</v>
      </c>
      <c r="H24" s="218">
        <f ca="1">'表9-现金流量表-财务计划'!H34</f>
        <v>625.18087706998904</v>
      </c>
      <c r="I24" s="218">
        <f ca="1">'表9-现金流量表-财务计划'!I34</f>
        <v>1279.1175726046661</v>
      </c>
      <c r="J24" s="218">
        <f ca="1">'表9-现金流量表-财务计划'!J34</f>
        <v>1959.4097526328271</v>
      </c>
      <c r="K24" s="218">
        <f ca="1">'表9-现金流量表-财务计划'!K34</f>
        <v>2627.3282307569807</v>
      </c>
      <c r="L24" s="218">
        <f ca="1">'表9-现金流量表-财务计划'!L34</f>
        <v>3315.3467103968919</v>
      </c>
      <c r="M24" s="218">
        <f ca="1">'表9-现金流量表-财务计划'!M34</f>
        <v>3955.0477371306233</v>
      </c>
      <c r="N24" s="218">
        <f ca="1">'表9-现金流量表-财务计划'!N34</f>
        <v>4412.5221289628998</v>
      </c>
      <c r="O24" s="218">
        <f ca="1">'表9-现金流量表-财务计划'!O34</f>
        <v>4777.353810214855</v>
      </c>
      <c r="P24" s="218">
        <f ca="1">'表9-现金流量表-财务计划'!P34</f>
        <v>5152.4302890464587</v>
      </c>
      <c r="Q24" s="218">
        <f ca="1">'表9-现金流量表-财务计划'!Q34</f>
        <v>5537.0835216061951</v>
      </c>
      <c r="R24" s="218">
        <f ca="1">'表9-现金流量表-财务计划'!R34</f>
        <v>5429.0604183431824</v>
      </c>
      <c r="S24" s="218">
        <f ca="1">'表9-现金流量表-财务计划'!S34</f>
        <v>5779.0066007601026</v>
      </c>
      <c r="T24" s="218">
        <f ca="1">'表9-现金流量表-财务计划'!T34</f>
        <v>6145.0164434520484</v>
      </c>
      <c r="U24" s="218">
        <f ca="1">'表9-现金流量表-财务计划'!U34</f>
        <v>6525.8400162979669</v>
      </c>
      <c r="V24" s="218">
        <f ca="1">'表9-现金流量表-财务计划'!V34</f>
        <v>6920.3523821889094</v>
      </c>
      <c r="W24" s="218">
        <f ca="1">'表9-现金流量表-财务计划'!W34</f>
        <v>8121.1842358468384</v>
      </c>
      <c r="X24" s="218">
        <f ca="1">'表9-现金流量表-财务计划'!X34</f>
        <v>9221.7359742492117</v>
      </c>
      <c r="Y24" s="218">
        <f ca="1">'表9-现金流量表-财务计划'!Y34</f>
        <v>10232.035608921586</v>
      </c>
      <c r="Z24" s="218">
        <f ca="1">'表9-现金流量表-财务计划'!Z34</f>
        <v>11161.10835023696</v>
      </c>
      <c r="AA24" s="218">
        <f ca="1">'表9-现金流量表-财务计划'!AA34</f>
        <v>11912.076887531035</v>
      </c>
    </row>
    <row r="25" spans="2:27" hidden="1">
      <c r="B25" s="47"/>
      <c r="C25" s="160" t="s">
        <v>323</v>
      </c>
      <c r="D25" s="218">
        <f t="shared" si="4"/>
        <v>0</v>
      </c>
      <c r="E25" s="47" t="s">
        <v>106</v>
      </c>
      <c r="F25" s="218"/>
      <c r="G25" s="218"/>
      <c r="H25" s="218">
        <f>'表4-收入税金表'!H60</f>
        <v>0</v>
      </c>
      <c r="I25" s="218">
        <f>'表4-收入税金表'!I60</f>
        <v>0</v>
      </c>
      <c r="J25" s="218">
        <f>'表4-收入税金表'!J60</f>
        <v>0</v>
      </c>
      <c r="K25" s="218">
        <f>'表4-收入税金表'!K60</f>
        <v>0</v>
      </c>
      <c r="L25" s="218">
        <f>'表4-收入税金表'!L60</f>
        <v>0</v>
      </c>
      <c r="M25" s="218">
        <f>'表4-收入税金表'!M60</f>
        <v>0</v>
      </c>
      <c r="N25" s="218">
        <f>'表4-收入税金表'!N60</f>
        <v>0</v>
      </c>
      <c r="O25" s="218">
        <f>'表4-收入税金表'!O60</f>
        <v>0</v>
      </c>
      <c r="P25" s="218">
        <f>'表4-收入税金表'!P60</f>
        <v>0</v>
      </c>
      <c r="Q25" s="218">
        <f>'表4-收入税金表'!Q60</f>
        <v>0</v>
      </c>
      <c r="R25" s="218">
        <f>'表4-收入税金表'!R60</f>
        <v>0</v>
      </c>
      <c r="S25" s="218">
        <f>'表4-收入税金表'!S60</f>
        <v>0</v>
      </c>
      <c r="T25" s="218">
        <f>'表4-收入税金表'!T60</f>
        <v>0</v>
      </c>
      <c r="U25" s="218">
        <f>'表4-收入税金表'!U60</f>
        <v>0</v>
      </c>
      <c r="V25" s="218">
        <f>'表4-收入税金表'!V60</f>
        <v>0</v>
      </c>
      <c r="W25" s="218">
        <f>'表4-收入税金表'!W60</f>
        <v>0</v>
      </c>
      <c r="X25" s="218">
        <f>'表4-收入税金表'!X60</f>
        <v>0</v>
      </c>
      <c r="Y25" s="218">
        <f>'表4-收入税金表'!Y60</f>
        <v>0</v>
      </c>
      <c r="Z25" s="218">
        <f>'表4-收入税金表'!Z60</f>
        <v>0</v>
      </c>
      <c r="AA25" s="218">
        <f>'表4-收入税金表'!AA60</f>
        <v>0</v>
      </c>
    </row>
    <row r="26" spans="2:27" hidden="1">
      <c r="B26" s="47"/>
      <c r="C26" s="160" t="s">
        <v>324</v>
      </c>
      <c r="D26" s="218">
        <f t="shared" si="4"/>
        <v>0</v>
      </c>
      <c r="E26" s="47" t="s">
        <v>106</v>
      </c>
      <c r="F26" s="218"/>
      <c r="G26" s="218"/>
      <c r="H26" s="218"/>
      <c r="I26" s="218"/>
      <c r="J26" s="218"/>
      <c r="K26" s="218"/>
      <c r="L26" s="218"/>
      <c r="M26" s="218"/>
      <c r="N26" s="218"/>
      <c r="O26" s="218"/>
      <c r="P26" s="218"/>
      <c r="Q26" s="218"/>
      <c r="R26" s="218"/>
      <c r="S26" s="218"/>
      <c r="T26" s="218"/>
      <c r="U26" s="218"/>
      <c r="V26" s="218"/>
      <c r="W26" s="218"/>
      <c r="X26" s="218"/>
      <c r="Y26" s="218"/>
      <c r="Z26" s="218"/>
      <c r="AA26" s="218"/>
    </row>
    <row r="27" spans="2:27" hidden="1">
      <c r="B27" s="47"/>
      <c r="C27" s="160" t="s">
        <v>325</v>
      </c>
      <c r="D27" s="218">
        <f t="shared" ca="1" si="4"/>
        <v>10944.401356909477</v>
      </c>
      <c r="E27" s="47" t="s">
        <v>106</v>
      </c>
      <c r="F27" s="218">
        <f>'表4-收入税金表'!F45</f>
        <v>2317.7152865880998</v>
      </c>
      <c r="G27" s="218">
        <f>'表4-收入税金表'!G45</f>
        <v>2317.7152865880998</v>
      </c>
      <c r="H27" s="218">
        <f ca="1">'表4-收入税金表'!H45</f>
        <v>1956.0791263746489</v>
      </c>
      <c r="I27" s="218">
        <f ca="1">'表4-收入税金表'!I45</f>
        <v>1594.442966161198</v>
      </c>
      <c r="J27" s="218">
        <f ca="1">'表4-收入税金表'!J45</f>
        <v>1232.8068059477471</v>
      </c>
      <c r="K27" s="218">
        <f ca="1">'表4-收入税金表'!K45</f>
        <v>871.17064573429616</v>
      </c>
      <c r="L27" s="218">
        <f ca="1">'表4-收入税金表'!L45</f>
        <v>509.53448552084518</v>
      </c>
      <c r="M27" s="218">
        <f ca="1">'表4-收入税金表'!M45</f>
        <v>144.93675399454418</v>
      </c>
      <c r="N27" s="218">
        <f ca="1">'表4-收入税金表'!N45</f>
        <v>0</v>
      </c>
      <c r="O27" s="218">
        <f ca="1">'表4-收入税金表'!O45</f>
        <v>0</v>
      </c>
      <c r="P27" s="218">
        <f ca="1">'表4-收入税金表'!P45</f>
        <v>0</v>
      </c>
      <c r="Q27" s="218">
        <f ca="1">'表4-收入税金表'!Q45</f>
        <v>0</v>
      </c>
      <c r="R27" s="218">
        <f ca="1">'表4-收入税金表'!R45</f>
        <v>0</v>
      </c>
      <c r="S27" s="218">
        <f ca="1">'表4-收入税金表'!S45</f>
        <v>0</v>
      </c>
      <c r="T27" s="218">
        <f ca="1">'表4-收入税金表'!T45</f>
        <v>0</v>
      </c>
      <c r="U27" s="218">
        <f ca="1">'表4-收入税金表'!U45</f>
        <v>0</v>
      </c>
      <c r="V27" s="218">
        <f ca="1">'表4-收入税金表'!V45</f>
        <v>0</v>
      </c>
      <c r="W27" s="218">
        <f ca="1">'表4-收入税金表'!W45</f>
        <v>0</v>
      </c>
      <c r="X27" s="218">
        <f ca="1">'表4-收入税金表'!X45</f>
        <v>0</v>
      </c>
      <c r="Y27" s="218">
        <f ca="1">'表4-收入税金表'!Y45</f>
        <v>0</v>
      </c>
      <c r="Z27" s="218">
        <f ca="1">'表4-收入税金表'!Z45</f>
        <v>0</v>
      </c>
      <c r="AA27" s="218">
        <f ca="1">'表4-收入税金表'!AA45</f>
        <v>0</v>
      </c>
    </row>
    <row r="28" spans="2:27" hidden="1">
      <c r="B28" s="44">
        <v>2</v>
      </c>
      <c r="C28" s="57" t="s">
        <v>326</v>
      </c>
      <c r="D28" s="216">
        <f t="shared" ca="1" si="4"/>
        <v>17802.257722963026</v>
      </c>
      <c r="E28" s="47" t="s">
        <v>106</v>
      </c>
      <c r="F28" s="216">
        <f>SUM(F29:F34)</f>
        <v>0</v>
      </c>
      <c r="G28" s="216">
        <f t="shared" ref="G28:AA28" si="6">SUM(G29:G34)</f>
        <v>0</v>
      </c>
      <c r="H28" s="216">
        <f t="shared" ca="1" si="6"/>
        <v>255.50193131603481</v>
      </c>
      <c r="I28" s="216">
        <f t="shared" ca="1" si="6"/>
        <v>169.27090037785149</v>
      </c>
      <c r="J28" s="216">
        <f t="shared" ca="1" si="6"/>
        <v>190.44020341087193</v>
      </c>
      <c r="K28" s="216">
        <f t="shared" ca="1" si="6"/>
        <v>250.33869284138382</v>
      </c>
      <c r="L28" s="216">
        <f t="shared" ca="1" si="6"/>
        <v>277.76347885213102</v>
      </c>
      <c r="M28" s="216">
        <f t="shared" ca="1" si="6"/>
        <v>288.92538482175547</v>
      </c>
      <c r="N28" s="216">
        <f t="shared" ca="1" si="6"/>
        <v>628.50729601559294</v>
      </c>
      <c r="O28" s="216">
        <f t="shared" ca="1" si="6"/>
        <v>841.14317111969103</v>
      </c>
      <c r="P28" s="216">
        <f t="shared" ca="1" si="6"/>
        <v>878.4231610665471</v>
      </c>
      <c r="Q28" s="216">
        <f t="shared" ca="1" si="6"/>
        <v>916.37119486491906</v>
      </c>
      <c r="R28" s="216">
        <f t="shared" ca="1" si="6"/>
        <v>838.53847517808788</v>
      </c>
      <c r="S28" s="216">
        <f t="shared" ca="1" si="6"/>
        <v>935.70459649368524</v>
      </c>
      <c r="T28" s="216">
        <f t="shared" ca="1" si="6"/>
        <v>967.16572374516363</v>
      </c>
      <c r="U28" s="216">
        <f t="shared" ca="1" si="6"/>
        <v>999.87678111769605</v>
      </c>
      <c r="V28" s="216">
        <f t="shared" ca="1" si="6"/>
        <v>1033.7127755991767</v>
      </c>
      <c r="W28" s="216">
        <f t="shared" ca="1" si="6"/>
        <v>1484.6278386389836</v>
      </c>
      <c r="X28" s="216">
        <f t="shared" ca="1" si="6"/>
        <v>1584.9079538945389</v>
      </c>
      <c r="Y28" s="216">
        <f t="shared" ca="1" si="6"/>
        <v>1675.1600576245387</v>
      </c>
      <c r="Z28" s="216">
        <f t="shared" ca="1" si="6"/>
        <v>1756.3869509815386</v>
      </c>
      <c r="AA28" s="216">
        <f t="shared" ca="1" si="6"/>
        <v>1829.4911550028382</v>
      </c>
    </row>
    <row r="29" spans="2:27" hidden="1">
      <c r="B29" s="47"/>
      <c r="C29" s="160" t="s">
        <v>149</v>
      </c>
      <c r="D29" s="218">
        <f t="shared" ref="D29:D34" si="7">SUM(F29:AA29)</f>
        <v>105</v>
      </c>
      <c r="E29" s="47" t="s">
        <v>106</v>
      </c>
      <c r="F29" s="218">
        <f>F64+F74</f>
        <v>0</v>
      </c>
      <c r="G29" s="218">
        <f t="shared" ref="G29:AA29" si="8">G60+G70</f>
        <v>0</v>
      </c>
      <c r="H29" s="218">
        <f t="shared" si="8"/>
        <v>105</v>
      </c>
      <c r="I29" s="218">
        <f t="shared" si="8"/>
        <v>0</v>
      </c>
      <c r="J29" s="218">
        <f t="shared" si="8"/>
        <v>0</v>
      </c>
      <c r="K29" s="218">
        <f t="shared" si="8"/>
        <v>0</v>
      </c>
      <c r="L29" s="218">
        <f t="shared" si="8"/>
        <v>0</v>
      </c>
      <c r="M29" s="218">
        <f t="shared" si="8"/>
        <v>0</v>
      </c>
      <c r="N29" s="218">
        <f t="shared" si="8"/>
        <v>0</v>
      </c>
      <c r="O29" s="218">
        <f t="shared" si="8"/>
        <v>0</v>
      </c>
      <c r="P29" s="218">
        <f t="shared" si="8"/>
        <v>0</v>
      </c>
      <c r="Q29" s="218">
        <f t="shared" si="8"/>
        <v>0</v>
      </c>
      <c r="R29" s="218">
        <f t="shared" si="8"/>
        <v>0</v>
      </c>
      <c r="S29" s="218">
        <f t="shared" si="8"/>
        <v>0</v>
      </c>
      <c r="T29" s="218">
        <f t="shared" si="8"/>
        <v>0</v>
      </c>
      <c r="U29" s="218">
        <f t="shared" si="8"/>
        <v>0</v>
      </c>
      <c r="V29" s="218">
        <f t="shared" si="8"/>
        <v>0</v>
      </c>
      <c r="W29" s="218">
        <f t="shared" si="8"/>
        <v>0</v>
      </c>
      <c r="X29" s="218">
        <f t="shared" si="8"/>
        <v>0</v>
      </c>
      <c r="Y29" s="218">
        <f t="shared" si="8"/>
        <v>0</v>
      </c>
      <c r="Z29" s="218">
        <f t="shared" si="8"/>
        <v>0</v>
      </c>
      <c r="AA29" s="218">
        <f t="shared" si="8"/>
        <v>0</v>
      </c>
    </row>
    <row r="30" spans="2:27" hidden="1">
      <c r="B30" s="47"/>
      <c r="C30" s="160" t="s">
        <v>327</v>
      </c>
      <c r="D30" s="218">
        <f t="shared" si="7"/>
        <v>0</v>
      </c>
      <c r="E30" s="47" t="s">
        <v>106</v>
      </c>
      <c r="F30" s="218"/>
      <c r="G30" s="218"/>
      <c r="H30" s="218"/>
      <c r="I30" s="218"/>
      <c r="J30" s="218"/>
      <c r="K30" s="218"/>
      <c r="L30" s="218"/>
      <c r="M30" s="218"/>
      <c r="N30" s="218"/>
      <c r="O30" s="218"/>
      <c r="P30" s="218"/>
      <c r="Q30" s="218"/>
      <c r="R30" s="218"/>
      <c r="S30" s="218"/>
      <c r="T30" s="218"/>
      <c r="U30" s="218"/>
      <c r="V30" s="218"/>
      <c r="W30" s="218"/>
      <c r="X30" s="218"/>
      <c r="Y30" s="218"/>
      <c r="Z30" s="218"/>
      <c r="AA30" s="218"/>
    </row>
    <row r="31" spans="2:27" hidden="1">
      <c r="B31" s="47"/>
      <c r="C31" s="160" t="s">
        <v>328</v>
      </c>
      <c r="D31" s="218">
        <f t="shared" si="7"/>
        <v>2688</v>
      </c>
      <c r="E31" s="47" t="s">
        <v>106</v>
      </c>
      <c r="F31" s="218"/>
      <c r="G31" s="218"/>
      <c r="H31" s="218">
        <f>'表3-成本费用表'!H52</f>
        <v>134.4</v>
      </c>
      <c r="I31" s="218">
        <f>'表3-成本费用表'!I52</f>
        <v>134.4</v>
      </c>
      <c r="J31" s="218">
        <f>'表3-成本费用表'!J52</f>
        <v>134.4</v>
      </c>
      <c r="K31" s="218">
        <f>'表3-成本费用表'!K52</f>
        <v>134.4</v>
      </c>
      <c r="L31" s="218">
        <f>'表3-成本费用表'!L52</f>
        <v>134.4</v>
      </c>
      <c r="M31" s="218">
        <f>'表3-成本费用表'!M52</f>
        <v>134.4</v>
      </c>
      <c r="N31" s="218">
        <f>'表3-成本费用表'!N52</f>
        <v>134.4</v>
      </c>
      <c r="O31" s="218">
        <f>'表3-成本费用表'!O52</f>
        <v>134.4</v>
      </c>
      <c r="P31" s="218">
        <f>'表3-成本费用表'!P52</f>
        <v>134.4</v>
      </c>
      <c r="Q31" s="218">
        <f>'表3-成本费用表'!Q52</f>
        <v>134.4</v>
      </c>
      <c r="R31" s="218">
        <f>'表3-成本费用表'!R52</f>
        <v>134.4</v>
      </c>
      <c r="S31" s="218">
        <f>'表3-成本费用表'!S52</f>
        <v>134.4</v>
      </c>
      <c r="T31" s="218">
        <f>'表3-成本费用表'!T52</f>
        <v>134.4</v>
      </c>
      <c r="U31" s="218">
        <f>'表3-成本费用表'!U52</f>
        <v>134.4</v>
      </c>
      <c r="V31" s="218">
        <f>'表3-成本费用表'!V52</f>
        <v>134.4</v>
      </c>
      <c r="W31" s="218">
        <f>'表3-成本费用表'!W52</f>
        <v>134.4</v>
      </c>
      <c r="X31" s="218">
        <f>'表3-成本费用表'!X52</f>
        <v>134.4</v>
      </c>
      <c r="Y31" s="218">
        <f>'表3-成本费用表'!Y52</f>
        <v>134.4</v>
      </c>
      <c r="Z31" s="218">
        <f>'表3-成本费用表'!Z52</f>
        <v>134.4</v>
      </c>
      <c r="AA31" s="218">
        <f>'表3-成本费用表'!AA52</f>
        <v>134.4</v>
      </c>
    </row>
    <row r="32" spans="2:27" hidden="1">
      <c r="B32" s="47"/>
      <c r="C32" s="160" t="s">
        <v>329</v>
      </c>
      <c r="D32" s="218">
        <f t="shared" ca="1" si="7"/>
        <v>9626.9903732002385</v>
      </c>
      <c r="E32" s="47" t="s">
        <v>106</v>
      </c>
      <c r="F32" s="218"/>
      <c r="G32" s="218"/>
      <c r="H32" s="218">
        <f ca="1">'表6-现金流量表-资本金'!H24+'表6-现金流量表-资本金'!H25+'表6-现金流量表-资本金'!H29</f>
        <v>0</v>
      </c>
      <c r="I32" s="218">
        <f ca="1">'表6-现金流量表-资本金'!I24+'表6-现金流量表-资本金'!I25+'表6-现金流量表-资本金'!I29</f>
        <v>0</v>
      </c>
      <c r="J32" s="218">
        <f ca="1">'表6-现金流量表-资本金'!J24+'表6-现金流量表-资本金'!J25+'表6-现金流量表-资本金'!J29</f>
        <v>0</v>
      </c>
      <c r="K32" s="218">
        <f ca="1">'表6-现金流量表-资本金'!K24+'表6-现金流量表-资本金'!K25+'表6-现金流量表-资本金'!K29</f>
        <v>40.185588816931954</v>
      </c>
      <c r="L32" s="218">
        <f ca="1">'表6-现金流量表-资本金'!L24+'表6-现金流量表-资本金'!L25+'表6-现金流量表-资本金'!L29</f>
        <v>46.126187257745016</v>
      </c>
      <c r="M32" s="218">
        <f ca="1">'表6-现金流量表-资本金'!M24+'表6-现金流量表-资本金'!M25+'表6-现金流量表-资本金'!M29</f>
        <v>41.111547476569342</v>
      </c>
      <c r="N32" s="218">
        <f ca="1">'表6-现金流量表-资本金'!N24+'表6-现金流量表-资本金'!N25+'表6-现金流量表-资本金'!N29</f>
        <v>360.99237953584941</v>
      </c>
      <c r="O32" s="218">
        <f ca="1">'表6-现金流量表-资本金'!O24+'表6-现金流量表-资本金'!O25+'表6-现金流量表-资本金'!O29</f>
        <v>548.97173252084667</v>
      </c>
      <c r="P32" s="218">
        <f ca="1">'表6-现金流量表-资本金'!P24+'表6-现金流量表-资本金'!P25+'表6-现金流量表-资本金'!P29</f>
        <v>560.85292940247291</v>
      </c>
      <c r="Q32" s="218">
        <f ca="1">'表6-现金流量表-资本金'!Q24+'表6-现金流量表-资本金'!Q25+'表6-现金流量表-资本金'!Q29</f>
        <v>572.73412628409892</v>
      </c>
      <c r="R32" s="218">
        <f ca="1">'表6-现金流量表-资本金'!R24+'表6-现金流量表-资本金'!R25+'表6-现金流量表-资本金'!R29</f>
        <v>479.82721638900466</v>
      </c>
      <c r="S32" s="218">
        <f ca="1">'表6-现金流量表-资本金'!S24+'表6-现金流量表-资本金'!S25+'表6-现金流量表-资本金'!S29</f>
        <v>558.80221858036521</v>
      </c>
      <c r="T32" s="218">
        <f ca="1">'表6-现金流量表-资本金'!T24+'表6-现金流量表-资本金'!T25+'表6-现金流量表-资本金'!T29</f>
        <v>570.68341546199144</v>
      </c>
      <c r="U32" s="218">
        <f ca="1">'表6-现金流量表-资本金'!U24+'表6-现金流量表-资本金'!U25+'表6-现金流量表-资本金'!U29</f>
        <v>582.56461234361768</v>
      </c>
      <c r="V32" s="218">
        <f ca="1">'表6-现金流量表-资本金'!V24+'表6-现金流量表-资本金'!V25+'表6-现金流量表-资本金'!V29</f>
        <v>594.44580922524369</v>
      </c>
      <c r="W32" s="218">
        <f ca="1">'表6-现金流量表-资本金'!W24+'表6-现金流量表-资本金'!W25+'表6-现金流量表-资本金'!W29</f>
        <v>933.93852198110017</v>
      </c>
      <c r="X32" s="218">
        <f ca="1">'表6-现金流量表-资本金'!X24+'表6-现金流量表-资本金'!X25+'表6-现金流量表-资本金'!X29</f>
        <v>933.93852198110017</v>
      </c>
      <c r="Y32" s="218">
        <f ca="1">'表6-现金流量表-资本金'!Y24+'表6-现金流量表-资本金'!Y25+'表6-现金流量表-资本金'!Y29</f>
        <v>933.93852198110017</v>
      </c>
      <c r="Z32" s="218">
        <f ca="1">'表6-现金流量表-资本金'!Z24+'表6-现金流量表-资本金'!Z25+'表6-现金流量表-资本金'!Z29</f>
        <v>933.93852198110017</v>
      </c>
      <c r="AA32" s="218">
        <f ca="1">'表6-现金流量表-资本金'!AA24+'表6-现金流量表-资本金'!AA25+'表6-现金流量表-资本金'!AA29</f>
        <v>933.93852198110017</v>
      </c>
    </row>
    <row r="33" spans="2:27" hidden="1">
      <c r="B33" s="47"/>
      <c r="C33" s="160" t="s">
        <v>330</v>
      </c>
      <c r="D33" s="218">
        <f t="shared" ca="1" si="7"/>
        <v>5382.2673497627875</v>
      </c>
      <c r="E33" s="47" t="s">
        <v>106</v>
      </c>
      <c r="F33" s="218"/>
      <c r="G33" s="218"/>
      <c r="H33" s="218">
        <f ca="1">'表5-利润表-资本金'!H31</f>
        <v>16.101931316034793</v>
      </c>
      <c r="I33" s="218">
        <f ca="1">'表5-利润表-资本金'!I31</f>
        <v>34.87090037785147</v>
      </c>
      <c r="J33" s="218">
        <f ca="1">'表5-利润表-资本金'!J31</f>
        <v>56.040203410871918</v>
      </c>
      <c r="K33" s="218">
        <f ca="1">'表5-利润表-资本金'!K31</f>
        <v>75.753104024451858</v>
      </c>
      <c r="L33" s="218">
        <f ca="1">'表5-利润表-资本金'!L31</f>
        <v>97.237291594386022</v>
      </c>
      <c r="M33" s="218">
        <f ca="1">'表5-利润表-资本金'!M31</f>
        <v>113.41383734518611</v>
      </c>
      <c r="N33" s="218">
        <f ca="1">'表5-利润表-资本金'!N31</f>
        <v>133.11491647974358</v>
      </c>
      <c r="O33" s="218">
        <f ca="1">'表5-利润表-资本金'!O31</f>
        <v>157.77143859884441</v>
      </c>
      <c r="P33" s="218">
        <f ca="1">'表5-利润表-资本金'!P31</f>
        <v>183.17023166407421</v>
      </c>
      <c r="Q33" s="218">
        <f ca="1">'表5-利润表-资本金'!Q31</f>
        <v>209.23706858082011</v>
      </c>
      <c r="R33" s="218">
        <f ca="1">'表5-利润表-资本金'!R31</f>
        <v>224.31125878908321</v>
      </c>
      <c r="S33" s="218">
        <f ca="1">'表5-利润表-资本金'!S31</f>
        <v>242.50237791332006</v>
      </c>
      <c r="T33" s="218">
        <f ca="1">'表5-利润表-资本金'!T31</f>
        <v>262.08230828317227</v>
      </c>
      <c r="U33" s="218">
        <f ca="1">'表5-利润表-资本金'!U31</f>
        <v>282.9121687740784</v>
      </c>
      <c r="V33" s="218">
        <f ca="1">'表5-利润表-资本金'!V31</f>
        <v>304.86696637393294</v>
      </c>
      <c r="W33" s="218">
        <f ca="1">'表5-利润表-资本金'!W31</f>
        <v>416.28931665788332</v>
      </c>
      <c r="X33" s="218">
        <f ca="1">'表5-利润表-资本金'!X31</f>
        <v>516.56943191343862</v>
      </c>
      <c r="Y33" s="218">
        <f ca="1">'表5-利润表-资本金'!Y31</f>
        <v>606.82153564343832</v>
      </c>
      <c r="Z33" s="218">
        <f ca="1">'表5-利润表-资本金'!Z31</f>
        <v>688.0484290004382</v>
      </c>
      <c r="AA33" s="218">
        <f ca="1">'表5-利润表-资本金'!AA31</f>
        <v>761.15263302173798</v>
      </c>
    </row>
    <row r="34" spans="2:27" hidden="1">
      <c r="B34" s="47"/>
      <c r="C34" s="160" t="s">
        <v>331</v>
      </c>
      <c r="D34" s="218">
        <f t="shared" si="7"/>
        <v>0</v>
      </c>
      <c r="E34" s="47" t="s">
        <v>106</v>
      </c>
      <c r="F34" s="218"/>
      <c r="G34" s="218"/>
      <c r="H34" s="218"/>
      <c r="I34" s="218"/>
      <c r="J34" s="218"/>
      <c r="K34" s="218"/>
      <c r="L34" s="218"/>
      <c r="M34" s="218"/>
      <c r="N34" s="218"/>
      <c r="O34" s="218"/>
      <c r="P34" s="218"/>
      <c r="Q34" s="218"/>
      <c r="R34" s="218"/>
      <c r="S34" s="218"/>
      <c r="T34" s="218"/>
      <c r="U34" s="218"/>
      <c r="V34" s="218"/>
      <c r="W34" s="218"/>
      <c r="X34" s="218"/>
      <c r="Y34" s="218"/>
      <c r="Z34" s="218"/>
      <c r="AA34" s="218"/>
    </row>
    <row r="35" spans="2:27" hidden="1"/>
    <row r="36" spans="2:27" ht="20" customHeight="1">
      <c r="B36" s="323" t="s">
        <v>332</v>
      </c>
      <c r="C36" s="323"/>
      <c r="D36" s="323"/>
      <c r="E36" s="323"/>
      <c r="F36" s="323"/>
      <c r="G36" s="323"/>
      <c r="H36" s="323"/>
      <c r="I36" s="323"/>
      <c r="J36" s="323"/>
      <c r="K36" s="323"/>
      <c r="L36" s="323"/>
      <c r="M36" s="323"/>
      <c r="N36" s="323"/>
      <c r="O36" s="323"/>
      <c r="P36" s="323"/>
      <c r="Q36" s="323"/>
      <c r="R36" s="323"/>
      <c r="S36" s="323"/>
      <c r="T36" s="323"/>
      <c r="U36" s="323"/>
      <c r="V36" s="323"/>
      <c r="W36" s="323"/>
      <c r="X36" s="323"/>
      <c r="Y36" s="323"/>
      <c r="Z36" s="323"/>
      <c r="AA36" s="323"/>
    </row>
    <row r="37" spans="2:27">
      <c r="B37" s="326" t="s">
        <v>14</v>
      </c>
      <c r="C37" s="326" t="s">
        <v>320</v>
      </c>
      <c r="D37" s="326" t="s">
        <v>308</v>
      </c>
      <c r="E37" s="326" t="s">
        <v>39</v>
      </c>
      <c r="F37" s="324" t="s">
        <v>43</v>
      </c>
      <c r="G37" s="324"/>
      <c r="H37" s="325" t="s">
        <v>54</v>
      </c>
      <c r="I37" s="325"/>
      <c r="J37" s="325"/>
      <c r="K37" s="325"/>
      <c r="L37" s="325"/>
      <c r="M37" s="325"/>
      <c r="N37" s="325"/>
      <c r="O37" s="325"/>
      <c r="P37" s="325"/>
      <c r="Q37" s="325"/>
      <c r="R37" s="325"/>
      <c r="S37" s="325"/>
      <c r="T37" s="325"/>
      <c r="U37" s="325"/>
      <c r="V37" s="325"/>
      <c r="W37" s="325"/>
      <c r="X37" s="325"/>
      <c r="Y37" s="325"/>
      <c r="Z37" s="325"/>
      <c r="AA37" s="325"/>
    </row>
    <row r="38" spans="2:27">
      <c r="B38" s="326"/>
      <c r="C38" s="326"/>
      <c r="D38" s="326"/>
      <c r="E38" s="326"/>
      <c r="F38" s="42">
        <v>1</v>
      </c>
      <c r="G38" s="42">
        <v>2</v>
      </c>
      <c r="H38" s="43">
        <v>1</v>
      </c>
      <c r="I38" s="43">
        <v>2</v>
      </c>
      <c r="J38" s="43">
        <v>3</v>
      </c>
      <c r="K38" s="43">
        <v>4</v>
      </c>
      <c r="L38" s="43">
        <v>5</v>
      </c>
      <c r="M38" s="43">
        <v>6</v>
      </c>
      <c r="N38" s="43">
        <v>7</v>
      </c>
      <c r="O38" s="43">
        <v>8</v>
      </c>
      <c r="P38" s="43">
        <v>9</v>
      </c>
      <c r="Q38" s="43">
        <v>10</v>
      </c>
      <c r="R38" s="43">
        <v>11</v>
      </c>
      <c r="S38" s="43">
        <v>12</v>
      </c>
      <c r="T38" s="43">
        <v>13</v>
      </c>
      <c r="U38" s="43">
        <v>14</v>
      </c>
      <c r="V38" s="43">
        <v>15</v>
      </c>
      <c r="W38" s="43">
        <v>16</v>
      </c>
      <c r="X38" s="43">
        <v>17</v>
      </c>
      <c r="Y38" s="43">
        <v>18</v>
      </c>
      <c r="Z38" s="43">
        <v>19</v>
      </c>
      <c r="AA38" s="43">
        <v>20</v>
      </c>
    </row>
    <row r="39" spans="2:27">
      <c r="B39" s="47">
        <v>1</v>
      </c>
      <c r="C39" s="105" t="s">
        <v>333</v>
      </c>
      <c r="D39" s="218"/>
      <c r="E39" s="47" t="s">
        <v>106</v>
      </c>
      <c r="F39" s="218">
        <v>0</v>
      </c>
      <c r="G39" s="218">
        <f ca="1">F44</f>
        <v>19801.99480271024</v>
      </c>
      <c r="H39" s="218">
        <f ca="1">G44</f>
        <v>19801.99480271024</v>
      </c>
      <c r="I39" s="218">
        <f ca="1">H44</f>
        <v>18783.306936681111</v>
      </c>
      <c r="J39" s="218">
        <f t="shared" ref="J39:AA39" ca="1" si="9">I44</f>
        <v>17727.946307474933</v>
      </c>
      <c r="K39" s="218">
        <f t="shared" ca="1" si="9"/>
        <v>16634.592695617332</v>
      </c>
      <c r="L39" s="218">
        <f t="shared" ca="1" si="9"/>
        <v>15501.878353732856</v>
      </c>
      <c r="M39" s="218">
        <f t="shared" ca="1" si="9"/>
        <v>14328.38629554054</v>
      </c>
      <c r="N39" s="218">
        <f t="shared" ca="1" si="9"/>
        <v>13112.648523253301</v>
      </c>
      <c r="O39" s="218">
        <f t="shared" ca="1" si="9"/>
        <v>11853.144191163721</v>
      </c>
      <c r="P39" s="218">
        <f t="shared" ca="1" si="9"/>
        <v>10548.297703118917</v>
      </c>
      <c r="Q39" s="218">
        <f t="shared" ca="1" si="9"/>
        <v>9196.4767415044989</v>
      </c>
      <c r="R39" s="218">
        <f t="shared" ca="1" si="9"/>
        <v>7795.9902252719621</v>
      </c>
      <c r="S39" s="218">
        <f t="shared" ca="1" si="9"/>
        <v>6345.0861944550543</v>
      </c>
      <c r="T39" s="218">
        <f t="shared" ca="1" si="9"/>
        <v>4841.9496185287371</v>
      </c>
      <c r="U39" s="218">
        <f t="shared" ca="1" si="9"/>
        <v>3284.7001258690725</v>
      </c>
      <c r="V39" s="218">
        <f t="shared" ca="1" si="9"/>
        <v>1671.38965147366</v>
      </c>
      <c r="W39" s="218">
        <f t="shared" ca="1" si="9"/>
        <v>1.2732925824820995E-11</v>
      </c>
      <c r="X39" s="218">
        <f t="shared" si="9"/>
        <v>0</v>
      </c>
      <c r="Y39" s="218">
        <f t="shared" si="9"/>
        <v>0</v>
      </c>
      <c r="Z39" s="218">
        <f t="shared" si="9"/>
        <v>0</v>
      </c>
      <c r="AA39" s="218">
        <f t="shared" si="9"/>
        <v>0</v>
      </c>
    </row>
    <row r="40" spans="2:27">
      <c r="B40" s="47">
        <v>2</v>
      </c>
      <c r="C40" s="105" t="s">
        <v>334</v>
      </c>
      <c r="D40" s="218">
        <f ca="1">SUM(F40:AA40)</f>
        <v>19801.99480271024</v>
      </c>
      <c r="E40" s="47" t="s">
        <v>106</v>
      </c>
      <c r="F40" s="218">
        <f ca="1">F15</f>
        <v>19801.99480271024</v>
      </c>
      <c r="G40" s="218">
        <f>G15</f>
        <v>0</v>
      </c>
      <c r="H40" s="218"/>
      <c r="I40" s="218"/>
      <c r="J40" s="218"/>
      <c r="K40" s="218"/>
      <c r="L40" s="218"/>
      <c r="M40" s="218"/>
      <c r="N40" s="218"/>
      <c r="O40" s="218"/>
      <c r="P40" s="218"/>
      <c r="Q40" s="218"/>
      <c r="R40" s="218"/>
      <c r="S40" s="218"/>
      <c r="T40" s="218"/>
      <c r="U40" s="218"/>
      <c r="V40" s="218"/>
      <c r="W40" s="218"/>
      <c r="X40" s="218"/>
      <c r="Y40" s="218"/>
      <c r="Z40" s="218"/>
      <c r="AA40" s="218"/>
    </row>
    <row r="41" spans="2:27">
      <c r="B41" s="47">
        <v>3</v>
      </c>
      <c r="C41" s="105" t="s">
        <v>335</v>
      </c>
      <c r="D41" s="218">
        <f ca="1">SUM(F41:AA41)</f>
        <v>25973.395183900488</v>
      </c>
      <c r="E41" s="47" t="s">
        <v>106</v>
      </c>
      <c r="F41" s="218"/>
      <c r="G41" s="218"/>
      <c r="H41" s="218">
        <f ca="1">-PMT(参数输入表!$H$89,参数输入表!$H$92,'表1-资金筹措及还本付息表'!$D$40)</f>
        <v>1731.559678926699</v>
      </c>
      <c r="I41" s="218">
        <f ca="1">-PMT(参数输入表!$H$89,参数输入表!$H$92,'表1-资金筹措及还本付息表'!$D$40)</f>
        <v>1731.559678926699</v>
      </c>
      <c r="J41" s="218">
        <f ca="1">-PMT(参数输入表!$H$89,参数输入表!$H$92,'表1-资金筹措及还本付息表'!$D$40)</f>
        <v>1731.559678926699</v>
      </c>
      <c r="K41" s="218">
        <f ca="1">-PMT(参数输入表!$H$89,参数输入表!$H$92,'表1-资金筹措及还本付息表'!$D$40)</f>
        <v>1731.559678926699</v>
      </c>
      <c r="L41" s="218">
        <f ca="1">-PMT(参数输入表!$H$89,参数输入表!$H$92,'表1-资金筹措及还本付息表'!$D$40)</f>
        <v>1731.559678926699</v>
      </c>
      <c r="M41" s="218">
        <f ca="1">-PMT(参数输入表!$H$89,参数输入表!$H$92,'表1-资金筹措及还本付息表'!$D$40)</f>
        <v>1731.559678926699</v>
      </c>
      <c r="N41" s="218">
        <f ca="1">-PMT(参数输入表!$H$89,参数输入表!$H$92,'表1-资金筹措及还本付息表'!$D$40)</f>
        <v>1731.559678926699</v>
      </c>
      <c r="O41" s="218">
        <f ca="1">-PMT(参数输入表!$H$89,参数输入表!$H$92,'表1-资金筹措及还本付息表'!$D$40)</f>
        <v>1731.559678926699</v>
      </c>
      <c r="P41" s="218">
        <f ca="1">-PMT(参数输入表!$H$89,参数输入表!$H$92,'表1-资金筹措及还本付息表'!$D$40)</f>
        <v>1731.559678926699</v>
      </c>
      <c r="Q41" s="218">
        <f ca="1">-PMT(参数输入表!$H$89,参数输入表!$H$92,'表1-资金筹措及还本付息表'!$D$40)</f>
        <v>1731.559678926699</v>
      </c>
      <c r="R41" s="218">
        <f ca="1">-PMT(参数输入表!$H$89,参数输入表!$H$92,'表1-资金筹措及还本付息表'!$D$40)</f>
        <v>1731.559678926699</v>
      </c>
      <c r="S41" s="218">
        <f ca="1">-PMT(参数输入表!$H$89,参数输入表!$H$92,'表1-资金筹措及还本付息表'!$D$40)</f>
        <v>1731.559678926699</v>
      </c>
      <c r="T41" s="218">
        <f ca="1">-PMT(参数输入表!$H$89,参数输入表!$H$92,'表1-资金筹措及还本付息表'!$D$40)</f>
        <v>1731.559678926699</v>
      </c>
      <c r="U41" s="218">
        <f ca="1">-PMT(参数输入表!$H$89,参数输入表!$H$92,'表1-资金筹措及还本付息表'!$D$40)</f>
        <v>1731.559678926699</v>
      </c>
      <c r="V41" s="218">
        <f ca="1">-PMT(参数输入表!$H$89,参数输入表!$H$92,'表1-资金筹措及还本付息表'!$D$40)</f>
        <v>1731.559678926699</v>
      </c>
      <c r="W41" s="218"/>
      <c r="X41" s="218"/>
      <c r="Y41" s="218"/>
      <c r="Z41" s="218"/>
      <c r="AA41" s="218"/>
    </row>
    <row r="42" spans="2:27">
      <c r="B42" s="47"/>
      <c r="C42" s="52" t="s">
        <v>336</v>
      </c>
      <c r="D42" s="218">
        <f ca="1">SUM(F42:AA42)</f>
        <v>19801.994802710233</v>
      </c>
      <c r="E42" s="47" t="s">
        <v>106</v>
      </c>
      <c r="F42" s="218"/>
      <c r="G42" s="218"/>
      <c r="H42" s="218">
        <f ca="1">H41-H43</f>
        <v>1018.6878660291304</v>
      </c>
      <c r="I42" s="218">
        <f t="shared" ref="I42:V42" ca="1" si="10">I41-I43</f>
        <v>1055.3606292061791</v>
      </c>
      <c r="J42" s="218">
        <f t="shared" ca="1" si="10"/>
        <v>1093.3536118576014</v>
      </c>
      <c r="K42" s="218">
        <f t="shared" ca="1" si="10"/>
        <v>1132.7143418844751</v>
      </c>
      <c r="L42" s="218">
        <f t="shared" ca="1" si="10"/>
        <v>1173.4920581923161</v>
      </c>
      <c r="M42" s="218">
        <f t="shared" ca="1" si="10"/>
        <v>1215.7377722872397</v>
      </c>
      <c r="N42" s="218">
        <f t="shared" ca="1" si="10"/>
        <v>1259.5043320895802</v>
      </c>
      <c r="O42" s="218">
        <f t="shared" ca="1" si="10"/>
        <v>1304.846488044805</v>
      </c>
      <c r="P42" s="218">
        <f t="shared" ca="1" si="10"/>
        <v>1351.8209616144181</v>
      </c>
      <c r="Q42" s="218">
        <f t="shared" ca="1" si="10"/>
        <v>1400.486516232537</v>
      </c>
      <c r="R42" s="218">
        <f t="shared" ca="1" si="10"/>
        <v>1450.9040308169083</v>
      </c>
      <c r="S42" s="218">
        <f t="shared" ca="1" si="10"/>
        <v>1503.1365759263172</v>
      </c>
      <c r="T42" s="218">
        <f t="shared" ca="1" si="10"/>
        <v>1557.2494926596646</v>
      </c>
      <c r="U42" s="218">
        <f t="shared" ca="1" si="10"/>
        <v>1613.3104743954125</v>
      </c>
      <c r="V42" s="218">
        <f t="shared" ca="1" si="10"/>
        <v>1671.3896514736473</v>
      </c>
      <c r="W42" s="218"/>
      <c r="X42" s="218"/>
      <c r="Y42" s="218"/>
      <c r="Z42" s="218"/>
      <c r="AA42" s="218"/>
    </row>
    <row r="43" spans="2:27">
      <c r="B43" s="47"/>
      <c r="C43" s="160" t="s">
        <v>337</v>
      </c>
      <c r="D43" s="218">
        <f ca="1">SUM(F43:AA43)</f>
        <v>6171.400381190253</v>
      </c>
      <c r="E43" s="47" t="s">
        <v>106</v>
      </c>
      <c r="F43" s="218"/>
      <c r="G43" s="218"/>
      <c r="H43" s="218">
        <f ca="1">(H39+H40/2)*参数输入表!$H$89</f>
        <v>712.87181289756859</v>
      </c>
      <c r="I43" s="218">
        <f ca="1">(I39+I40/2)*参数输入表!$H$89</f>
        <v>676.19904972051995</v>
      </c>
      <c r="J43" s="218">
        <f ca="1">(J39+J40/2)*参数输入表!$H$89</f>
        <v>638.20606706909757</v>
      </c>
      <c r="K43" s="218">
        <f ca="1">(K39+K40/2)*参数输入表!$H$89</f>
        <v>598.84533704222395</v>
      </c>
      <c r="L43" s="218">
        <f ca="1">(L39+L40/2)*参数输入表!$H$89</f>
        <v>558.06762073438279</v>
      </c>
      <c r="M43" s="218">
        <f ca="1">(M39+M40/2)*参数输入表!$H$89</f>
        <v>515.82190663945937</v>
      </c>
      <c r="N43" s="218">
        <f ca="1">(N39+N40/2)*参数输入表!$H$89</f>
        <v>472.0553468371188</v>
      </c>
      <c r="O43" s="218">
        <f ca="1">(O39+O40/2)*参数输入表!$H$89</f>
        <v>426.71319088189392</v>
      </c>
      <c r="P43" s="218">
        <f ca="1">(P39+P40/2)*参数输入表!$H$89</f>
        <v>379.73871731228098</v>
      </c>
      <c r="Q43" s="218">
        <f ca="1">(Q39+Q40/2)*参数输入表!$H$89</f>
        <v>331.07316269416191</v>
      </c>
      <c r="R43" s="218">
        <f ca="1">(R39+R40/2)*参数输入表!$H$89</f>
        <v>280.6556481097906</v>
      </c>
      <c r="S43" s="218">
        <f ca="1">(S39+S40/2)*参数输入表!$H$89</f>
        <v>228.42310300038193</v>
      </c>
      <c r="T43" s="218">
        <f ca="1">(T39+T40/2)*参数输入表!$H$89</f>
        <v>174.31018626703451</v>
      </c>
      <c r="U43" s="218">
        <f ca="1">(U39+U40/2)*参数输入表!$H$89</f>
        <v>118.24920453128661</v>
      </c>
      <c r="V43" s="218">
        <f ca="1">(V39+V40/2)*参数输入表!$H$89</f>
        <v>60.170027453051759</v>
      </c>
      <c r="W43" s="218"/>
      <c r="X43" s="218"/>
      <c r="Y43" s="218"/>
      <c r="Z43" s="218"/>
      <c r="AA43" s="218"/>
    </row>
    <row r="44" spans="2:27">
      <c r="B44" s="47">
        <v>4</v>
      </c>
      <c r="C44" s="105" t="s">
        <v>338</v>
      </c>
      <c r="D44" s="223">
        <f ca="1">V44</f>
        <v>1.2732925824820995E-11</v>
      </c>
      <c r="E44" s="47" t="s">
        <v>106</v>
      </c>
      <c r="F44" s="218">
        <f ca="1">F39+F40-F42</f>
        <v>19801.99480271024</v>
      </c>
      <c r="G44" s="218">
        <f ca="1">G39+G40-G42</f>
        <v>19801.99480271024</v>
      </c>
      <c r="H44" s="218">
        <f t="shared" ref="H44:V44" ca="1" si="11">H39+H40-H42</f>
        <v>18783.306936681111</v>
      </c>
      <c r="I44" s="218">
        <f t="shared" ca="1" si="11"/>
        <v>17727.946307474933</v>
      </c>
      <c r="J44" s="218">
        <f t="shared" ca="1" si="11"/>
        <v>16634.592695617332</v>
      </c>
      <c r="K44" s="218">
        <f t="shared" ca="1" si="11"/>
        <v>15501.878353732856</v>
      </c>
      <c r="L44" s="218">
        <f t="shared" ca="1" si="11"/>
        <v>14328.38629554054</v>
      </c>
      <c r="M44" s="218">
        <f t="shared" ca="1" si="11"/>
        <v>13112.648523253301</v>
      </c>
      <c r="N44" s="218">
        <f t="shared" ca="1" si="11"/>
        <v>11853.144191163721</v>
      </c>
      <c r="O44" s="218">
        <f t="shared" ca="1" si="11"/>
        <v>10548.297703118917</v>
      </c>
      <c r="P44" s="218">
        <f t="shared" ca="1" si="11"/>
        <v>9196.4767415044989</v>
      </c>
      <c r="Q44" s="218">
        <f t="shared" ca="1" si="11"/>
        <v>7795.9902252719621</v>
      </c>
      <c r="R44" s="218">
        <f t="shared" ca="1" si="11"/>
        <v>6345.0861944550543</v>
      </c>
      <c r="S44" s="218">
        <f t="shared" ca="1" si="11"/>
        <v>4841.9496185287371</v>
      </c>
      <c r="T44" s="218">
        <f t="shared" ca="1" si="11"/>
        <v>3284.7001258690725</v>
      </c>
      <c r="U44" s="218">
        <f t="shared" ca="1" si="11"/>
        <v>1671.38965147366</v>
      </c>
      <c r="V44" s="223">
        <f t="shared" ca="1" si="11"/>
        <v>1.2732925824820995E-11</v>
      </c>
      <c r="W44" s="218"/>
      <c r="X44" s="218"/>
      <c r="Y44" s="218"/>
      <c r="Z44" s="218"/>
      <c r="AA44" s="218"/>
    </row>
    <row r="46" spans="2:27">
      <c r="B46" s="323" t="s">
        <v>332</v>
      </c>
      <c r="C46" s="323"/>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row>
    <row r="47" spans="2:27">
      <c r="B47" s="326" t="s">
        <v>14</v>
      </c>
      <c r="C47" s="326" t="s">
        <v>320</v>
      </c>
      <c r="D47" s="326" t="s">
        <v>308</v>
      </c>
      <c r="E47" s="326" t="s">
        <v>39</v>
      </c>
      <c r="F47" s="324" t="s">
        <v>43</v>
      </c>
      <c r="G47" s="324"/>
      <c r="H47" s="325" t="s">
        <v>54</v>
      </c>
      <c r="I47" s="325"/>
      <c r="J47" s="325"/>
      <c r="K47" s="325"/>
      <c r="L47" s="325"/>
      <c r="M47" s="325"/>
      <c r="N47" s="325"/>
      <c r="O47" s="325"/>
      <c r="P47" s="325"/>
      <c r="Q47" s="325"/>
      <c r="R47" s="325"/>
      <c r="S47" s="325"/>
      <c r="T47" s="325"/>
      <c r="U47" s="325"/>
      <c r="V47" s="325"/>
      <c r="W47" s="325"/>
      <c r="X47" s="325"/>
      <c r="Y47" s="325"/>
      <c r="Z47" s="325"/>
      <c r="AA47" s="325"/>
    </row>
    <row r="48" spans="2:27">
      <c r="B48" s="326"/>
      <c r="C48" s="326"/>
      <c r="D48" s="326"/>
      <c r="E48" s="326"/>
      <c r="F48" s="42">
        <v>1</v>
      </c>
      <c r="G48" s="42">
        <v>2</v>
      </c>
      <c r="H48" s="43">
        <v>1</v>
      </c>
      <c r="I48" s="43">
        <v>2</v>
      </c>
      <c r="J48" s="43">
        <v>3</v>
      </c>
      <c r="K48" s="43">
        <v>4</v>
      </c>
      <c r="L48" s="43">
        <v>5</v>
      </c>
      <c r="M48" s="43">
        <v>6</v>
      </c>
      <c r="N48" s="43">
        <v>7</v>
      </c>
      <c r="O48" s="43">
        <v>8</v>
      </c>
      <c r="P48" s="43">
        <v>9</v>
      </c>
      <c r="Q48" s="43">
        <v>10</v>
      </c>
      <c r="R48" s="43">
        <v>11</v>
      </c>
      <c r="S48" s="43">
        <v>12</v>
      </c>
      <c r="T48" s="43">
        <v>13</v>
      </c>
      <c r="U48" s="43">
        <v>14</v>
      </c>
      <c r="V48" s="43">
        <v>15</v>
      </c>
      <c r="W48" s="43">
        <v>16</v>
      </c>
      <c r="X48" s="43">
        <v>17</v>
      </c>
      <c r="Y48" s="43">
        <v>18</v>
      </c>
      <c r="Z48" s="43">
        <v>19</v>
      </c>
      <c r="AA48" s="43">
        <v>20</v>
      </c>
    </row>
    <row r="49" spans="2:27">
      <c r="B49" s="47">
        <v>1</v>
      </c>
      <c r="C49" s="105" t="s">
        <v>333</v>
      </c>
      <c r="D49" s="218"/>
      <c r="E49" s="47" t="s">
        <v>106</v>
      </c>
      <c r="F49" s="218">
        <v>0</v>
      </c>
      <c r="G49" s="218">
        <f t="shared" ref="G49:V49" ca="1" si="12">F54</f>
        <v>19801.99480271024</v>
      </c>
      <c r="H49" s="218">
        <f t="shared" ca="1" si="12"/>
        <v>19801.99480271024</v>
      </c>
      <c r="I49" s="218">
        <f t="shared" ca="1" si="12"/>
        <v>18481.861815862892</v>
      </c>
      <c r="J49" s="218">
        <f t="shared" ca="1" si="12"/>
        <v>17161.728829015545</v>
      </c>
      <c r="K49" s="218">
        <f t="shared" ca="1" si="12"/>
        <v>15841.595842168195</v>
      </c>
      <c r="L49" s="218">
        <f t="shared" ca="1" si="12"/>
        <v>14521.462855320846</v>
      </c>
      <c r="M49" s="218">
        <f t="shared" ca="1" si="12"/>
        <v>13201.329868473496</v>
      </c>
      <c r="N49" s="218">
        <f t="shared" ca="1" si="12"/>
        <v>11881.196881626147</v>
      </c>
      <c r="O49" s="218">
        <f t="shared" ca="1" si="12"/>
        <v>10561.063894778797</v>
      </c>
      <c r="P49" s="218">
        <f t="shared" ca="1" si="12"/>
        <v>9240.930907931448</v>
      </c>
      <c r="Q49" s="218">
        <f t="shared" ca="1" si="12"/>
        <v>7920.7979210840986</v>
      </c>
      <c r="R49" s="218">
        <f t="shared" ca="1" si="12"/>
        <v>6600.6649342367491</v>
      </c>
      <c r="S49" s="218">
        <f t="shared" ca="1" si="12"/>
        <v>5280.5319473893996</v>
      </c>
      <c r="T49" s="218">
        <f t="shared" ca="1" si="12"/>
        <v>3960.3989605420502</v>
      </c>
      <c r="U49" s="218">
        <f t="shared" ca="1" si="12"/>
        <v>2640.2659736947007</v>
      </c>
      <c r="V49" s="218">
        <f t="shared" ca="1" si="12"/>
        <v>1320.1329868473515</v>
      </c>
      <c r="W49" s="218"/>
      <c r="X49" s="218"/>
      <c r="Y49" s="218"/>
      <c r="Z49" s="218"/>
      <c r="AA49" s="218"/>
    </row>
    <row r="50" spans="2:27">
      <c r="B50" s="47">
        <v>2</v>
      </c>
      <c r="C50" s="105" t="s">
        <v>334</v>
      </c>
      <c r="D50" s="218">
        <f ca="1">SUM(F50:AA50)</f>
        <v>19801.99480271024</v>
      </c>
      <c r="E50" s="47" t="s">
        <v>106</v>
      </c>
      <c r="F50" s="218">
        <f ca="1">F15</f>
        <v>19801.99480271024</v>
      </c>
      <c r="G50" s="218">
        <f>G15</f>
        <v>0</v>
      </c>
      <c r="H50" s="218"/>
      <c r="I50" s="218"/>
      <c r="J50" s="218"/>
      <c r="K50" s="218"/>
      <c r="L50" s="218"/>
      <c r="M50" s="218"/>
      <c r="N50" s="218"/>
      <c r="O50" s="218"/>
      <c r="P50" s="218"/>
      <c r="Q50" s="218"/>
      <c r="R50" s="218"/>
      <c r="S50" s="218"/>
      <c r="T50" s="218"/>
      <c r="U50" s="218"/>
      <c r="V50" s="218"/>
      <c r="W50" s="218"/>
      <c r="X50" s="218"/>
      <c r="Y50" s="218"/>
      <c r="Z50" s="218"/>
      <c r="AA50" s="218"/>
    </row>
    <row r="51" spans="2:27">
      <c r="B51" s="47">
        <v>3</v>
      </c>
      <c r="C51" s="105" t="s">
        <v>335</v>
      </c>
      <c r="D51" s="218">
        <f ca="1">SUM(F51:AA51)</f>
        <v>25504.969305890787</v>
      </c>
      <c r="E51" s="47" t="s">
        <v>106</v>
      </c>
      <c r="F51" s="218"/>
      <c r="G51" s="218"/>
      <c r="H51" s="218">
        <f ca="1">SUM(H52:H53)</f>
        <v>2033.0047997449178</v>
      </c>
      <c r="I51" s="218">
        <f t="shared" ref="I51:V51" ca="1" si="13">SUM(I52:I53)</f>
        <v>1985.4800122184133</v>
      </c>
      <c r="J51" s="218">
        <f t="shared" ca="1" si="13"/>
        <v>1937.9552246919088</v>
      </c>
      <c r="K51" s="218">
        <f t="shared" ca="1" si="13"/>
        <v>1890.4304371654043</v>
      </c>
      <c r="L51" s="218">
        <f t="shared" ca="1" si="13"/>
        <v>1842.9056496388996</v>
      </c>
      <c r="M51" s="218">
        <f t="shared" ca="1" si="13"/>
        <v>1795.3808621123951</v>
      </c>
      <c r="N51" s="218">
        <f t="shared" ca="1" si="13"/>
        <v>1747.8560745858904</v>
      </c>
      <c r="O51" s="218">
        <f t="shared" ca="1" si="13"/>
        <v>1700.3312870593859</v>
      </c>
      <c r="P51" s="218">
        <f t="shared" ca="1" si="13"/>
        <v>1652.8064995328814</v>
      </c>
      <c r="Q51" s="218">
        <f t="shared" ca="1" si="13"/>
        <v>1605.2817120063769</v>
      </c>
      <c r="R51" s="218">
        <f t="shared" ca="1" si="13"/>
        <v>1557.7569244798722</v>
      </c>
      <c r="S51" s="218">
        <f t="shared" ca="1" si="13"/>
        <v>1510.2321369533677</v>
      </c>
      <c r="T51" s="218">
        <f t="shared" ca="1" si="13"/>
        <v>1462.7073494268629</v>
      </c>
      <c r="U51" s="218">
        <f t="shared" ca="1" si="13"/>
        <v>1415.1825619003585</v>
      </c>
      <c r="V51" s="218">
        <f t="shared" ca="1" si="13"/>
        <v>1367.657774373854</v>
      </c>
      <c r="W51" s="218"/>
      <c r="X51" s="218"/>
      <c r="Y51" s="218"/>
      <c r="Z51" s="218"/>
      <c r="AA51" s="218"/>
    </row>
    <row r="52" spans="2:27">
      <c r="B52" s="47"/>
      <c r="C52" s="52" t="s">
        <v>339</v>
      </c>
      <c r="D52" s="218">
        <f ca="1">SUM(F52:AA52)</f>
        <v>19801.994802710236</v>
      </c>
      <c r="E52" s="47" t="s">
        <v>106</v>
      </c>
      <c r="F52" s="218"/>
      <c r="G52" s="218"/>
      <c r="H52" s="218">
        <f ca="1">$D$50/参数输入表!$H$92</f>
        <v>1320.1329868473492</v>
      </c>
      <c r="I52" s="218">
        <f ca="1">$D$50/参数输入表!$H$92</f>
        <v>1320.1329868473492</v>
      </c>
      <c r="J52" s="218">
        <f ca="1">$D$50/参数输入表!$H$92</f>
        <v>1320.1329868473492</v>
      </c>
      <c r="K52" s="218">
        <f ca="1">$D$50/参数输入表!$H$92</f>
        <v>1320.1329868473492</v>
      </c>
      <c r="L52" s="218">
        <f ca="1">$D$50/参数输入表!$H$92</f>
        <v>1320.1329868473492</v>
      </c>
      <c r="M52" s="218">
        <f ca="1">$D$50/参数输入表!$H$92</f>
        <v>1320.1329868473492</v>
      </c>
      <c r="N52" s="218">
        <f ca="1">$D$50/参数输入表!$H$92</f>
        <v>1320.1329868473492</v>
      </c>
      <c r="O52" s="218">
        <f ca="1">$D$50/参数输入表!$H$92</f>
        <v>1320.1329868473492</v>
      </c>
      <c r="P52" s="218">
        <f ca="1">$D$50/参数输入表!$H$92</f>
        <v>1320.1329868473492</v>
      </c>
      <c r="Q52" s="218">
        <f ca="1">$D$50/参数输入表!$H$92</f>
        <v>1320.1329868473492</v>
      </c>
      <c r="R52" s="218">
        <f ca="1">$D$50/参数输入表!$H$92</f>
        <v>1320.1329868473492</v>
      </c>
      <c r="S52" s="218">
        <f ca="1">$D$50/参数输入表!$H$92</f>
        <v>1320.1329868473492</v>
      </c>
      <c r="T52" s="218">
        <f ca="1">$D$50/参数输入表!$H$92</f>
        <v>1320.1329868473492</v>
      </c>
      <c r="U52" s="218">
        <f ca="1">$D$50/参数输入表!$H$92</f>
        <v>1320.1329868473492</v>
      </c>
      <c r="V52" s="218">
        <f ca="1">$D$50/参数输入表!$H$92</f>
        <v>1320.1329868473492</v>
      </c>
      <c r="W52" s="218"/>
      <c r="X52" s="218"/>
      <c r="Y52" s="218"/>
      <c r="Z52" s="218"/>
      <c r="AA52" s="218"/>
    </row>
    <row r="53" spans="2:27">
      <c r="B53" s="47"/>
      <c r="C53" s="160" t="s">
        <v>337</v>
      </c>
      <c r="D53" s="218">
        <f ca="1">SUM(F53:AA53)</f>
        <v>5702.9745031805505</v>
      </c>
      <c r="E53" s="47" t="s">
        <v>106</v>
      </c>
      <c r="F53" s="218"/>
      <c r="G53" s="218"/>
      <c r="H53" s="218">
        <f ca="1">(H49+H50/2)*参数输入表!$H$89</f>
        <v>712.87181289756859</v>
      </c>
      <c r="I53" s="218">
        <f ca="1">(I49+I50/2)*参数输入表!$H$89</f>
        <v>665.34702537106409</v>
      </c>
      <c r="J53" s="218">
        <f ca="1">(J49+J50/2)*参数输入表!$H$89</f>
        <v>617.8222378445596</v>
      </c>
      <c r="K53" s="218">
        <f ca="1">(K49+K50/2)*参数输入表!$H$89</f>
        <v>570.29745031805498</v>
      </c>
      <c r="L53" s="218">
        <f ca="1">(L49+L50/2)*参数输入表!$H$89</f>
        <v>522.77266279155037</v>
      </c>
      <c r="M53" s="218">
        <f ca="1">(M49+M50/2)*参数输入表!$H$89</f>
        <v>475.24787526504582</v>
      </c>
      <c r="N53" s="218">
        <f ca="1">(N49+N50/2)*参数输入表!$H$89</f>
        <v>427.72308773854127</v>
      </c>
      <c r="O53" s="218">
        <f ca="1">(O49+O50/2)*参数输入表!$H$89</f>
        <v>380.19830021203666</v>
      </c>
      <c r="P53" s="218">
        <f ca="1">(P49+P50/2)*参数输入表!$H$89</f>
        <v>332.6735126855321</v>
      </c>
      <c r="Q53" s="218">
        <f ca="1">(Q49+Q50/2)*参数输入表!$H$89</f>
        <v>285.14872515902755</v>
      </c>
      <c r="R53" s="218">
        <f ca="1">(R49+R50/2)*参数输入表!$H$89</f>
        <v>237.62393763252294</v>
      </c>
      <c r="S53" s="218">
        <f ca="1">(S49+S50/2)*参数输入表!$H$89</f>
        <v>190.09915010601839</v>
      </c>
      <c r="T53" s="218">
        <f ca="1">(T49+T50/2)*参数输入表!$H$89</f>
        <v>142.5743625795138</v>
      </c>
      <c r="U53" s="218">
        <f ca="1">(U49+U50/2)*参数输入表!$H$89</f>
        <v>95.049575053009221</v>
      </c>
      <c r="V53" s="218">
        <f ca="1">(V49+V50/2)*参数输入表!$H$89</f>
        <v>47.524787526504653</v>
      </c>
      <c r="W53" s="218"/>
      <c r="X53" s="218"/>
      <c r="Y53" s="218"/>
      <c r="Z53" s="218"/>
      <c r="AA53" s="218"/>
    </row>
    <row r="54" spans="2:27">
      <c r="B54" s="47">
        <v>4</v>
      </c>
      <c r="C54" s="105" t="s">
        <v>338</v>
      </c>
      <c r="D54" s="223">
        <f ca="1">V54</f>
        <v>2.2737367544323206E-12</v>
      </c>
      <c r="E54" s="47" t="s">
        <v>106</v>
      </c>
      <c r="F54" s="218">
        <f ca="1">F49+F50-F52</f>
        <v>19801.99480271024</v>
      </c>
      <c r="G54" s="218">
        <f ca="1">G49+G50-G52</f>
        <v>19801.99480271024</v>
      </c>
      <c r="H54" s="218">
        <f t="shared" ref="H54:V54" ca="1" si="14">H49+H50-H52</f>
        <v>18481.861815862892</v>
      </c>
      <c r="I54" s="218">
        <f t="shared" ca="1" si="14"/>
        <v>17161.728829015545</v>
      </c>
      <c r="J54" s="218">
        <f t="shared" ca="1" si="14"/>
        <v>15841.595842168195</v>
      </c>
      <c r="K54" s="218">
        <f t="shared" ca="1" si="14"/>
        <v>14521.462855320846</v>
      </c>
      <c r="L54" s="218">
        <f t="shared" ca="1" si="14"/>
        <v>13201.329868473496</v>
      </c>
      <c r="M54" s="218">
        <f t="shared" ca="1" si="14"/>
        <v>11881.196881626147</v>
      </c>
      <c r="N54" s="218">
        <f t="shared" ca="1" si="14"/>
        <v>10561.063894778797</v>
      </c>
      <c r="O54" s="218">
        <f t="shared" ca="1" si="14"/>
        <v>9240.930907931448</v>
      </c>
      <c r="P54" s="218">
        <f t="shared" ca="1" si="14"/>
        <v>7920.7979210840986</v>
      </c>
      <c r="Q54" s="218">
        <f t="shared" ca="1" si="14"/>
        <v>6600.6649342367491</v>
      </c>
      <c r="R54" s="218">
        <f t="shared" ca="1" si="14"/>
        <v>5280.5319473893996</v>
      </c>
      <c r="S54" s="218">
        <f t="shared" ca="1" si="14"/>
        <v>3960.3989605420502</v>
      </c>
      <c r="T54" s="218">
        <f t="shared" ca="1" si="14"/>
        <v>2640.2659736947007</v>
      </c>
      <c r="U54" s="218">
        <f t="shared" ca="1" si="14"/>
        <v>1320.1329868473515</v>
      </c>
      <c r="V54" s="223">
        <f t="shared" ca="1" si="14"/>
        <v>2.2737367544323206E-12</v>
      </c>
      <c r="W54" s="218"/>
      <c r="X54" s="218"/>
      <c r="Y54" s="218"/>
      <c r="Z54" s="218"/>
      <c r="AA54" s="218"/>
    </row>
    <row r="56" spans="2:27">
      <c r="B56" s="323" t="s">
        <v>340</v>
      </c>
      <c r="C56" s="323"/>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row>
    <row r="57" spans="2:27">
      <c r="B57" s="326" t="s">
        <v>14</v>
      </c>
      <c r="C57" s="326" t="s">
        <v>320</v>
      </c>
      <c r="D57" s="326" t="s">
        <v>308</v>
      </c>
      <c r="E57" s="326" t="s">
        <v>39</v>
      </c>
      <c r="F57" s="324" t="s">
        <v>43</v>
      </c>
      <c r="G57" s="324"/>
      <c r="H57" s="325" t="s">
        <v>54</v>
      </c>
      <c r="I57" s="325"/>
      <c r="J57" s="325"/>
      <c r="K57" s="325"/>
      <c r="L57" s="325"/>
      <c r="M57" s="325"/>
      <c r="N57" s="325"/>
      <c r="O57" s="325"/>
      <c r="P57" s="325"/>
      <c r="Q57" s="325"/>
      <c r="R57" s="325"/>
      <c r="S57" s="325"/>
      <c r="T57" s="325"/>
      <c r="U57" s="325"/>
      <c r="V57" s="325"/>
      <c r="W57" s="325"/>
      <c r="X57" s="325"/>
      <c r="Y57" s="325"/>
      <c r="Z57" s="325"/>
      <c r="AA57" s="325"/>
    </row>
    <row r="58" spans="2:27">
      <c r="B58" s="326"/>
      <c r="C58" s="326"/>
      <c r="D58" s="326"/>
      <c r="E58" s="326"/>
      <c r="F58" s="42">
        <v>1</v>
      </c>
      <c r="G58" s="42">
        <v>2</v>
      </c>
      <c r="H58" s="43">
        <v>1</v>
      </c>
      <c r="I58" s="43">
        <v>2</v>
      </c>
      <c r="J58" s="43">
        <v>3</v>
      </c>
      <c r="K58" s="43">
        <v>4</v>
      </c>
      <c r="L58" s="43">
        <v>5</v>
      </c>
      <c r="M58" s="43">
        <v>6</v>
      </c>
      <c r="N58" s="43">
        <v>7</v>
      </c>
      <c r="O58" s="43">
        <v>8</v>
      </c>
      <c r="P58" s="43">
        <v>9</v>
      </c>
      <c r="Q58" s="43">
        <v>10</v>
      </c>
      <c r="R58" s="43">
        <v>11</v>
      </c>
      <c r="S58" s="43">
        <v>12</v>
      </c>
      <c r="T58" s="43">
        <v>13</v>
      </c>
      <c r="U58" s="43">
        <v>14</v>
      </c>
      <c r="V58" s="43">
        <v>15</v>
      </c>
      <c r="W58" s="43">
        <v>16</v>
      </c>
      <c r="X58" s="43">
        <v>17</v>
      </c>
      <c r="Y58" s="43">
        <v>18</v>
      </c>
      <c r="Z58" s="43">
        <v>19</v>
      </c>
      <c r="AA58" s="43">
        <v>20</v>
      </c>
    </row>
    <row r="59" spans="2:27">
      <c r="B59" s="47" t="s">
        <v>341</v>
      </c>
      <c r="C59" s="105" t="s">
        <v>333</v>
      </c>
      <c r="D59" s="218"/>
      <c r="E59" s="47" t="s">
        <v>106</v>
      </c>
      <c r="F59" s="218">
        <v>0</v>
      </c>
      <c r="G59" s="218">
        <f t="shared" ref="G59:AA59" si="15">F64</f>
        <v>0</v>
      </c>
      <c r="H59" s="218">
        <f t="shared" si="15"/>
        <v>0</v>
      </c>
      <c r="I59" s="218">
        <f t="shared" si="15"/>
        <v>105</v>
      </c>
      <c r="J59" s="218">
        <f t="shared" si="15"/>
        <v>105</v>
      </c>
      <c r="K59" s="218">
        <f t="shared" si="15"/>
        <v>105</v>
      </c>
      <c r="L59" s="218">
        <f t="shared" si="15"/>
        <v>105</v>
      </c>
      <c r="M59" s="218">
        <f t="shared" si="15"/>
        <v>105</v>
      </c>
      <c r="N59" s="218">
        <f t="shared" si="15"/>
        <v>105</v>
      </c>
      <c r="O59" s="218">
        <f t="shared" si="15"/>
        <v>105</v>
      </c>
      <c r="P59" s="218">
        <f t="shared" si="15"/>
        <v>105</v>
      </c>
      <c r="Q59" s="218">
        <f t="shared" si="15"/>
        <v>105</v>
      </c>
      <c r="R59" s="218">
        <f t="shared" si="15"/>
        <v>105</v>
      </c>
      <c r="S59" s="218">
        <f t="shared" si="15"/>
        <v>105</v>
      </c>
      <c r="T59" s="218">
        <f t="shared" si="15"/>
        <v>105</v>
      </c>
      <c r="U59" s="218">
        <f t="shared" si="15"/>
        <v>105</v>
      </c>
      <c r="V59" s="218">
        <f t="shared" si="15"/>
        <v>105</v>
      </c>
      <c r="W59" s="218">
        <f t="shared" si="15"/>
        <v>105</v>
      </c>
      <c r="X59" s="218">
        <f t="shared" si="15"/>
        <v>105</v>
      </c>
      <c r="Y59" s="218">
        <f t="shared" si="15"/>
        <v>105</v>
      </c>
      <c r="Z59" s="218">
        <f t="shared" si="15"/>
        <v>105</v>
      </c>
      <c r="AA59" s="218">
        <f t="shared" si="15"/>
        <v>105</v>
      </c>
    </row>
    <row r="60" spans="2:27">
      <c r="B60" s="47" t="s">
        <v>342</v>
      </c>
      <c r="C60" s="105" t="s">
        <v>334</v>
      </c>
      <c r="D60" s="218">
        <f>SUM(F60:AA60)</f>
        <v>105</v>
      </c>
      <c r="E60" s="47" t="s">
        <v>106</v>
      </c>
      <c r="F60" s="218">
        <v>0</v>
      </c>
      <c r="G60" s="218">
        <v>0</v>
      </c>
      <c r="H60" s="218">
        <f>$H$15</f>
        <v>105</v>
      </c>
      <c r="I60" s="218"/>
      <c r="J60" s="218"/>
      <c r="K60" s="218"/>
      <c r="L60" s="218"/>
      <c r="M60" s="218"/>
      <c r="N60" s="218"/>
      <c r="O60" s="218"/>
      <c r="P60" s="218"/>
      <c r="Q60" s="218"/>
      <c r="R60" s="218"/>
      <c r="S60" s="218"/>
      <c r="T60" s="218"/>
      <c r="U60" s="218"/>
      <c r="V60" s="218"/>
      <c r="W60" s="218"/>
      <c r="X60" s="218"/>
      <c r="Y60" s="218"/>
      <c r="Z60" s="218"/>
      <c r="AA60" s="218"/>
    </row>
    <row r="61" spans="2:27">
      <c r="B61" s="47" t="s">
        <v>343</v>
      </c>
      <c r="C61" s="105" t="s">
        <v>335</v>
      </c>
      <c r="D61" s="218">
        <f>SUM(F61:AA61)</f>
        <v>166.845</v>
      </c>
      <c r="E61" s="47" t="s">
        <v>106</v>
      </c>
      <c r="F61" s="218"/>
      <c r="G61" s="218"/>
      <c r="H61" s="218">
        <v>0</v>
      </c>
      <c r="I61" s="218">
        <f t="shared" ref="I61:AA61" si="16">SUM(I62:I63)</f>
        <v>3.2549999999999999</v>
      </c>
      <c r="J61" s="218">
        <f t="shared" si="16"/>
        <v>3.2549999999999999</v>
      </c>
      <c r="K61" s="218">
        <f t="shared" si="16"/>
        <v>3.2549999999999999</v>
      </c>
      <c r="L61" s="218">
        <f t="shared" si="16"/>
        <v>3.2549999999999999</v>
      </c>
      <c r="M61" s="218">
        <f t="shared" si="16"/>
        <v>3.2549999999999999</v>
      </c>
      <c r="N61" s="218">
        <f t="shared" si="16"/>
        <v>3.2549999999999999</v>
      </c>
      <c r="O61" s="218">
        <f t="shared" si="16"/>
        <v>3.2549999999999999</v>
      </c>
      <c r="P61" s="218">
        <f t="shared" si="16"/>
        <v>3.2549999999999999</v>
      </c>
      <c r="Q61" s="218">
        <f t="shared" si="16"/>
        <v>3.2549999999999999</v>
      </c>
      <c r="R61" s="218">
        <f t="shared" si="16"/>
        <v>3.2549999999999999</v>
      </c>
      <c r="S61" s="218">
        <f t="shared" si="16"/>
        <v>3.2549999999999999</v>
      </c>
      <c r="T61" s="218">
        <f t="shared" si="16"/>
        <v>3.2549999999999999</v>
      </c>
      <c r="U61" s="218">
        <f t="shared" si="16"/>
        <v>3.2549999999999999</v>
      </c>
      <c r="V61" s="218">
        <f t="shared" si="16"/>
        <v>3.2549999999999999</v>
      </c>
      <c r="W61" s="218">
        <f t="shared" si="16"/>
        <v>3.2549999999999999</v>
      </c>
      <c r="X61" s="218">
        <f t="shared" si="16"/>
        <v>3.2549999999999999</v>
      </c>
      <c r="Y61" s="218">
        <f t="shared" si="16"/>
        <v>3.2549999999999999</v>
      </c>
      <c r="Z61" s="218">
        <f t="shared" si="16"/>
        <v>3.2549999999999999</v>
      </c>
      <c r="AA61" s="218">
        <f t="shared" si="16"/>
        <v>108.255</v>
      </c>
    </row>
    <row r="62" spans="2:27" ht="16" customHeight="1">
      <c r="B62" s="47"/>
      <c r="C62" s="52" t="s">
        <v>344</v>
      </c>
      <c r="D62" s="218">
        <f>SUM(F62:AA62)</f>
        <v>105</v>
      </c>
      <c r="E62" s="47" t="s">
        <v>106</v>
      </c>
      <c r="F62" s="218"/>
      <c r="G62" s="218"/>
      <c r="H62" s="218">
        <v>0</v>
      </c>
      <c r="I62" s="218"/>
      <c r="J62" s="218"/>
      <c r="K62" s="218"/>
      <c r="L62" s="218"/>
      <c r="M62" s="218"/>
      <c r="N62" s="218"/>
      <c r="O62" s="218"/>
      <c r="P62" s="218"/>
      <c r="Q62" s="218"/>
      <c r="R62" s="218"/>
      <c r="S62" s="218"/>
      <c r="T62" s="218"/>
      <c r="U62" s="218"/>
      <c r="V62" s="218"/>
      <c r="W62" s="218"/>
      <c r="X62" s="218"/>
      <c r="Y62" s="218"/>
      <c r="Z62" s="218"/>
      <c r="AA62" s="218">
        <f>H64</f>
        <v>105</v>
      </c>
    </row>
    <row r="63" spans="2:27">
      <c r="B63" s="47"/>
      <c r="C63" s="160" t="s">
        <v>337</v>
      </c>
      <c r="D63" s="218">
        <f>SUM(F63:AA63)</f>
        <v>65.099999999999994</v>
      </c>
      <c r="E63" s="47" t="s">
        <v>106</v>
      </c>
      <c r="F63" s="218"/>
      <c r="G63" s="218"/>
      <c r="H63" s="218">
        <f>(H59+H60)*参数输入表!$H$90</f>
        <v>3.2549999999999999</v>
      </c>
      <c r="I63" s="218">
        <f>(I59+I60)*参数输入表!$H$90</f>
        <v>3.2549999999999999</v>
      </c>
      <c r="J63" s="218">
        <f>(J59+J60)*参数输入表!$H$90</f>
        <v>3.2549999999999999</v>
      </c>
      <c r="K63" s="218">
        <f>(K59+K60)*参数输入表!$H$90</f>
        <v>3.2549999999999999</v>
      </c>
      <c r="L63" s="218">
        <f>(L59+L60)*参数输入表!$H$90</f>
        <v>3.2549999999999999</v>
      </c>
      <c r="M63" s="218">
        <f>(M59+M60)*参数输入表!$H$90</f>
        <v>3.2549999999999999</v>
      </c>
      <c r="N63" s="218">
        <f>(N59+N60)*参数输入表!$H$90</f>
        <v>3.2549999999999999</v>
      </c>
      <c r="O63" s="218">
        <f>(O59+O60)*参数输入表!$H$90</f>
        <v>3.2549999999999999</v>
      </c>
      <c r="P63" s="218">
        <f>(P59+P60)*参数输入表!$H$90</f>
        <v>3.2549999999999999</v>
      </c>
      <c r="Q63" s="218">
        <f>(Q59+Q60)*参数输入表!$H$90</f>
        <v>3.2549999999999999</v>
      </c>
      <c r="R63" s="218">
        <f>(R59+R60)*参数输入表!$H$90</f>
        <v>3.2549999999999999</v>
      </c>
      <c r="S63" s="218">
        <f>(S59+S60)*参数输入表!$H$90</f>
        <v>3.2549999999999999</v>
      </c>
      <c r="T63" s="218">
        <f>(T59+T60)*参数输入表!$H$90</f>
        <v>3.2549999999999999</v>
      </c>
      <c r="U63" s="218">
        <f>(U59+U60)*参数输入表!$H$90</f>
        <v>3.2549999999999999</v>
      </c>
      <c r="V63" s="218">
        <f>(V59+V60)*参数输入表!$H$90</f>
        <v>3.2549999999999999</v>
      </c>
      <c r="W63" s="218">
        <f>(W59+W60)*参数输入表!$H$90</f>
        <v>3.2549999999999999</v>
      </c>
      <c r="X63" s="218">
        <f>(X59+X60)*参数输入表!$H$90</f>
        <v>3.2549999999999999</v>
      </c>
      <c r="Y63" s="218">
        <f>(Y59+Y60)*参数输入表!$H$90</f>
        <v>3.2549999999999999</v>
      </c>
      <c r="Z63" s="218">
        <f>(Z59+Z60)*参数输入表!$H$90</f>
        <v>3.2549999999999999</v>
      </c>
      <c r="AA63" s="218">
        <f>(AA59+AA60)*参数输入表!$H$90</f>
        <v>3.2549999999999999</v>
      </c>
    </row>
    <row r="64" spans="2:27">
      <c r="B64" s="47" t="s">
        <v>345</v>
      </c>
      <c r="C64" s="105" t="s">
        <v>338</v>
      </c>
      <c r="D64" s="223">
        <f>AA64</f>
        <v>0</v>
      </c>
      <c r="E64" s="47" t="s">
        <v>106</v>
      </c>
      <c r="F64" s="218">
        <f>F59+F60-F62</f>
        <v>0</v>
      </c>
      <c r="G64" s="218">
        <f>G59+G60-G62</f>
        <v>0</v>
      </c>
      <c r="H64" s="218">
        <f>H59+H60-H62</f>
        <v>105</v>
      </c>
      <c r="I64" s="218">
        <f t="shared" ref="I64:AA64" si="17">I59+I60-I62</f>
        <v>105</v>
      </c>
      <c r="J64" s="218">
        <f t="shared" si="17"/>
        <v>105</v>
      </c>
      <c r="K64" s="218">
        <f t="shared" si="17"/>
        <v>105</v>
      </c>
      <c r="L64" s="218">
        <f t="shared" si="17"/>
        <v>105</v>
      </c>
      <c r="M64" s="218">
        <f t="shared" si="17"/>
        <v>105</v>
      </c>
      <c r="N64" s="218">
        <f t="shared" si="17"/>
        <v>105</v>
      </c>
      <c r="O64" s="218">
        <f t="shared" si="17"/>
        <v>105</v>
      </c>
      <c r="P64" s="218">
        <f t="shared" si="17"/>
        <v>105</v>
      </c>
      <c r="Q64" s="218">
        <f t="shared" si="17"/>
        <v>105</v>
      </c>
      <c r="R64" s="218">
        <f t="shared" si="17"/>
        <v>105</v>
      </c>
      <c r="S64" s="218">
        <f t="shared" si="17"/>
        <v>105</v>
      </c>
      <c r="T64" s="218">
        <f t="shared" si="17"/>
        <v>105</v>
      </c>
      <c r="U64" s="218">
        <f t="shared" si="17"/>
        <v>105</v>
      </c>
      <c r="V64" s="218">
        <f t="shared" si="17"/>
        <v>105</v>
      </c>
      <c r="W64" s="218">
        <f t="shared" si="17"/>
        <v>105</v>
      </c>
      <c r="X64" s="218">
        <f t="shared" si="17"/>
        <v>105</v>
      </c>
      <c r="Y64" s="218">
        <f t="shared" si="17"/>
        <v>105</v>
      </c>
      <c r="Z64" s="218">
        <f t="shared" si="17"/>
        <v>105</v>
      </c>
      <c r="AA64" s="218">
        <f t="shared" si="17"/>
        <v>0</v>
      </c>
    </row>
    <row r="66" spans="2:27">
      <c r="B66" s="323" t="s">
        <v>346</v>
      </c>
      <c r="C66" s="323"/>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row>
    <row r="67" spans="2:27">
      <c r="B67" s="326" t="s">
        <v>14</v>
      </c>
      <c r="C67" s="326" t="s">
        <v>320</v>
      </c>
      <c r="D67" s="326" t="s">
        <v>308</v>
      </c>
      <c r="E67" s="326" t="s">
        <v>39</v>
      </c>
      <c r="F67" s="324" t="s">
        <v>43</v>
      </c>
      <c r="G67" s="324"/>
      <c r="H67" s="325" t="s">
        <v>54</v>
      </c>
      <c r="I67" s="325"/>
      <c r="J67" s="325"/>
      <c r="K67" s="325"/>
      <c r="L67" s="325"/>
      <c r="M67" s="325"/>
      <c r="N67" s="325"/>
      <c r="O67" s="325"/>
      <c r="P67" s="325"/>
      <c r="Q67" s="325"/>
      <c r="R67" s="325"/>
      <c r="S67" s="325"/>
      <c r="T67" s="325"/>
      <c r="U67" s="325"/>
      <c r="V67" s="325"/>
      <c r="W67" s="325"/>
      <c r="X67" s="325"/>
      <c r="Y67" s="325"/>
      <c r="Z67" s="325"/>
      <c r="AA67" s="325"/>
    </row>
    <row r="68" spans="2:27">
      <c r="B68" s="326"/>
      <c r="C68" s="326"/>
      <c r="D68" s="326"/>
      <c r="E68" s="326"/>
      <c r="F68" s="42">
        <v>1</v>
      </c>
      <c r="G68" s="42">
        <v>2</v>
      </c>
      <c r="H68" s="43">
        <v>1</v>
      </c>
      <c r="I68" s="43">
        <v>2</v>
      </c>
      <c r="J68" s="43">
        <v>3</v>
      </c>
      <c r="K68" s="43">
        <v>4</v>
      </c>
      <c r="L68" s="43">
        <v>5</v>
      </c>
      <c r="M68" s="43">
        <v>6</v>
      </c>
      <c r="N68" s="43">
        <v>7</v>
      </c>
      <c r="O68" s="43">
        <v>8</v>
      </c>
      <c r="P68" s="43">
        <v>9</v>
      </c>
      <c r="Q68" s="43">
        <v>10</v>
      </c>
      <c r="R68" s="43">
        <v>11</v>
      </c>
      <c r="S68" s="43">
        <v>12</v>
      </c>
      <c r="T68" s="43">
        <v>13</v>
      </c>
      <c r="U68" s="43">
        <v>14</v>
      </c>
      <c r="V68" s="43">
        <v>15</v>
      </c>
      <c r="W68" s="43">
        <v>16</v>
      </c>
      <c r="X68" s="43">
        <v>17</v>
      </c>
      <c r="Y68" s="43">
        <v>18</v>
      </c>
      <c r="Z68" s="43">
        <v>19</v>
      </c>
      <c r="AA68" s="43">
        <v>20</v>
      </c>
    </row>
    <row r="69" spans="2:27">
      <c r="B69" s="47" t="s">
        <v>341</v>
      </c>
      <c r="C69" s="105" t="s">
        <v>333</v>
      </c>
      <c r="D69" s="218"/>
      <c r="E69" s="47" t="s">
        <v>106</v>
      </c>
      <c r="F69" s="218">
        <v>0</v>
      </c>
      <c r="G69" s="218">
        <f t="shared" ref="G69:H69" si="18">F74</f>
        <v>0</v>
      </c>
      <c r="H69" s="218">
        <f t="shared" si="18"/>
        <v>0</v>
      </c>
      <c r="I69" s="218">
        <f t="shared" ref="I69" si="19">H74</f>
        <v>0</v>
      </c>
      <c r="J69" s="218">
        <f t="shared" ref="J69" si="20">I74</f>
        <v>0</v>
      </c>
      <c r="K69" s="218">
        <f t="shared" ref="K69:AA69" si="21">J74</f>
        <v>0</v>
      </c>
      <c r="L69" s="218">
        <f t="shared" si="21"/>
        <v>0</v>
      </c>
      <c r="M69" s="218">
        <f t="shared" si="21"/>
        <v>0</v>
      </c>
      <c r="N69" s="218">
        <f t="shared" si="21"/>
        <v>0</v>
      </c>
      <c r="O69" s="218">
        <f t="shared" si="21"/>
        <v>0</v>
      </c>
      <c r="P69" s="218">
        <f t="shared" si="21"/>
        <v>0</v>
      </c>
      <c r="Q69" s="218">
        <f t="shared" si="21"/>
        <v>0</v>
      </c>
      <c r="R69" s="218">
        <f t="shared" si="21"/>
        <v>0</v>
      </c>
      <c r="S69" s="218">
        <f t="shared" si="21"/>
        <v>0</v>
      </c>
      <c r="T69" s="218">
        <f t="shared" si="21"/>
        <v>0</v>
      </c>
      <c r="U69" s="218">
        <f t="shared" si="21"/>
        <v>0</v>
      </c>
      <c r="V69" s="218">
        <f t="shared" si="21"/>
        <v>0</v>
      </c>
      <c r="W69" s="218">
        <f t="shared" si="21"/>
        <v>0</v>
      </c>
      <c r="X69" s="218">
        <f t="shared" si="21"/>
        <v>0</v>
      </c>
      <c r="Y69" s="218">
        <f t="shared" si="21"/>
        <v>0</v>
      </c>
      <c r="Z69" s="218">
        <f t="shared" si="21"/>
        <v>0</v>
      </c>
      <c r="AA69" s="218">
        <f t="shared" si="21"/>
        <v>0</v>
      </c>
    </row>
    <row r="70" spans="2:27">
      <c r="B70" s="47" t="s">
        <v>342</v>
      </c>
      <c r="C70" s="105" t="s">
        <v>334</v>
      </c>
      <c r="D70" s="218">
        <f>SUM(F70:AA70)</f>
        <v>0</v>
      </c>
      <c r="E70" s="47" t="s">
        <v>106</v>
      </c>
      <c r="F70" s="218">
        <v>0</v>
      </c>
      <c r="G70" s="218">
        <v>0</v>
      </c>
      <c r="H70" s="218">
        <f>'表9-现金流量表-财务计划'!H28</f>
        <v>0</v>
      </c>
      <c r="I70" s="218">
        <f>'表9-现金流量表-财务计划'!I28</f>
        <v>0</v>
      </c>
      <c r="J70" s="218">
        <f>'表9-现金流量表-财务计划'!J28</f>
        <v>0</v>
      </c>
      <c r="K70" s="218">
        <f>'表9-现金流量表-财务计划'!K28</f>
        <v>0</v>
      </c>
      <c r="L70" s="218">
        <f>'表9-现金流量表-财务计划'!L28</f>
        <v>0</v>
      </c>
      <c r="M70" s="218">
        <f>'表9-现金流量表-财务计划'!M28</f>
        <v>0</v>
      </c>
      <c r="N70" s="218">
        <f>'表9-现金流量表-财务计划'!N28</f>
        <v>0</v>
      </c>
      <c r="O70" s="218">
        <f>'表9-现金流量表-财务计划'!O28</f>
        <v>0</v>
      </c>
      <c r="P70" s="218">
        <f>'表9-现金流量表-财务计划'!P28</f>
        <v>0</v>
      </c>
      <c r="Q70" s="218">
        <f>'表9-现金流量表-财务计划'!Q28</f>
        <v>0</v>
      </c>
      <c r="R70" s="218">
        <f>'表9-现金流量表-财务计划'!R28</f>
        <v>0</v>
      </c>
      <c r="S70" s="218">
        <f>'表9-现金流量表-财务计划'!S28</f>
        <v>0</v>
      </c>
      <c r="T70" s="218">
        <f>'表9-现金流量表-财务计划'!T28</f>
        <v>0</v>
      </c>
      <c r="U70" s="218">
        <f>'表9-现金流量表-财务计划'!U28</f>
        <v>0</v>
      </c>
      <c r="V70" s="218">
        <f>'表9-现金流量表-财务计划'!V28</f>
        <v>0</v>
      </c>
      <c r="W70" s="218">
        <f>'表9-现金流量表-财务计划'!W28</f>
        <v>0</v>
      </c>
      <c r="X70" s="218">
        <f>'表9-现金流量表-财务计划'!X28</f>
        <v>0</v>
      </c>
      <c r="Y70" s="218">
        <f>'表9-现金流量表-财务计划'!Y28</f>
        <v>0</v>
      </c>
      <c r="Z70" s="218">
        <f>'表9-现金流量表-财务计划'!Z28</f>
        <v>0</v>
      </c>
      <c r="AA70" s="218">
        <f>'表9-现金流量表-财务计划'!AA28</f>
        <v>0</v>
      </c>
    </row>
    <row r="71" spans="2:27">
      <c r="B71" s="47" t="s">
        <v>343</v>
      </c>
      <c r="C71" s="105" t="s">
        <v>335</v>
      </c>
      <c r="D71" s="218">
        <f>SUM(F71:AA71)</f>
        <v>0</v>
      </c>
      <c r="E71" s="47" t="s">
        <v>106</v>
      </c>
      <c r="F71" s="218"/>
      <c r="G71" s="218"/>
      <c r="H71" s="218">
        <f>SUM(H72:H73)</f>
        <v>0</v>
      </c>
      <c r="I71" s="218">
        <f t="shared" ref="I71:AA71" si="22">SUM(I72:I73)</f>
        <v>0</v>
      </c>
      <c r="J71" s="218">
        <f t="shared" si="22"/>
        <v>0</v>
      </c>
      <c r="K71" s="218">
        <f t="shared" si="22"/>
        <v>0</v>
      </c>
      <c r="L71" s="218">
        <f t="shared" si="22"/>
        <v>0</v>
      </c>
      <c r="M71" s="218">
        <f t="shared" si="22"/>
        <v>0</v>
      </c>
      <c r="N71" s="218">
        <f t="shared" si="22"/>
        <v>0</v>
      </c>
      <c r="O71" s="218">
        <f t="shared" si="22"/>
        <v>0</v>
      </c>
      <c r="P71" s="218">
        <f t="shared" si="22"/>
        <v>0</v>
      </c>
      <c r="Q71" s="218">
        <f t="shared" si="22"/>
        <v>0</v>
      </c>
      <c r="R71" s="218">
        <f t="shared" si="22"/>
        <v>0</v>
      </c>
      <c r="S71" s="218">
        <f t="shared" si="22"/>
        <v>0</v>
      </c>
      <c r="T71" s="218">
        <f t="shared" si="22"/>
        <v>0</v>
      </c>
      <c r="U71" s="218">
        <f t="shared" si="22"/>
        <v>0</v>
      </c>
      <c r="V71" s="218">
        <f t="shared" si="22"/>
        <v>0</v>
      </c>
      <c r="W71" s="218">
        <f t="shared" si="22"/>
        <v>0</v>
      </c>
      <c r="X71" s="218">
        <f t="shared" si="22"/>
        <v>0</v>
      </c>
      <c r="Y71" s="218">
        <f t="shared" si="22"/>
        <v>0</v>
      </c>
      <c r="Z71" s="218">
        <f t="shared" si="22"/>
        <v>0</v>
      </c>
      <c r="AA71" s="218">
        <f t="shared" si="22"/>
        <v>0</v>
      </c>
    </row>
    <row r="72" spans="2:27">
      <c r="B72" s="47"/>
      <c r="C72" s="52" t="s">
        <v>344</v>
      </c>
      <c r="D72" s="218">
        <f>SUM(F72:AA72)</f>
        <v>0</v>
      </c>
      <c r="E72" s="47" t="s">
        <v>106</v>
      </c>
      <c r="F72" s="218"/>
      <c r="G72" s="218"/>
      <c r="H72" s="218">
        <v>0</v>
      </c>
      <c r="I72" s="218">
        <f>H69</f>
        <v>0</v>
      </c>
      <c r="J72" s="218">
        <f>I69</f>
        <v>0</v>
      </c>
      <c r="K72" s="218">
        <f t="shared" ref="K72:AA72" si="23">J69</f>
        <v>0</v>
      </c>
      <c r="L72" s="218">
        <f t="shared" si="23"/>
        <v>0</v>
      </c>
      <c r="M72" s="218">
        <f t="shared" si="23"/>
        <v>0</v>
      </c>
      <c r="N72" s="218">
        <f t="shared" si="23"/>
        <v>0</v>
      </c>
      <c r="O72" s="218">
        <f t="shared" si="23"/>
        <v>0</v>
      </c>
      <c r="P72" s="218">
        <f t="shared" si="23"/>
        <v>0</v>
      </c>
      <c r="Q72" s="218">
        <f t="shared" si="23"/>
        <v>0</v>
      </c>
      <c r="R72" s="218">
        <f t="shared" si="23"/>
        <v>0</v>
      </c>
      <c r="S72" s="218">
        <f t="shared" si="23"/>
        <v>0</v>
      </c>
      <c r="T72" s="218">
        <f t="shared" si="23"/>
        <v>0</v>
      </c>
      <c r="U72" s="218">
        <f t="shared" si="23"/>
        <v>0</v>
      </c>
      <c r="V72" s="218">
        <f t="shared" si="23"/>
        <v>0</v>
      </c>
      <c r="W72" s="218">
        <f t="shared" si="23"/>
        <v>0</v>
      </c>
      <c r="X72" s="218">
        <f t="shared" si="23"/>
        <v>0</v>
      </c>
      <c r="Y72" s="218">
        <f t="shared" si="23"/>
        <v>0</v>
      </c>
      <c r="Z72" s="218">
        <f t="shared" si="23"/>
        <v>0</v>
      </c>
      <c r="AA72" s="218">
        <f t="shared" si="23"/>
        <v>0</v>
      </c>
    </row>
    <row r="73" spans="2:27">
      <c r="B73" s="47"/>
      <c r="C73" s="160" t="s">
        <v>337</v>
      </c>
      <c r="D73" s="218">
        <f>SUM(F73:AA73)</f>
        <v>0</v>
      </c>
      <c r="E73" s="47" t="s">
        <v>106</v>
      </c>
      <c r="F73" s="218"/>
      <c r="G73" s="218"/>
      <c r="H73" s="218">
        <f>(H70)*参数输入表!$H$90</f>
        <v>0</v>
      </c>
      <c r="I73" s="218">
        <f>(I70)*参数输入表!$H$90</f>
        <v>0</v>
      </c>
      <c r="J73" s="218">
        <f>(J70)*参数输入表!$H$90</f>
        <v>0</v>
      </c>
      <c r="K73" s="218">
        <f>(K70)*参数输入表!$H$90</f>
        <v>0</v>
      </c>
      <c r="L73" s="218">
        <f>(L70)*参数输入表!$H$90</f>
        <v>0</v>
      </c>
      <c r="M73" s="218">
        <f>(M70)*参数输入表!$H$90</f>
        <v>0</v>
      </c>
      <c r="N73" s="218">
        <f>(N70)*参数输入表!$H$90</f>
        <v>0</v>
      </c>
      <c r="O73" s="218">
        <f>(O70)*参数输入表!$H$90</f>
        <v>0</v>
      </c>
      <c r="P73" s="218">
        <f>(P70)*参数输入表!$H$90</f>
        <v>0</v>
      </c>
      <c r="Q73" s="218">
        <f>(Q70)*参数输入表!$H$90</f>
        <v>0</v>
      </c>
      <c r="R73" s="218">
        <f>(R70)*参数输入表!$H$90</f>
        <v>0</v>
      </c>
      <c r="S73" s="218">
        <f>(S70)*参数输入表!$H$90</f>
        <v>0</v>
      </c>
      <c r="T73" s="218">
        <f>(T70)*参数输入表!$H$90</f>
        <v>0</v>
      </c>
      <c r="U73" s="218">
        <f>(U70)*参数输入表!$H$90</f>
        <v>0</v>
      </c>
      <c r="V73" s="218">
        <f>(V70)*参数输入表!$H$90</f>
        <v>0</v>
      </c>
      <c r="W73" s="218">
        <f>(W70)*参数输入表!$H$90</f>
        <v>0</v>
      </c>
      <c r="X73" s="218">
        <f>(X70)*参数输入表!$H$90</f>
        <v>0</v>
      </c>
      <c r="Y73" s="218">
        <f>(Y70)*参数输入表!$H$90</f>
        <v>0</v>
      </c>
      <c r="Z73" s="218">
        <f>(Z70)*参数输入表!$H$90</f>
        <v>0</v>
      </c>
      <c r="AA73" s="218">
        <f>(AA70)*参数输入表!$H$90</f>
        <v>0</v>
      </c>
    </row>
    <row r="74" spans="2:27">
      <c r="B74" s="47" t="s">
        <v>345</v>
      </c>
      <c r="C74" s="105" t="s">
        <v>338</v>
      </c>
      <c r="D74" s="223">
        <f>AA74</f>
        <v>0</v>
      </c>
      <c r="E74" s="47" t="s">
        <v>106</v>
      </c>
      <c r="F74" s="218">
        <f>F69+F70-F72</f>
        <v>0</v>
      </c>
      <c r="G74" s="218">
        <f t="shared" ref="G74:H74" si="24">G69+G70-G72</f>
        <v>0</v>
      </c>
      <c r="H74" s="218">
        <f t="shared" si="24"/>
        <v>0</v>
      </c>
      <c r="I74" s="218">
        <f t="shared" ref="I74:AA74" si="25">I69+I70-I72</f>
        <v>0</v>
      </c>
      <c r="J74" s="218">
        <f t="shared" si="25"/>
        <v>0</v>
      </c>
      <c r="K74" s="218">
        <f t="shared" si="25"/>
        <v>0</v>
      </c>
      <c r="L74" s="218">
        <f t="shared" si="25"/>
        <v>0</v>
      </c>
      <c r="M74" s="218">
        <f t="shared" si="25"/>
        <v>0</v>
      </c>
      <c r="N74" s="218">
        <f t="shared" si="25"/>
        <v>0</v>
      </c>
      <c r="O74" s="218">
        <f t="shared" si="25"/>
        <v>0</v>
      </c>
      <c r="P74" s="218">
        <f t="shared" si="25"/>
        <v>0</v>
      </c>
      <c r="Q74" s="218">
        <f t="shared" si="25"/>
        <v>0</v>
      </c>
      <c r="R74" s="218">
        <f t="shared" si="25"/>
        <v>0</v>
      </c>
      <c r="S74" s="218">
        <f t="shared" si="25"/>
        <v>0</v>
      </c>
      <c r="T74" s="218">
        <f t="shared" si="25"/>
        <v>0</v>
      </c>
      <c r="U74" s="218">
        <f t="shared" si="25"/>
        <v>0</v>
      </c>
      <c r="V74" s="218">
        <f t="shared" si="25"/>
        <v>0</v>
      </c>
      <c r="W74" s="218">
        <f t="shared" si="25"/>
        <v>0</v>
      </c>
      <c r="X74" s="218">
        <f t="shared" si="25"/>
        <v>0</v>
      </c>
      <c r="Y74" s="218">
        <f t="shared" si="25"/>
        <v>0</v>
      </c>
      <c r="Z74" s="218">
        <f t="shared" si="25"/>
        <v>0</v>
      </c>
      <c r="AA74" s="218">
        <f t="shared" si="25"/>
        <v>0</v>
      </c>
    </row>
    <row r="76" spans="2:27">
      <c r="B76" s="323" t="s">
        <v>347</v>
      </c>
      <c r="C76" s="323"/>
      <c r="D76" s="323"/>
      <c r="E76" s="323"/>
      <c r="F76" s="323"/>
      <c r="G76" s="323"/>
      <c r="H76" s="323"/>
      <c r="I76" s="323"/>
      <c r="J76" s="323"/>
      <c r="K76" s="323"/>
      <c r="L76" s="323"/>
      <c r="M76" s="323"/>
      <c r="N76" s="323"/>
      <c r="O76" s="323"/>
      <c r="P76" s="323"/>
      <c r="Q76" s="323"/>
      <c r="R76" s="323"/>
      <c r="S76" s="323"/>
      <c r="T76" s="323"/>
      <c r="U76" s="323"/>
      <c r="V76" s="323"/>
      <c r="W76" s="323"/>
      <c r="X76" s="323"/>
      <c r="Y76" s="323"/>
      <c r="Z76" s="323"/>
      <c r="AA76" s="323"/>
    </row>
    <row r="77" spans="2:27">
      <c r="B77" s="326" t="s">
        <v>14</v>
      </c>
      <c r="C77" s="326" t="s">
        <v>320</v>
      </c>
      <c r="D77" s="326" t="s">
        <v>308</v>
      </c>
      <c r="E77" s="326" t="s">
        <v>39</v>
      </c>
      <c r="F77" s="324" t="s">
        <v>43</v>
      </c>
      <c r="G77" s="324"/>
      <c r="H77" s="325" t="s">
        <v>54</v>
      </c>
      <c r="I77" s="325"/>
      <c r="J77" s="325"/>
      <c r="K77" s="325"/>
      <c r="L77" s="325"/>
      <c r="M77" s="325"/>
      <c r="N77" s="325"/>
      <c r="O77" s="325"/>
      <c r="P77" s="325"/>
      <c r="Q77" s="325"/>
      <c r="R77" s="325"/>
      <c r="S77" s="325"/>
      <c r="T77" s="325"/>
      <c r="U77" s="325"/>
      <c r="V77" s="325"/>
      <c r="W77" s="325"/>
      <c r="X77" s="325"/>
      <c r="Y77" s="325"/>
      <c r="Z77" s="325"/>
      <c r="AA77" s="325"/>
    </row>
    <row r="78" spans="2:27">
      <c r="B78" s="326"/>
      <c r="C78" s="326"/>
      <c r="D78" s="326"/>
      <c r="E78" s="326"/>
      <c r="F78" s="42">
        <v>1</v>
      </c>
      <c r="G78" s="42">
        <v>2</v>
      </c>
      <c r="H78" s="43">
        <v>1</v>
      </c>
      <c r="I78" s="43">
        <v>2</v>
      </c>
      <c r="J78" s="43">
        <v>3</v>
      </c>
      <c r="K78" s="43">
        <v>4</v>
      </c>
      <c r="L78" s="43">
        <v>5</v>
      </c>
      <c r="M78" s="43">
        <v>6</v>
      </c>
      <c r="N78" s="43">
        <v>7</v>
      </c>
      <c r="O78" s="43">
        <v>8</v>
      </c>
      <c r="P78" s="43">
        <v>9</v>
      </c>
      <c r="Q78" s="43">
        <v>10</v>
      </c>
      <c r="R78" s="43">
        <v>11</v>
      </c>
      <c r="S78" s="43">
        <v>12</v>
      </c>
      <c r="T78" s="43">
        <v>13</v>
      </c>
      <c r="U78" s="43">
        <v>14</v>
      </c>
      <c r="V78" s="43">
        <v>15</v>
      </c>
      <c r="W78" s="43">
        <v>16</v>
      </c>
      <c r="X78" s="43">
        <v>17</v>
      </c>
      <c r="Y78" s="43">
        <v>18</v>
      </c>
      <c r="Z78" s="43">
        <v>19</v>
      </c>
      <c r="AA78" s="43">
        <v>20</v>
      </c>
    </row>
    <row r="79" spans="2:27">
      <c r="B79" s="47" t="s">
        <v>341</v>
      </c>
      <c r="C79" s="105" t="s">
        <v>333</v>
      </c>
      <c r="D79" s="218"/>
      <c r="E79" s="47" t="s">
        <v>106</v>
      </c>
      <c r="F79" s="218">
        <f t="shared" ref="F79:AA79" si="26">F39+F59+F69</f>
        <v>0</v>
      </c>
      <c r="G79" s="218">
        <f t="shared" ca="1" si="26"/>
        <v>19801.99480271024</v>
      </c>
      <c r="H79" s="218">
        <f t="shared" ca="1" si="26"/>
        <v>19801.99480271024</v>
      </c>
      <c r="I79" s="218">
        <f t="shared" ca="1" si="26"/>
        <v>18888.306936681111</v>
      </c>
      <c r="J79" s="218">
        <f t="shared" ca="1" si="26"/>
        <v>17832.946307474933</v>
      </c>
      <c r="K79" s="218">
        <f t="shared" ca="1" si="26"/>
        <v>16739.592695617332</v>
      </c>
      <c r="L79" s="218">
        <f t="shared" ca="1" si="26"/>
        <v>15606.878353732856</v>
      </c>
      <c r="M79" s="218">
        <f t="shared" ca="1" si="26"/>
        <v>14433.38629554054</v>
      </c>
      <c r="N79" s="218">
        <f t="shared" ca="1" si="26"/>
        <v>13217.648523253301</v>
      </c>
      <c r="O79" s="218">
        <f t="shared" ca="1" si="26"/>
        <v>11958.144191163721</v>
      </c>
      <c r="P79" s="218">
        <f t="shared" ca="1" si="26"/>
        <v>10653.297703118917</v>
      </c>
      <c r="Q79" s="218">
        <f t="shared" ca="1" si="26"/>
        <v>9301.4767415044989</v>
      </c>
      <c r="R79" s="218">
        <f t="shared" ca="1" si="26"/>
        <v>7900.9902252719621</v>
      </c>
      <c r="S79" s="218">
        <f t="shared" ca="1" si="26"/>
        <v>6450.0861944550543</v>
      </c>
      <c r="T79" s="218">
        <f t="shared" ca="1" si="26"/>
        <v>4946.9496185287371</v>
      </c>
      <c r="U79" s="218">
        <f t="shared" ca="1" si="26"/>
        <v>3389.7001258690725</v>
      </c>
      <c r="V79" s="218">
        <f t="shared" ca="1" si="26"/>
        <v>1776.38965147366</v>
      </c>
      <c r="W79" s="218">
        <f t="shared" ca="1" si="26"/>
        <v>105.00000000001273</v>
      </c>
      <c r="X79" s="218">
        <f t="shared" si="26"/>
        <v>105</v>
      </c>
      <c r="Y79" s="218">
        <f t="shared" si="26"/>
        <v>105</v>
      </c>
      <c r="Z79" s="218">
        <f t="shared" si="26"/>
        <v>105</v>
      </c>
      <c r="AA79" s="218">
        <f t="shared" si="26"/>
        <v>105</v>
      </c>
    </row>
    <row r="80" spans="2:27">
      <c r="B80" s="47" t="s">
        <v>342</v>
      </c>
      <c r="C80" s="105" t="s">
        <v>334</v>
      </c>
      <c r="D80" s="218">
        <f ca="1">SUM(F80:AA80)</f>
        <v>19906.99480271024</v>
      </c>
      <c r="E80" s="47" t="s">
        <v>106</v>
      </c>
      <c r="F80" s="218">
        <f t="shared" ref="F80:AA80" ca="1" si="27">F40+F60+F70</f>
        <v>19801.99480271024</v>
      </c>
      <c r="G80" s="218">
        <f t="shared" si="27"/>
        <v>0</v>
      </c>
      <c r="H80" s="218">
        <f t="shared" si="27"/>
        <v>105</v>
      </c>
      <c r="I80" s="218">
        <f t="shared" si="27"/>
        <v>0</v>
      </c>
      <c r="J80" s="218">
        <f t="shared" si="27"/>
        <v>0</v>
      </c>
      <c r="K80" s="218">
        <f t="shared" si="27"/>
        <v>0</v>
      </c>
      <c r="L80" s="218">
        <f t="shared" si="27"/>
        <v>0</v>
      </c>
      <c r="M80" s="218">
        <f t="shared" si="27"/>
        <v>0</v>
      </c>
      <c r="N80" s="218">
        <f t="shared" si="27"/>
        <v>0</v>
      </c>
      <c r="O80" s="218">
        <f t="shared" si="27"/>
        <v>0</v>
      </c>
      <c r="P80" s="218">
        <f t="shared" si="27"/>
        <v>0</v>
      </c>
      <c r="Q80" s="218">
        <f t="shared" si="27"/>
        <v>0</v>
      </c>
      <c r="R80" s="218">
        <f t="shared" si="27"/>
        <v>0</v>
      </c>
      <c r="S80" s="218">
        <f t="shared" si="27"/>
        <v>0</v>
      </c>
      <c r="T80" s="218">
        <f t="shared" si="27"/>
        <v>0</v>
      </c>
      <c r="U80" s="218">
        <f t="shared" si="27"/>
        <v>0</v>
      </c>
      <c r="V80" s="218">
        <f t="shared" si="27"/>
        <v>0</v>
      </c>
      <c r="W80" s="218">
        <f t="shared" si="27"/>
        <v>0</v>
      </c>
      <c r="X80" s="218">
        <f t="shared" si="27"/>
        <v>0</v>
      </c>
      <c r="Y80" s="218">
        <f t="shared" si="27"/>
        <v>0</v>
      </c>
      <c r="Z80" s="218">
        <f t="shared" si="27"/>
        <v>0</v>
      </c>
      <c r="AA80" s="218">
        <f t="shared" si="27"/>
        <v>0</v>
      </c>
    </row>
    <row r="81" spans="2:27">
      <c r="B81" s="47" t="s">
        <v>343</v>
      </c>
      <c r="C81" s="105" t="s">
        <v>335</v>
      </c>
      <c r="D81" s="218">
        <f ca="1">SUM(F81:AA81)</f>
        <v>26140.240183900485</v>
      </c>
      <c r="E81" s="47" t="s">
        <v>106</v>
      </c>
      <c r="F81" s="218"/>
      <c r="G81" s="218"/>
      <c r="H81" s="218">
        <f t="shared" ref="H81:AA81" ca="1" si="28">H41+H61+H71</f>
        <v>1731.559678926699</v>
      </c>
      <c r="I81" s="218">
        <f t="shared" ca="1" si="28"/>
        <v>1734.8146789266991</v>
      </c>
      <c r="J81" s="218">
        <f t="shared" ca="1" si="28"/>
        <v>1734.8146789266991</v>
      </c>
      <c r="K81" s="218">
        <f t="shared" ca="1" si="28"/>
        <v>1734.8146789266991</v>
      </c>
      <c r="L81" s="218">
        <f t="shared" ca="1" si="28"/>
        <v>1734.8146789266991</v>
      </c>
      <c r="M81" s="218">
        <f t="shared" ca="1" si="28"/>
        <v>1734.8146789266991</v>
      </c>
      <c r="N81" s="218">
        <f t="shared" ca="1" si="28"/>
        <v>1734.8146789266991</v>
      </c>
      <c r="O81" s="218">
        <f t="shared" ca="1" si="28"/>
        <v>1734.8146789266991</v>
      </c>
      <c r="P81" s="218">
        <f t="shared" ca="1" si="28"/>
        <v>1734.8146789266991</v>
      </c>
      <c r="Q81" s="218">
        <f t="shared" ca="1" si="28"/>
        <v>1734.8146789266991</v>
      </c>
      <c r="R81" s="218">
        <f t="shared" ca="1" si="28"/>
        <v>1734.8146789266991</v>
      </c>
      <c r="S81" s="218">
        <f t="shared" ca="1" si="28"/>
        <v>1734.8146789266991</v>
      </c>
      <c r="T81" s="218">
        <f t="shared" ca="1" si="28"/>
        <v>1734.8146789266991</v>
      </c>
      <c r="U81" s="218">
        <f t="shared" ca="1" si="28"/>
        <v>1734.8146789266991</v>
      </c>
      <c r="V81" s="218">
        <f t="shared" ca="1" si="28"/>
        <v>1734.8146789266991</v>
      </c>
      <c r="W81" s="218">
        <f t="shared" si="28"/>
        <v>3.2549999999999999</v>
      </c>
      <c r="X81" s="218">
        <f t="shared" si="28"/>
        <v>3.2549999999999999</v>
      </c>
      <c r="Y81" s="218">
        <f t="shared" si="28"/>
        <v>3.2549999999999999</v>
      </c>
      <c r="Z81" s="218">
        <f t="shared" si="28"/>
        <v>3.2549999999999999</v>
      </c>
      <c r="AA81" s="218">
        <f t="shared" si="28"/>
        <v>108.255</v>
      </c>
    </row>
    <row r="82" spans="2:27">
      <c r="B82" s="47"/>
      <c r="C82" s="52" t="s">
        <v>344</v>
      </c>
      <c r="D82" s="218">
        <f ca="1">SUM(F82:AA82)</f>
        <v>19906.994802710233</v>
      </c>
      <c r="E82" s="47" t="s">
        <v>106</v>
      </c>
      <c r="F82" s="218"/>
      <c r="G82" s="218"/>
      <c r="H82" s="218">
        <f t="shared" ref="H82:AA82" ca="1" si="29">H42+H62+H72</f>
        <v>1018.6878660291304</v>
      </c>
      <c r="I82" s="218">
        <f t="shared" ca="1" si="29"/>
        <v>1055.3606292061791</v>
      </c>
      <c r="J82" s="218">
        <f t="shared" ca="1" si="29"/>
        <v>1093.3536118576014</v>
      </c>
      <c r="K82" s="218">
        <f t="shared" ca="1" si="29"/>
        <v>1132.7143418844751</v>
      </c>
      <c r="L82" s="218">
        <f t="shared" ca="1" si="29"/>
        <v>1173.4920581923161</v>
      </c>
      <c r="M82" s="218">
        <f t="shared" ca="1" si="29"/>
        <v>1215.7377722872397</v>
      </c>
      <c r="N82" s="218">
        <f t="shared" ca="1" si="29"/>
        <v>1259.5043320895802</v>
      </c>
      <c r="O82" s="218">
        <f t="shared" ca="1" si="29"/>
        <v>1304.846488044805</v>
      </c>
      <c r="P82" s="218">
        <f t="shared" ca="1" si="29"/>
        <v>1351.8209616144181</v>
      </c>
      <c r="Q82" s="218">
        <f t="shared" ca="1" si="29"/>
        <v>1400.486516232537</v>
      </c>
      <c r="R82" s="218">
        <f t="shared" ca="1" si="29"/>
        <v>1450.9040308169083</v>
      </c>
      <c r="S82" s="218">
        <f t="shared" ca="1" si="29"/>
        <v>1503.1365759263172</v>
      </c>
      <c r="T82" s="218">
        <f t="shared" ca="1" si="29"/>
        <v>1557.2494926596646</v>
      </c>
      <c r="U82" s="218">
        <f t="shared" ca="1" si="29"/>
        <v>1613.3104743954125</v>
      </c>
      <c r="V82" s="218">
        <f t="shared" ca="1" si="29"/>
        <v>1671.3896514736473</v>
      </c>
      <c r="W82" s="218">
        <f t="shared" si="29"/>
        <v>0</v>
      </c>
      <c r="X82" s="218">
        <f t="shared" si="29"/>
        <v>0</v>
      </c>
      <c r="Y82" s="218">
        <f t="shared" si="29"/>
        <v>0</v>
      </c>
      <c r="Z82" s="218">
        <f t="shared" si="29"/>
        <v>0</v>
      </c>
      <c r="AA82" s="218">
        <f t="shared" si="29"/>
        <v>105</v>
      </c>
    </row>
    <row r="83" spans="2:27">
      <c r="B83" s="47"/>
      <c r="C83" s="160" t="s">
        <v>337</v>
      </c>
      <c r="D83" s="218">
        <f ca="1">SUM(F83:AA83)</f>
        <v>6236.5003811902534</v>
      </c>
      <c r="E83" s="47" t="s">
        <v>106</v>
      </c>
      <c r="F83" s="218"/>
      <c r="G83" s="218"/>
      <c r="H83" s="218">
        <f t="shared" ref="H83:AA83" ca="1" si="30">H43+H63+H73</f>
        <v>716.12681289756858</v>
      </c>
      <c r="I83" s="218">
        <f t="shared" ca="1" si="30"/>
        <v>679.45404972051995</v>
      </c>
      <c r="J83" s="218">
        <f t="shared" ca="1" si="30"/>
        <v>641.46106706909757</v>
      </c>
      <c r="K83" s="218">
        <f t="shared" ca="1" si="30"/>
        <v>602.10033704222394</v>
      </c>
      <c r="L83" s="218">
        <f t="shared" ca="1" si="30"/>
        <v>561.32262073438278</v>
      </c>
      <c r="M83" s="218">
        <f t="shared" ca="1" si="30"/>
        <v>519.07690663945937</v>
      </c>
      <c r="N83" s="218">
        <f t="shared" ca="1" si="30"/>
        <v>475.3103468371188</v>
      </c>
      <c r="O83" s="218">
        <f t="shared" ca="1" si="30"/>
        <v>429.96819088189392</v>
      </c>
      <c r="P83" s="218">
        <f t="shared" ca="1" si="30"/>
        <v>382.99371731228098</v>
      </c>
      <c r="Q83" s="218">
        <f t="shared" ca="1" si="30"/>
        <v>334.3281626941619</v>
      </c>
      <c r="R83" s="218">
        <f t="shared" ca="1" si="30"/>
        <v>283.9106481097906</v>
      </c>
      <c r="S83" s="218">
        <f t="shared" ca="1" si="30"/>
        <v>231.67810300038192</v>
      </c>
      <c r="T83" s="218">
        <f t="shared" ca="1" si="30"/>
        <v>177.56518626703451</v>
      </c>
      <c r="U83" s="218">
        <f t="shared" ca="1" si="30"/>
        <v>121.5042045312866</v>
      </c>
      <c r="V83" s="218">
        <f t="shared" ca="1" si="30"/>
        <v>63.425027453051761</v>
      </c>
      <c r="W83" s="218">
        <f t="shared" si="30"/>
        <v>3.2549999999999999</v>
      </c>
      <c r="X83" s="218">
        <f t="shared" si="30"/>
        <v>3.2549999999999999</v>
      </c>
      <c r="Y83" s="218">
        <f t="shared" si="30"/>
        <v>3.2549999999999999</v>
      </c>
      <c r="Z83" s="218">
        <f t="shared" si="30"/>
        <v>3.2549999999999999</v>
      </c>
      <c r="AA83" s="218">
        <f t="shared" si="30"/>
        <v>3.2549999999999999</v>
      </c>
    </row>
    <row r="84" spans="2:27">
      <c r="B84" s="47" t="s">
        <v>345</v>
      </c>
      <c r="C84" s="105" t="s">
        <v>338</v>
      </c>
      <c r="D84" s="223">
        <f>AA84</f>
        <v>0</v>
      </c>
      <c r="E84" s="47" t="s">
        <v>106</v>
      </c>
      <c r="F84" s="218">
        <f ca="1">F44+F64+F74</f>
        <v>19801.99480271024</v>
      </c>
      <c r="G84" s="218">
        <f ca="1">G44+G64+G74</f>
        <v>19801.99480271024</v>
      </c>
      <c r="H84" s="218">
        <f t="shared" ref="H84:AA84" ca="1" si="31">H44+H64+H74</f>
        <v>18888.306936681111</v>
      </c>
      <c r="I84" s="218">
        <f t="shared" ca="1" si="31"/>
        <v>17832.946307474933</v>
      </c>
      <c r="J84" s="218">
        <f t="shared" ca="1" si="31"/>
        <v>16739.592695617332</v>
      </c>
      <c r="K84" s="218">
        <f t="shared" ca="1" si="31"/>
        <v>15606.878353732856</v>
      </c>
      <c r="L84" s="218">
        <f t="shared" ca="1" si="31"/>
        <v>14433.38629554054</v>
      </c>
      <c r="M84" s="218">
        <f t="shared" ca="1" si="31"/>
        <v>13217.648523253301</v>
      </c>
      <c r="N84" s="218">
        <f t="shared" ca="1" si="31"/>
        <v>11958.144191163721</v>
      </c>
      <c r="O84" s="218">
        <f t="shared" ca="1" si="31"/>
        <v>10653.297703118917</v>
      </c>
      <c r="P84" s="218">
        <f t="shared" ca="1" si="31"/>
        <v>9301.4767415044989</v>
      </c>
      <c r="Q84" s="218">
        <f t="shared" ca="1" si="31"/>
        <v>7900.9902252719621</v>
      </c>
      <c r="R84" s="218">
        <f t="shared" ca="1" si="31"/>
        <v>6450.0861944550543</v>
      </c>
      <c r="S84" s="218">
        <f t="shared" ca="1" si="31"/>
        <v>4946.9496185287371</v>
      </c>
      <c r="T84" s="218">
        <f t="shared" ca="1" si="31"/>
        <v>3389.7001258690725</v>
      </c>
      <c r="U84" s="218">
        <f t="shared" ca="1" si="31"/>
        <v>1776.38965147366</v>
      </c>
      <c r="V84" s="218">
        <f t="shared" ca="1" si="31"/>
        <v>105.00000000001273</v>
      </c>
      <c r="W84" s="218">
        <f t="shared" si="31"/>
        <v>105</v>
      </c>
      <c r="X84" s="218">
        <f t="shared" si="31"/>
        <v>105</v>
      </c>
      <c r="Y84" s="218">
        <f t="shared" si="31"/>
        <v>105</v>
      </c>
      <c r="Z84" s="218">
        <f t="shared" si="31"/>
        <v>105</v>
      </c>
      <c r="AA84" s="218">
        <f t="shared" si="31"/>
        <v>0</v>
      </c>
    </row>
    <row r="86" spans="2:27">
      <c r="B86" s="323" t="s">
        <v>348</v>
      </c>
      <c r="C86" s="323"/>
      <c r="D86" s="323"/>
      <c r="E86" s="323"/>
      <c r="F86" s="323"/>
      <c r="G86" s="323"/>
      <c r="H86" s="323"/>
      <c r="I86" s="323"/>
      <c r="J86" s="323"/>
      <c r="K86" s="323"/>
      <c r="L86" s="323"/>
      <c r="M86" s="323"/>
      <c r="N86" s="323"/>
      <c r="O86" s="323"/>
      <c r="P86" s="323"/>
      <c r="Q86" s="323"/>
      <c r="R86" s="323"/>
      <c r="S86" s="323"/>
      <c r="T86" s="323"/>
      <c r="U86" s="323"/>
      <c r="V86" s="323"/>
      <c r="W86" s="323"/>
      <c r="X86" s="323"/>
      <c r="Y86" s="323"/>
      <c r="Z86" s="323"/>
      <c r="AA86" s="323"/>
    </row>
    <row r="87" spans="2:27">
      <c r="B87" s="326" t="s">
        <v>14</v>
      </c>
      <c r="C87" s="326" t="s">
        <v>320</v>
      </c>
      <c r="D87" s="326" t="s">
        <v>308</v>
      </c>
      <c r="E87" s="326" t="s">
        <v>39</v>
      </c>
      <c r="F87" s="324" t="s">
        <v>43</v>
      </c>
      <c r="G87" s="324"/>
      <c r="H87" s="325" t="s">
        <v>54</v>
      </c>
      <c r="I87" s="325"/>
      <c r="J87" s="325"/>
      <c r="K87" s="325"/>
      <c r="L87" s="325"/>
      <c r="M87" s="325"/>
      <c r="N87" s="325"/>
      <c r="O87" s="325"/>
      <c r="P87" s="325"/>
      <c r="Q87" s="325"/>
      <c r="R87" s="325"/>
      <c r="S87" s="325"/>
      <c r="T87" s="325"/>
      <c r="U87" s="325"/>
      <c r="V87" s="325"/>
      <c r="W87" s="325"/>
      <c r="X87" s="325"/>
      <c r="Y87" s="325"/>
      <c r="Z87" s="325"/>
      <c r="AA87" s="325"/>
    </row>
    <row r="88" spans="2:27">
      <c r="B88" s="326"/>
      <c r="C88" s="326"/>
      <c r="D88" s="326"/>
      <c r="E88" s="326"/>
      <c r="F88" s="42">
        <v>1</v>
      </c>
      <c r="G88" s="42">
        <v>2</v>
      </c>
      <c r="H88" s="43">
        <v>1</v>
      </c>
      <c r="I88" s="43">
        <v>2</v>
      </c>
      <c r="J88" s="43">
        <v>3</v>
      </c>
      <c r="K88" s="43">
        <v>4</v>
      </c>
      <c r="L88" s="43">
        <v>5</v>
      </c>
      <c r="M88" s="43">
        <v>6</v>
      </c>
      <c r="N88" s="43">
        <v>7</v>
      </c>
      <c r="O88" s="43">
        <v>8</v>
      </c>
      <c r="P88" s="43">
        <v>9</v>
      </c>
      <c r="Q88" s="43">
        <v>10</v>
      </c>
      <c r="R88" s="43">
        <v>11</v>
      </c>
      <c r="S88" s="43">
        <v>12</v>
      </c>
      <c r="T88" s="43">
        <v>13</v>
      </c>
      <c r="U88" s="43">
        <v>14</v>
      </c>
      <c r="V88" s="43">
        <v>15</v>
      </c>
      <c r="W88" s="43">
        <v>16</v>
      </c>
      <c r="X88" s="43">
        <v>17</v>
      </c>
      <c r="Y88" s="43">
        <v>18</v>
      </c>
      <c r="Z88" s="43">
        <v>19</v>
      </c>
      <c r="AA88" s="43">
        <v>20</v>
      </c>
    </row>
    <row r="89" spans="2:27">
      <c r="B89" s="47" t="s">
        <v>341</v>
      </c>
      <c r="C89" s="105" t="s">
        <v>333</v>
      </c>
      <c r="D89" s="218"/>
      <c r="E89" s="47" t="s">
        <v>106</v>
      </c>
      <c r="F89" s="218">
        <f t="shared" ref="F89:AA89" si="32">F49+F59+F69</f>
        <v>0</v>
      </c>
      <c r="G89" s="218">
        <f t="shared" ca="1" si="32"/>
        <v>19801.99480271024</v>
      </c>
      <c r="H89" s="218">
        <f t="shared" ca="1" si="32"/>
        <v>19801.99480271024</v>
      </c>
      <c r="I89" s="218">
        <f t="shared" ca="1" si="32"/>
        <v>18586.861815862892</v>
      </c>
      <c r="J89" s="218">
        <f t="shared" ca="1" si="32"/>
        <v>17266.728829015545</v>
      </c>
      <c r="K89" s="218">
        <f t="shared" ca="1" si="32"/>
        <v>15946.595842168195</v>
      </c>
      <c r="L89" s="218">
        <f t="shared" ca="1" si="32"/>
        <v>14626.462855320846</v>
      </c>
      <c r="M89" s="218">
        <f t="shared" ca="1" si="32"/>
        <v>13306.329868473496</v>
      </c>
      <c r="N89" s="218">
        <f t="shared" ca="1" si="32"/>
        <v>11986.196881626147</v>
      </c>
      <c r="O89" s="218">
        <f t="shared" ca="1" si="32"/>
        <v>10666.063894778797</v>
      </c>
      <c r="P89" s="218">
        <f t="shared" ca="1" si="32"/>
        <v>9345.930907931448</v>
      </c>
      <c r="Q89" s="218">
        <f t="shared" ca="1" si="32"/>
        <v>8025.7979210840986</v>
      </c>
      <c r="R89" s="218">
        <f t="shared" ca="1" si="32"/>
        <v>6705.6649342367491</v>
      </c>
      <c r="S89" s="218">
        <f t="shared" ca="1" si="32"/>
        <v>5385.5319473893996</v>
      </c>
      <c r="T89" s="218">
        <f t="shared" ca="1" si="32"/>
        <v>4065.3989605420502</v>
      </c>
      <c r="U89" s="218">
        <f t="shared" ca="1" si="32"/>
        <v>2745.2659736947007</v>
      </c>
      <c r="V89" s="218">
        <f t="shared" ca="1" si="32"/>
        <v>1425.1329868473515</v>
      </c>
      <c r="W89" s="218">
        <f t="shared" si="32"/>
        <v>105</v>
      </c>
      <c r="X89" s="218">
        <f t="shared" si="32"/>
        <v>105</v>
      </c>
      <c r="Y89" s="218">
        <f t="shared" si="32"/>
        <v>105</v>
      </c>
      <c r="Z89" s="218">
        <f t="shared" si="32"/>
        <v>105</v>
      </c>
      <c r="AA89" s="218">
        <f t="shared" si="32"/>
        <v>105</v>
      </c>
    </row>
    <row r="90" spans="2:27">
      <c r="B90" s="47" t="s">
        <v>342</v>
      </c>
      <c r="C90" s="105" t="s">
        <v>334</v>
      </c>
      <c r="D90" s="218">
        <f ca="1">SUM(F90:AA90)</f>
        <v>19906.99480271024</v>
      </c>
      <c r="E90" s="47" t="s">
        <v>106</v>
      </c>
      <c r="F90" s="218">
        <f t="shared" ref="F90:AA90" ca="1" si="33">F50+F60+F70</f>
        <v>19801.99480271024</v>
      </c>
      <c r="G90" s="218">
        <f t="shared" si="33"/>
        <v>0</v>
      </c>
      <c r="H90" s="218">
        <f t="shared" si="33"/>
        <v>105</v>
      </c>
      <c r="I90" s="218">
        <f t="shared" si="33"/>
        <v>0</v>
      </c>
      <c r="J90" s="218">
        <f t="shared" si="33"/>
        <v>0</v>
      </c>
      <c r="K90" s="218">
        <f t="shared" si="33"/>
        <v>0</v>
      </c>
      <c r="L90" s="218">
        <f t="shared" si="33"/>
        <v>0</v>
      </c>
      <c r="M90" s="218">
        <f t="shared" si="33"/>
        <v>0</v>
      </c>
      <c r="N90" s="218">
        <f t="shared" si="33"/>
        <v>0</v>
      </c>
      <c r="O90" s="218">
        <f t="shared" si="33"/>
        <v>0</v>
      </c>
      <c r="P90" s="218">
        <f t="shared" si="33"/>
        <v>0</v>
      </c>
      <c r="Q90" s="218">
        <f t="shared" si="33"/>
        <v>0</v>
      </c>
      <c r="R90" s="218">
        <f t="shared" si="33"/>
        <v>0</v>
      </c>
      <c r="S90" s="218">
        <f t="shared" si="33"/>
        <v>0</v>
      </c>
      <c r="T90" s="218">
        <f t="shared" si="33"/>
        <v>0</v>
      </c>
      <c r="U90" s="218">
        <f t="shared" si="33"/>
        <v>0</v>
      </c>
      <c r="V90" s="218">
        <f t="shared" si="33"/>
        <v>0</v>
      </c>
      <c r="W90" s="218">
        <f t="shared" si="33"/>
        <v>0</v>
      </c>
      <c r="X90" s="218">
        <f t="shared" si="33"/>
        <v>0</v>
      </c>
      <c r="Y90" s="218">
        <f t="shared" si="33"/>
        <v>0</v>
      </c>
      <c r="Z90" s="218">
        <f t="shared" si="33"/>
        <v>0</v>
      </c>
      <c r="AA90" s="218">
        <f t="shared" si="33"/>
        <v>0</v>
      </c>
    </row>
    <row r="91" spans="2:27">
      <c r="B91" s="47" t="s">
        <v>343</v>
      </c>
      <c r="C91" s="105" t="s">
        <v>335</v>
      </c>
      <c r="D91" s="218">
        <f ca="1">SUM(F91:AA91)</f>
        <v>25671.814305890799</v>
      </c>
      <c r="E91" s="47" t="s">
        <v>106</v>
      </c>
      <c r="F91" s="218"/>
      <c r="G91" s="218"/>
      <c r="H91" s="218">
        <f t="shared" ref="H91:AA91" ca="1" si="34">H51+H61+H71</f>
        <v>2033.0047997449178</v>
      </c>
      <c r="I91" s="218">
        <f t="shared" ca="1" si="34"/>
        <v>1988.7350122184134</v>
      </c>
      <c r="J91" s="218">
        <f t="shared" ca="1" si="34"/>
        <v>1941.2102246919089</v>
      </c>
      <c r="K91" s="218">
        <f t="shared" ca="1" si="34"/>
        <v>1893.6854371654044</v>
      </c>
      <c r="L91" s="218">
        <f t="shared" ca="1" si="34"/>
        <v>1846.1606496388997</v>
      </c>
      <c r="M91" s="218">
        <f t="shared" ca="1" si="34"/>
        <v>1798.6358621123952</v>
      </c>
      <c r="N91" s="218">
        <f t="shared" ca="1" si="34"/>
        <v>1751.1110745858905</v>
      </c>
      <c r="O91" s="218">
        <f t="shared" ca="1" si="34"/>
        <v>1703.586287059386</v>
      </c>
      <c r="P91" s="218">
        <f t="shared" ca="1" si="34"/>
        <v>1656.0614995328815</v>
      </c>
      <c r="Q91" s="218">
        <f t="shared" ca="1" si="34"/>
        <v>1608.536712006377</v>
      </c>
      <c r="R91" s="218">
        <f t="shared" ca="1" si="34"/>
        <v>1561.0119244798723</v>
      </c>
      <c r="S91" s="218">
        <f t="shared" ca="1" si="34"/>
        <v>1513.4871369533678</v>
      </c>
      <c r="T91" s="218">
        <f t="shared" ca="1" si="34"/>
        <v>1465.9623494268631</v>
      </c>
      <c r="U91" s="218">
        <f t="shared" ca="1" si="34"/>
        <v>1418.4375619003586</v>
      </c>
      <c r="V91" s="218">
        <f t="shared" ca="1" si="34"/>
        <v>1370.9127743738541</v>
      </c>
      <c r="W91" s="218">
        <f t="shared" si="34"/>
        <v>3.2549999999999999</v>
      </c>
      <c r="X91" s="218">
        <f t="shared" si="34"/>
        <v>3.2549999999999999</v>
      </c>
      <c r="Y91" s="218">
        <f t="shared" si="34"/>
        <v>3.2549999999999999</v>
      </c>
      <c r="Z91" s="218">
        <f t="shared" si="34"/>
        <v>3.2549999999999999</v>
      </c>
      <c r="AA91" s="218">
        <f t="shared" si="34"/>
        <v>108.255</v>
      </c>
    </row>
    <row r="92" spans="2:27">
      <c r="B92" s="47"/>
      <c r="C92" s="52" t="s">
        <v>344</v>
      </c>
      <c r="D92" s="218">
        <f ca="1">SUM(F92:AA92)</f>
        <v>19906.994802710236</v>
      </c>
      <c r="E92" s="47" t="s">
        <v>106</v>
      </c>
      <c r="F92" s="218"/>
      <c r="G92" s="218"/>
      <c r="H92" s="218">
        <f t="shared" ref="H92:AA92" ca="1" si="35">H52+H62+H72</f>
        <v>1320.1329868473492</v>
      </c>
      <c r="I92" s="218">
        <f t="shared" ca="1" si="35"/>
        <v>1320.1329868473492</v>
      </c>
      <c r="J92" s="218">
        <f t="shared" ca="1" si="35"/>
        <v>1320.1329868473492</v>
      </c>
      <c r="K92" s="218">
        <f t="shared" ca="1" si="35"/>
        <v>1320.1329868473492</v>
      </c>
      <c r="L92" s="218">
        <f t="shared" ca="1" si="35"/>
        <v>1320.1329868473492</v>
      </c>
      <c r="M92" s="218">
        <f t="shared" ca="1" si="35"/>
        <v>1320.1329868473492</v>
      </c>
      <c r="N92" s="218">
        <f t="shared" ca="1" si="35"/>
        <v>1320.1329868473492</v>
      </c>
      <c r="O92" s="218">
        <f t="shared" ca="1" si="35"/>
        <v>1320.1329868473492</v>
      </c>
      <c r="P92" s="218">
        <f t="shared" ca="1" si="35"/>
        <v>1320.1329868473492</v>
      </c>
      <c r="Q92" s="218">
        <f t="shared" ca="1" si="35"/>
        <v>1320.1329868473492</v>
      </c>
      <c r="R92" s="218">
        <f t="shared" ca="1" si="35"/>
        <v>1320.1329868473492</v>
      </c>
      <c r="S92" s="218">
        <f t="shared" ca="1" si="35"/>
        <v>1320.1329868473492</v>
      </c>
      <c r="T92" s="218">
        <f t="shared" ca="1" si="35"/>
        <v>1320.1329868473492</v>
      </c>
      <c r="U92" s="218">
        <f t="shared" ca="1" si="35"/>
        <v>1320.1329868473492</v>
      </c>
      <c r="V92" s="218">
        <f t="shared" ca="1" si="35"/>
        <v>1320.1329868473492</v>
      </c>
      <c r="W92" s="218">
        <f t="shared" si="35"/>
        <v>0</v>
      </c>
      <c r="X92" s="218">
        <f t="shared" si="35"/>
        <v>0</v>
      </c>
      <c r="Y92" s="218">
        <f t="shared" si="35"/>
        <v>0</v>
      </c>
      <c r="Z92" s="218">
        <f t="shared" si="35"/>
        <v>0</v>
      </c>
      <c r="AA92" s="218">
        <f t="shared" si="35"/>
        <v>105</v>
      </c>
    </row>
    <row r="93" spans="2:27">
      <c r="B93" s="47"/>
      <c r="C93" s="160" t="s">
        <v>337</v>
      </c>
      <c r="D93" s="218">
        <f ca="1">SUM(F93:AA93)</f>
        <v>5768.0745031805509</v>
      </c>
      <c r="E93" s="47" t="s">
        <v>106</v>
      </c>
      <c r="F93" s="218"/>
      <c r="G93" s="218"/>
      <c r="H93" s="218">
        <f t="shared" ref="H93:AA93" ca="1" si="36">H53+H63+H73</f>
        <v>716.12681289756858</v>
      </c>
      <c r="I93" s="218">
        <f t="shared" ca="1" si="36"/>
        <v>668.60202537106409</v>
      </c>
      <c r="J93" s="218">
        <f t="shared" ca="1" si="36"/>
        <v>621.07723784455959</v>
      </c>
      <c r="K93" s="218">
        <f t="shared" ca="1" si="36"/>
        <v>573.55245031805498</v>
      </c>
      <c r="L93" s="218">
        <f t="shared" ca="1" si="36"/>
        <v>526.02766279155037</v>
      </c>
      <c r="M93" s="218">
        <f t="shared" ca="1" si="36"/>
        <v>478.50287526504582</v>
      </c>
      <c r="N93" s="218">
        <f t="shared" ca="1" si="36"/>
        <v>430.97808773854126</v>
      </c>
      <c r="O93" s="218">
        <f t="shared" ca="1" si="36"/>
        <v>383.45330021203665</v>
      </c>
      <c r="P93" s="218">
        <f t="shared" ca="1" si="36"/>
        <v>335.9285126855321</v>
      </c>
      <c r="Q93" s="218">
        <f t="shared" ca="1" si="36"/>
        <v>288.40372515902754</v>
      </c>
      <c r="R93" s="218">
        <f t="shared" ca="1" si="36"/>
        <v>240.87893763252293</v>
      </c>
      <c r="S93" s="218">
        <f t="shared" ca="1" si="36"/>
        <v>193.35415010601838</v>
      </c>
      <c r="T93" s="218">
        <f t="shared" ca="1" si="36"/>
        <v>145.8293625795138</v>
      </c>
      <c r="U93" s="218">
        <f t="shared" ca="1" si="36"/>
        <v>98.304575053009216</v>
      </c>
      <c r="V93" s="218">
        <f t="shared" ca="1" si="36"/>
        <v>50.779787526504656</v>
      </c>
      <c r="W93" s="218">
        <f t="shared" si="36"/>
        <v>3.2549999999999999</v>
      </c>
      <c r="X93" s="218">
        <f t="shared" si="36"/>
        <v>3.2549999999999999</v>
      </c>
      <c r="Y93" s="218">
        <f t="shared" si="36"/>
        <v>3.2549999999999999</v>
      </c>
      <c r="Z93" s="218">
        <f t="shared" si="36"/>
        <v>3.2549999999999999</v>
      </c>
      <c r="AA93" s="218">
        <f t="shared" si="36"/>
        <v>3.2549999999999999</v>
      </c>
    </row>
    <row r="94" spans="2:27">
      <c r="B94" s="47" t="s">
        <v>345</v>
      </c>
      <c r="C94" s="105" t="s">
        <v>338</v>
      </c>
      <c r="D94" s="223">
        <f>AA94</f>
        <v>0</v>
      </c>
      <c r="E94" s="47" t="s">
        <v>106</v>
      </c>
      <c r="F94" s="218">
        <f ca="1">F54+F64+F74</f>
        <v>19801.99480271024</v>
      </c>
      <c r="G94" s="218">
        <f ca="1">G54+G64+G74</f>
        <v>19801.99480271024</v>
      </c>
      <c r="H94" s="218">
        <f t="shared" ref="H94:AA94" ca="1" si="37">H54+H64+H74</f>
        <v>18586.861815862892</v>
      </c>
      <c r="I94" s="218">
        <f t="shared" ca="1" si="37"/>
        <v>17266.728829015545</v>
      </c>
      <c r="J94" s="218">
        <f t="shared" ca="1" si="37"/>
        <v>15946.595842168195</v>
      </c>
      <c r="K94" s="218">
        <f t="shared" ca="1" si="37"/>
        <v>14626.462855320846</v>
      </c>
      <c r="L94" s="218">
        <f t="shared" ca="1" si="37"/>
        <v>13306.329868473496</v>
      </c>
      <c r="M94" s="218">
        <f t="shared" ca="1" si="37"/>
        <v>11986.196881626147</v>
      </c>
      <c r="N94" s="218">
        <f t="shared" ca="1" si="37"/>
        <v>10666.063894778797</v>
      </c>
      <c r="O94" s="218">
        <f t="shared" ca="1" si="37"/>
        <v>9345.930907931448</v>
      </c>
      <c r="P94" s="218">
        <f t="shared" ca="1" si="37"/>
        <v>8025.7979210840986</v>
      </c>
      <c r="Q94" s="218">
        <f t="shared" ca="1" si="37"/>
        <v>6705.6649342367491</v>
      </c>
      <c r="R94" s="218">
        <f t="shared" ca="1" si="37"/>
        <v>5385.5319473893996</v>
      </c>
      <c r="S94" s="218">
        <f t="shared" ca="1" si="37"/>
        <v>4065.3989605420502</v>
      </c>
      <c r="T94" s="218">
        <f t="shared" ca="1" si="37"/>
        <v>2745.2659736947007</v>
      </c>
      <c r="U94" s="218">
        <f t="shared" ca="1" si="37"/>
        <v>1425.1329868473515</v>
      </c>
      <c r="V94" s="218">
        <f t="shared" ca="1" si="37"/>
        <v>105.00000000000227</v>
      </c>
      <c r="W94" s="218">
        <f t="shared" si="37"/>
        <v>105</v>
      </c>
      <c r="X94" s="218">
        <f t="shared" si="37"/>
        <v>105</v>
      </c>
      <c r="Y94" s="218">
        <f t="shared" si="37"/>
        <v>105</v>
      </c>
      <c r="Z94" s="218">
        <f t="shared" si="37"/>
        <v>105</v>
      </c>
      <c r="AA94" s="218">
        <f t="shared" si="37"/>
        <v>0</v>
      </c>
    </row>
    <row r="97" spans="3:3">
      <c r="C97" s="99" t="s">
        <v>349</v>
      </c>
    </row>
    <row r="98" spans="3:3">
      <c r="C98" s="107" t="s">
        <v>350</v>
      </c>
    </row>
    <row r="99" spans="3:3">
      <c r="C99" s="107" t="s">
        <v>351</v>
      </c>
    </row>
    <row r="100" spans="3:3">
      <c r="C100" s="107" t="s">
        <v>352</v>
      </c>
    </row>
    <row r="101" spans="3:3">
      <c r="C101" s="107" t="s">
        <v>353</v>
      </c>
    </row>
    <row r="103" spans="3:3">
      <c r="C103" s="107" t="s">
        <v>354</v>
      </c>
    </row>
  </sheetData>
  <mergeCells count="52">
    <mergeCell ref="F3:G3"/>
    <mergeCell ref="H3:AA3"/>
    <mergeCell ref="F21:G21"/>
    <mergeCell ref="H21:AA21"/>
    <mergeCell ref="B36:AA36"/>
    <mergeCell ref="B3:B5"/>
    <mergeCell ref="B21:B22"/>
    <mergeCell ref="C21:C22"/>
    <mergeCell ref="D21:D22"/>
    <mergeCell ref="E3:E5"/>
    <mergeCell ref="E21:E22"/>
    <mergeCell ref="F37:G37"/>
    <mergeCell ref="H37:AA37"/>
    <mergeCell ref="B46:AA46"/>
    <mergeCell ref="F47:G47"/>
    <mergeCell ref="H47:AA47"/>
    <mergeCell ref="B37:B38"/>
    <mergeCell ref="B47:B48"/>
    <mergeCell ref="C37:C38"/>
    <mergeCell ref="C47:C48"/>
    <mergeCell ref="D37:D38"/>
    <mergeCell ref="D47:D48"/>
    <mergeCell ref="E37:E38"/>
    <mergeCell ref="E47:E48"/>
    <mergeCell ref="B56:AA56"/>
    <mergeCell ref="F57:G57"/>
    <mergeCell ref="H57:AA57"/>
    <mergeCell ref="B66:AA66"/>
    <mergeCell ref="F67:G67"/>
    <mergeCell ref="H67:AA67"/>
    <mergeCell ref="B57:B58"/>
    <mergeCell ref="B67:B68"/>
    <mergeCell ref="C57:C58"/>
    <mergeCell ref="C67:C68"/>
    <mergeCell ref="D57:D58"/>
    <mergeCell ref="D67:D68"/>
    <mergeCell ref="E57:E58"/>
    <mergeCell ref="E67:E68"/>
    <mergeCell ref="B76:AA76"/>
    <mergeCell ref="F77:G77"/>
    <mergeCell ref="H77:AA77"/>
    <mergeCell ref="B86:AA86"/>
    <mergeCell ref="F87:G87"/>
    <mergeCell ref="H87:AA87"/>
    <mergeCell ref="B77:B78"/>
    <mergeCell ref="B87:B88"/>
    <mergeCell ref="C77:C78"/>
    <mergeCell ref="C87:C88"/>
    <mergeCell ref="D77:D78"/>
    <mergeCell ref="D87:D88"/>
    <mergeCell ref="E77:E78"/>
    <mergeCell ref="E87:E88"/>
  </mergeCells>
  <phoneticPr fontId="60" type="noConversion"/>
  <conditionalFormatting sqref="B3:E4">
    <cfRule type="cellIs" dxfId="3" priority="3" operator="equal">
      <formula>0</formula>
    </cfRule>
  </conditionalFormatting>
  <conditionalFormatting sqref="C5:D5 F5:M5 B6:C9 I6:M19 B10:D10 B11:C19 B23:C34">
    <cfRule type="cellIs" dxfId="2" priority="5" operator="equal">
      <formula>0</formula>
    </cfRule>
  </conditionalFormatting>
  <conditionalFormatting sqref="E6:E19 E23:E34">
    <cfRule type="cellIs" dxfId="1" priority="2"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66"/>
  <sheetViews>
    <sheetView showGridLines="0" topLeftCell="A13" zoomScale="60" zoomScaleNormal="60" workbookViewId="0">
      <selection activeCell="M32" sqref="M32"/>
    </sheetView>
  </sheetViews>
  <sheetFormatPr defaultColWidth="8.81640625" defaultRowHeight="16.5"/>
  <cols>
    <col min="1" max="1" width="2.36328125" style="59" customWidth="1"/>
    <col min="2" max="2" width="6.08984375" style="59" customWidth="1"/>
    <col min="3" max="3" width="34.81640625" style="59" customWidth="1"/>
    <col min="4" max="4" width="13.1796875" style="59" customWidth="1"/>
    <col min="5" max="5" width="7.453125" style="176" customWidth="1"/>
    <col min="6" max="6" width="12.54296875" style="59" customWidth="1"/>
    <col min="7" max="10" width="12.6328125" style="59" customWidth="1"/>
    <col min="11" max="23" width="11.1796875" style="59" customWidth="1"/>
    <col min="24" max="26" width="10.81640625" style="59" customWidth="1"/>
    <col min="27" max="27" width="9.6328125" style="59" customWidth="1"/>
    <col min="28" max="16384" width="8.81640625" style="59"/>
  </cols>
  <sheetData>
    <row r="1" spans="3:6">
      <c r="C1" s="60" t="s">
        <v>355</v>
      </c>
    </row>
    <row r="2" spans="3:6">
      <c r="C2" s="177" t="s">
        <v>356</v>
      </c>
      <c r="D2" s="178">
        <f ca="1">参数输入表!H80</f>
        <v>24752.493503387803</v>
      </c>
      <c r="E2" s="179"/>
      <c r="F2" s="107"/>
    </row>
    <row r="3" spans="3:6">
      <c r="C3" s="180" t="s">
        <v>30</v>
      </c>
      <c r="D3" s="181">
        <f>参数输入表!H83</f>
        <v>2317.7152865880998</v>
      </c>
      <c r="E3" s="179"/>
    </row>
    <row r="4" spans="3:6">
      <c r="C4" s="180" t="s">
        <v>205</v>
      </c>
      <c r="D4" s="182">
        <f ca="1">D2-D15-D3</f>
        <v>22434.778216799703</v>
      </c>
      <c r="E4" s="179"/>
      <c r="F4" s="107" t="s">
        <v>357</v>
      </c>
    </row>
    <row r="5" spans="3:6">
      <c r="C5" s="180" t="s">
        <v>358</v>
      </c>
      <c r="D5" s="181" t="s">
        <v>228</v>
      </c>
      <c r="E5" s="179"/>
    </row>
    <row r="6" spans="3:6">
      <c r="C6" s="180" t="s">
        <v>359</v>
      </c>
      <c r="D6" s="183">
        <f>参数输入表!H151</f>
        <v>15</v>
      </c>
      <c r="E6" s="179"/>
    </row>
    <row r="7" spans="3:6">
      <c r="C7" s="184" t="s">
        <v>360</v>
      </c>
      <c r="D7" s="185">
        <f>参数输入表!H152</f>
        <v>0.05</v>
      </c>
      <c r="E7" s="186"/>
    </row>
    <row r="8" spans="3:6">
      <c r="C8" s="177" t="s">
        <v>361</v>
      </c>
      <c r="D8" s="187">
        <f>参数输入表!H160/(1+参数输入表!H182)</f>
        <v>0</v>
      </c>
      <c r="E8" s="186"/>
      <c r="F8" s="59" t="s">
        <v>362</v>
      </c>
    </row>
    <row r="9" spans="3:6">
      <c r="C9" s="188" t="s">
        <v>363</v>
      </c>
      <c r="D9" s="189">
        <f>参数输入表!H165/(1+参数输入表!H182)</f>
        <v>0</v>
      </c>
      <c r="E9" s="186"/>
    </row>
    <row r="10" spans="3:6">
      <c r="C10" s="188" t="s">
        <v>364</v>
      </c>
      <c r="D10" s="189">
        <f>参数输入表!H170/(1+参数输入表!H182)</f>
        <v>0</v>
      </c>
      <c r="E10" s="186"/>
    </row>
    <row r="11" spans="3:6">
      <c r="C11" s="188" t="s">
        <v>365</v>
      </c>
      <c r="D11" s="189">
        <f>参数输入表!H175/(1+参数输入表!H182)</f>
        <v>0</v>
      </c>
      <c r="E11" s="186"/>
    </row>
    <row r="12" spans="3:6" hidden="1">
      <c r="C12" s="188"/>
      <c r="D12" s="189"/>
      <c r="E12" s="186"/>
    </row>
    <row r="13" spans="3:6">
      <c r="C13" s="180" t="s">
        <v>366</v>
      </c>
      <c r="D13" s="190" t="s">
        <v>228</v>
      </c>
      <c r="E13" s="186"/>
    </row>
    <row r="14" spans="3:6">
      <c r="C14" s="184" t="s">
        <v>229</v>
      </c>
      <c r="D14" s="183">
        <f>参数输入表!H181</f>
        <v>5</v>
      </c>
      <c r="E14" s="186"/>
    </row>
    <row r="15" spans="3:6">
      <c r="C15" s="177" t="s">
        <v>217</v>
      </c>
      <c r="D15" s="178">
        <f>参数输入表!H154</f>
        <v>0</v>
      </c>
    </row>
    <row r="16" spans="3:6">
      <c r="C16" s="180" t="s">
        <v>366</v>
      </c>
      <c r="D16" s="181" t="s">
        <v>228</v>
      </c>
      <c r="E16" s="179"/>
    </row>
    <row r="17" spans="2:27">
      <c r="C17" s="180" t="s">
        <v>229</v>
      </c>
      <c r="D17" s="183">
        <f>参数输入表!H156</f>
        <v>10</v>
      </c>
      <c r="E17" s="179"/>
      <c r="F17" s="324" t="s">
        <v>43</v>
      </c>
      <c r="G17" s="324"/>
      <c r="H17" s="325" t="s">
        <v>54</v>
      </c>
      <c r="I17" s="325"/>
      <c r="J17" s="325"/>
      <c r="K17" s="325"/>
      <c r="L17" s="325"/>
      <c r="M17" s="325"/>
      <c r="N17" s="325"/>
      <c r="O17" s="325"/>
      <c r="P17" s="325"/>
      <c r="Q17" s="325"/>
      <c r="R17" s="325"/>
      <c r="S17" s="325"/>
      <c r="T17" s="325"/>
      <c r="U17" s="325"/>
      <c r="V17" s="325"/>
      <c r="W17" s="325"/>
      <c r="X17" s="325"/>
      <c r="Y17" s="325"/>
      <c r="Z17" s="325"/>
      <c r="AA17" s="325"/>
    </row>
    <row r="18" spans="2:27">
      <c r="C18" s="191" t="s">
        <v>360</v>
      </c>
      <c r="D18" s="192">
        <f>参数输入表!H157</f>
        <v>0</v>
      </c>
      <c r="E18" s="186"/>
      <c r="F18" s="42">
        <v>1</v>
      </c>
      <c r="G18" s="42">
        <v>2</v>
      </c>
      <c r="H18" s="43">
        <v>1</v>
      </c>
      <c r="I18" s="43">
        <v>2</v>
      </c>
      <c r="J18" s="43">
        <v>3</v>
      </c>
      <c r="K18" s="43">
        <v>4</v>
      </c>
      <c r="L18" s="43">
        <v>5</v>
      </c>
      <c r="M18" s="43">
        <v>6</v>
      </c>
      <c r="N18" s="43">
        <v>7</v>
      </c>
      <c r="O18" s="43">
        <v>8</v>
      </c>
      <c r="P18" s="43">
        <v>9</v>
      </c>
      <c r="Q18" s="43">
        <v>10</v>
      </c>
      <c r="R18" s="43">
        <v>11</v>
      </c>
      <c r="S18" s="43">
        <v>12</v>
      </c>
      <c r="T18" s="43">
        <v>13</v>
      </c>
      <c r="U18" s="43">
        <v>14</v>
      </c>
      <c r="V18" s="43">
        <v>15</v>
      </c>
      <c r="W18" s="43">
        <v>16</v>
      </c>
      <c r="X18" s="43">
        <v>17</v>
      </c>
      <c r="Y18" s="43">
        <v>18</v>
      </c>
      <c r="Z18" s="43">
        <v>19</v>
      </c>
      <c r="AA18" s="43">
        <v>20</v>
      </c>
    </row>
    <row r="19" spans="2:27">
      <c r="C19" s="177" t="s">
        <v>367</v>
      </c>
      <c r="D19" s="193"/>
      <c r="E19" s="194"/>
      <c r="F19" s="72"/>
      <c r="G19" s="72"/>
      <c r="H19" s="72"/>
      <c r="I19" s="72"/>
      <c r="J19" s="72"/>
      <c r="K19" s="72"/>
      <c r="L19" s="72"/>
      <c r="M19" s="72"/>
      <c r="N19" s="72"/>
      <c r="O19" s="72"/>
      <c r="P19" s="72"/>
      <c r="Q19" s="72"/>
      <c r="R19" s="72"/>
      <c r="S19" s="72"/>
      <c r="T19" s="72"/>
      <c r="U19" s="72"/>
      <c r="V19" s="72"/>
      <c r="W19" s="72"/>
      <c r="X19" s="72"/>
      <c r="Y19" s="72"/>
      <c r="Z19" s="72"/>
      <c r="AA19" s="72"/>
    </row>
    <row r="20" spans="2:27">
      <c r="C20" s="180" t="s">
        <v>366</v>
      </c>
      <c r="D20" s="195" t="s">
        <v>228</v>
      </c>
      <c r="E20" s="194"/>
      <c r="F20" s="72"/>
      <c r="G20" s="72"/>
      <c r="H20" s="72">
        <f>参数输入表!H185</f>
        <v>0</v>
      </c>
      <c r="I20" s="72">
        <f>参数输入表!H186</f>
        <v>0</v>
      </c>
      <c r="J20" s="72">
        <f>参数输入表!H187</f>
        <v>0</v>
      </c>
      <c r="K20" s="72">
        <f>参数输入表!H188</f>
        <v>0</v>
      </c>
      <c r="L20" s="72">
        <f>参数输入表!H189</f>
        <v>0</v>
      </c>
      <c r="M20" s="72">
        <f>参数输入表!H190</f>
        <v>0</v>
      </c>
      <c r="N20" s="72">
        <f>参数输入表!H191</f>
        <v>0</v>
      </c>
      <c r="O20" s="72">
        <f>参数输入表!H192</f>
        <v>0</v>
      </c>
      <c r="P20" s="72">
        <f>参数输入表!H193</f>
        <v>0</v>
      </c>
      <c r="Q20" s="72">
        <f>参数输入表!H194</f>
        <v>0</v>
      </c>
      <c r="R20" s="196">
        <f>参数输入表!H195</f>
        <v>480</v>
      </c>
      <c r="S20" s="72">
        <f>参数输入表!H196</f>
        <v>0</v>
      </c>
      <c r="T20" s="72">
        <f>参数输入表!H197</f>
        <v>0</v>
      </c>
      <c r="U20" s="72">
        <f>参数输入表!H198</f>
        <v>0</v>
      </c>
      <c r="V20" s="72">
        <f>参数输入表!H199</f>
        <v>0</v>
      </c>
      <c r="W20" s="72">
        <f>参数输入表!H200</f>
        <v>0</v>
      </c>
      <c r="X20" s="72">
        <f>参数输入表!H201</f>
        <v>0</v>
      </c>
      <c r="Y20" s="72">
        <f>参数输入表!H202</f>
        <v>0</v>
      </c>
      <c r="Z20" s="72">
        <f>参数输入表!H203</f>
        <v>0</v>
      </c>
      <c r="AA20" s="72">
        <f>参数输入表!H204</f>
        <v>0</v>
      </c>
    </row>
    <row r="21" spans="2:27">
      <c r="C21" s="191" t="s">
        <v>229</v>
      </c>
      <c r="D21" s="197">
        <f>参数输入表!H206</f>
        <v>10</v>
      </c>
      <c r="E21" s="194"/>
      <c r="F21" s="72"/>
      <c r="G21" s="72"/>
      <c r="H21" s="72"/>
      <c r="I21" s="72"/>
      <c r="J21" s="72"/>
      <c r="K21" s="72"/>
      <c r="L21" s="72"/>
      <c r="M21" s="72"/>
      <c r="N21" s="72"/>
      <c r="O21" s="72"/>
      <c r="P21" s="72"/>
      <c r="Q21" s="72"/>
      <c r="R21" s="72"/>
      <c r="S21" s="72"/>
      <c r="T21" s="72"/>
      <c r="U21" s="72"/>
      <c r="V21" s="72"/>
      <c r="W21" s="72"/>
      <c r="X21" s="72"/>
      <c r="Y21" s="72"/>
      <c r="Z21" s="72"/>
      <c r="AA21" s="72"/>
    </row>
    <row r="22" spans="2:27">
      <c r="C22" s="184" t="s">
        <v>360</v>
      </c>
      <c r="D22" s="198">
        <f>参数输入表!H207</f>
        <v>0.05</v>
      </c>
      <c r="E22" s="194"/>
      <c r="F22" s="72"/>
      <c r="G22" s="72"/>
      <c r="H22" s="72"/>
      <c r="I22" s="72"/>
      <c r="J22" s="72"/>
      <c r="K22" s="72"/>
      <c r="L22" s="72"/>
      <c r="M22" s="72"/>
      <c r="N22" s="72"/>
      <c r="O22" s="72"/>
      <c r="P22" s="72"/>
      <c r="Q22" s="72"/>
      <c r="R22" s="72"/>
      <c r="S22" s="72"/>
      <c r="T22" s="72"/>
      <c r="U22" s="72"/>
      <c r="V22" s="72"/>
      <c r="W22" s="72"/>
      <c r="X22" s="72"/>
      <c r="Y22" s="72"/>
      <c r="Z22" s="72"/>
      <c r="AA22" s="72"/>
    </row>
    <row r="23" spans="2:27">
      <c r="B23" s="60" t="s">
        <v>368</v>
      </c>
      <c r="D23" s="199"/>
      <c r="E23" s="179"/>
    </row>
    <row r="24" spans="2:27" ht="16.5" customHeight="1">
      <c r="B24" s="330" t="s">
        <v>14</v>
      </c>
      <c r="C24" s="330" t="s">
        <v>15</v>
      </c>
      <c r="D24" s="330" t="s">
        <v>308</v>
      </c>
      <c r="E24" s="330" t="s">
        <v>39</v>
      </c>
      <c r="F24" s="324" t="s">
        <v>43</v>
      </c>
      <c r="G24" s="324"/>
      <c r="H24" s="325" t="s">
        <v>54</v>
      </c>
      <c r="I24" s="325"/>
      <c r="J24" s="325"/>
      <c r="K24" s="325"/>
      <c r="L24" s="325"/>
      <c r="M24" s="325"/>
      <c r="N24" s="325"/>
      <c r="O24" s="325"/>
      <c r="P24" s="325"/>
      <c r="Q24" s="325"/>
      <c r="R24" s="325"/>
      <c r="S24" s="325"/>
      <c r="T24" s="325"/>
      <c r="U24" s="325"/>
      <c r="V24" s="325"/>
      <c r="W24" s="325"/>
      <c r="X24" s="325"/>
      <c r="Y24" s="325"/>
      <c r="Z24" s="325"/>
      <c r="AA24" s="325"/>
    </row>
    <row r="25" spans="2:27" ht="16.5" customHeight="1">
      <c r="B25" s="331"/>
      <c r="C25" s="331"/>
      <c r="D25" s="331"/>
      <c r="E25" s="331"/>
      <c r="F25" s="42">
        <v>1</v>
      </c>
      <c r="G25" s="42">
        <v>2</v>
      </c>
      <c r="H25" s="43">
        <v>1</v>
      </c>
      <c r="I25" s="43">
        <v>2</v>
      </c>
      <c r="J25" s="43">
        <v>3</v>
      </c>
      <c r="K25" s="43">
        <v>4</v>
      </c>
      <c r="L25" s="43">
        <v>5</v>
      </c>
      <c r="M25" s="43">
        <v>6</v>
      </c>
      <c r="N25" s="43">
        <v>7</v>
      </c>
      <c r="O25" s="43">
        <v>8</v>
      </c>
      <c r="P25" s="43">
        <v>9</v>
      </c>
      <c r="Q25" s="43">
        <v>10</v>
      </c>
      <c r="R25" s="43">
        <v>11</v>
      </c>
      <c r="S25" s="43">
        <v>12</v>
      </c>
      <c r="T25" s="43">
        <v>13</v>
      </c>
      <c r="U25" s="43">
        <v>14</v>
      </c>
      <c r="V25" s="43">
        <v>15</v>
      </c>
      <c r="W25" s="43">
        <v>16</v>
      </c>
      <c r="X25" s="43">
        <v>17</v>
      </c>
      <c r="Y25" s="43">
        <v>18</v>
      </c>
      <c r="Z25" s="43">
        <v>19</v>
      </c>
      <c r="AA25" s="43">
        <v>20</v>
      </c>
    </row>
    <row r="26" spans="2:27" ht="33" customHeight="1">
      <c r="B26" s="332">
        <v>1</v>
      </c>
      <c r="C26" s="72" t="s">
        <v>369</v>
      </c>
      <c r="D26" s="200"/>
      <c r="E26" s="73" t="s">
        <v>106</v>
      </c>
      <c r="F26" s="201">
        <f ca="1">D27</f>
        <v>21313.039305959719</v>
      </c>
      <c r="G26" s="202"/>
      <c r="H26" s="201">
        <f ca="1">IF('表1-资金筹措及还本付息表'!G5=0,F26-H27,G26-H27)</f>
        <v>19892.170018895737</v>
      </c>
      <c r="I26" s="201">
        <f ca="1">H26-I27</f>
        <v>18471.300731831754</v>
      </c>
      <c r="J26" s="201">
        <f t="shared" ref="J26:AA26" ca="1" si="0">I26-J27</f>
        <v>17050.431444767772</v>
      </c>
      <c r="K26" s="201">
        <f t="shared" ca="1" si="0"/>
        <v>15629.562157703791</v>
      </c>
      <c r="L26" s="201">
        <f t="shared" ca="1" si="0"/>
        <v>14208.69287063981</v>
      </c>
      <c r="M26" s="201">
        <f t="shared" ca="1" si="0"/>
        <v>12787.82358357583</v>
      </c>
      <c r="N26" s="201">
        <f t="shared" ca="1" si="0"/>
        <v>11366.954296511849</v>
      </c>
      <c r="O26" s="201">
        <f t="shared" ca="1" si="0"/>
        <v>9946.0850094478683</v>
      </c>
      <c r="P26" s="201">
        <f t="shared" ca="1" si="0"/>
        <v>8525.2157223838876</v>
      </c>
      <c r="Q26" s="201">
        <f t="shared" ca="1" si="0"/>
        <v>7104.346435319907</v>
      </c>
      <c r="R26" s="201">
        <f t="shared" ca="1" si="0"/>
        <v>5683.4771482559263</v>
      </c>
      <c r="S26" s="201">
        <f t="shared" ca="1" si="0"/>
        <v>4262.6078611919456</v>
      </c>
      <c r="T26" s="201">
        <f t="shared" ca="1" si="0"/>
        <v>2841.7385741279645</v>
      </c>
      <c r="U26" s="201">
        <f t="shared" ca="1" si="0"/>
        <v>1420.8692870639834</v>
      </c>
      <c r="V26" s="201">
        <f t="shared" ca="1" si="0"/>
        <v>2.2737367544323206E-12</v>
      </c>
      <c r="W26" s="201">
        <f t="shared" ca="1" si="0"/>
        <v>2.2737367544323206E-12</v>
      </c>
      <c r="X26" s="201">
        <f t="shared" ca="1" si="0"/>
        <v>2.2737367544323206E-12</v>
      </c>
      <c r="Y26" s="201">
        <f t="shared" ca="1" si="0"/>
        <v>2.2737367544323206E-12</v>
      </c>
      <c r="Z26" s="201">
        <f t="shared" ca="1" si="0"/>
        <v>2.2737367544323206E-12</v>
      </c>
      <c r="AA26" s="201">
        <f t="shared" ca="1" si="0"/>
        <v>2.2737367544323206E-12</v>
      </c>
    </row>
    <row r="27" spans="2:27" ht="33" customHeight="1">
      <c r="B27" s="333"/>
      <c r="C27" s="72" t="s">
        <v>370</v>
      </c>
      <c r="D27" s="201">
        <f ca="1">SUM(F27:AA27)</f>
        <v>21313.039305959719</v>
      </c>
      <c r="E27" s="73" t="s">
        <v>106</v>
      </c>
      <c r="F27" s="201"/>
      <c r="G27" s="201"/>
      <c r="H27" s="203">
        <f ca="1">IF(H25&lt;=$D$6,$D$4*(1-$D$7)/($D$6),0)</f>
        <v>1420.8692870639811</v>
      </c>
      <c r="I27" s="203">
        <f t="shared" ref="I27:AA27" ca="1" si="1">IF(I25&lt;=$D$6,$D$4*(1-$D$7)/($D$6),0)</f>
        <v>1420.8692870639811</v>
      </c>
      <c r="J27" s="203">
        <f t="shared" ca="1" si="1"/>
        <v>1420.8692870639811</v>
      </c>
      <c r="K27" s="203">
        <f t="shared" ca="1" si="1"/>
        <v>1420.8692870639811</v>
      </c>
      <c r="L27" s="203">
        <f t="shared" ca="1" si="1"/>
        <v>1420.8692870639811</v>
      </c>
      <c r="M27" s="203">
        <f t="shared" ca="1" si="1"/>
        <v>1420.8692870639811</v>
      </c>
      <c r="N27" s="203">
        <f t="shared" ca="1" si="1"/>
        <v>1420.8692870639811</v>
      </c>
      <c r="O27" s="203">
        <f t="shared" ca="1" si="1"/>
        <v>1420.8692870639811</v>
      </c>
      <c r="P27" s="203">
        <f t="shared" ca="1" si="1"/>
        <v>1420.8692870639811</v>
      </c>
      <c r="Q27" s="203">
        <f t="shared" ca="1" si="1"/>
        <v>1420.8692870639811</v>
      </c>
      <c r="R27" s="203">
        <f t="shared" ca="1" si="1"/>
        <v>1420.8692870639811</v>
      </c>
      <c r="S27" s="203">
        <f t="shared" ca="1" si="1"/>
        <v>1420.8692870639811</v>
      </c>
      <c r="T27" s="203">
        <f t="shared" ca="1" si="1"/>
        <v>1420.8692870639811</v>
      </c>
      <c r="U27" s="203">
        <f t="shared" ca="1" si="1"/>
        <v>1420.8692870639811</v>
      </c>
      <c r="V27" s="203">
        <f t="shared" ca="1" si="1"/>
        <v>1420.8692870639811</v>
      </c>
      <c r="W27" s="203">
        <f t="shared" si="1"/>
        <v>0</v>
      </c>
      <c r="X27" s="203">
        <f t="shared" si="1"/>
        <v>0</v>
      </c>
      <c r="Y27" s="203">
        <f t="shared" si="1"/>
        <v>0</v>
      </c>
      <c r="Z27" s="203">
        <f t="shared" si="1"/>
        <v>0</v>
      </c>
      <c r="AA27" s="203">
        <f t="shared" si="1"/>
        <v>0</v>
      </c>
    </row>
    <row r="28" spans="2:27" ht="25" customHeight="1">
      <c r="B28" s="332">
        <v>2</v>
      </c>
      <c r="C28" s="72" t="s">
        <v>371</v>
      </c>
      <c r="D28" s="201"/>
      <c r="E28" s="73" t="s">
        <v>106</v>
      </c>
      <c r="F28" s="201"/>
      <c r="G28" s="204"/>
      <c r="H28" s="201">
        <v>0</v>
      </c>
      <c r="I28" s="201">
        <f>H31</f>
        <v>0</v>
      </c>
      <c r="J28" s="201">
        <f t="shared" ref="J28:AA28" si="2">I31</f>
        <v>0</v>
      </c>
      <c r="K28" s="201">
        <f t="shared" si="2"/>
        <v>0</v>
      </c>
      <c r="L28" s="201">
        <f t="shared" si="2"/>
        <v>0</v>
      </c>
      <c r="M28" s="201">
        <f t="shared" si="2"/>
        <v>0</v>
      </c>
      <c r="N28" s="201">
        <f t="shared" si="2"/>
        <v>0</v>
      </c>
      <c r="O28" s="201">
        <f t="shared" si="2"/>
        <v>0</v>
      </c>
      <c r="P28" s="201">
        <f t="shared" si="2"/>
        <v>0</v>
      </c>
      <c r="Q28" s="201">
        <f t="shared" si="2"/>
        <v>0</v>
      </c>
      <c r="R28" s="201">
        <f t="shared" si="2"/>
        <v>0</v>
      </c>
      <c r="S28" s="201">
        <f t="shared" si="2"/>
        <v>0</v>
      </c>
      <c r="T28" s="201">
        <f t="shared" si="2"/>
        <v>0</v>
      </c>
      <c r="U28" s="201">
        <f t="shared" si="2"/>
        <v>0</v>
      </c>
      <c r="V28" s="201">
        <f t="shared" si="2"/>
        <v>0</v>
      </c>
      <c r="W28" s="201">
        <f t="shared" si="2"/>
        <v>0</v>
      </c>
      <c r="X28" s="201">
        <f t="shared" si="2"/>
        <v>0</v>
      </c>
      <c r="Y28" s="201">
        <f t="shared" si="2"/>
        <v>0</v>
      </c>
      <c r="Z28" s="201">
        <f t="shared" si="2"/>
        <v>0</v>
      </c>
      <c r="AA28" s="201">
        <f t="shared" si="2"/>
        <v>0</v>
      </c>
    </row>
    <row r="29" spans="2:27" ht="25" customHeight="1">
      <c r="B29" s="334"/>
      <c r="C29" s="72" t="s">
        <v>372</v>
      </c>
      <c r="D29" s="201"/>
      <c r="E29" s="73"/>
      <c r="F29" s="201"/>
      <c r="G29" s="204"/>
      <c r="H29" s="201">
        <f>参数输入表!H160/(1+参数输入表!H182)</f>
        <v>0</v>
      </c>
      <c r="I29" s="201">
        <f>参数输入表!H161/(1+参数输入表!H182)</f>
        <v>0</v>
      </c>
      <c r="J29" s="201">
        <f>参数输入表!H162/(1+参数输入表!H182)</f>
        <v>0</v>
      </c>
      <c r="K29" s="201">
        <f>参数输入表!H163/(1+参数输入表!H182)</f>
        <v>0</v>
      </c>
      <c r="L29" s="201">
        <f>参数输入表!H164/(1+参数输入表!H182)</f>
        <v>0</v>
      </c>
      <c r="M29" s="201">
        <f>参数输入表!H165/(1+参数输入表!H182)</f>
        <v>0</v>
      </c>
      <c r="N29" s="201">
        <f>参数输入表!H166/(1+参数输入表!H182)</f>
        <v>0</v>
      </c>
      <c r="O29" s="201">
        <f>参数输入表!H167/(1+参数输入表!H182)</f>
        <v>0</v>
      </c>
      <c r="P29" s="201">
        <f>参数输入表!H168/(1+参数输入表!H182)</f>
        <v>0</v>
      </c>
      <c r="Q29" s="201">
        <f>参数输入表!H169/(1+参数输入表!H182)</f>
        <v>0</v>
      </c>
      <c r="R29" s="201">
        <f>参数输入表!H170/(1+参数输入表!H182)</f>
        <v>0</v>
      </c>
      <c r="S29" s="201">
        <f>参数输入表!H171/(1+参数输入表!H182)</f>
        <v>0</v>
      </c>
      <c r="T29" s="201">
        <f>参数输入表!H172/(1+参数输入表!H182)</f>
        <v>0</v>
      </c>
      <c r="U29" s="201">
        <f>参数输入表!H173/(1+参数输入表!H182)</f>
        <v>0</v>
      </c>
      <c r="V29" s="201">
        <f>参数输入表!H174/(1+参数输入表!H182)</f>
        <v>0</v>
      </c>
      <c r="W29" s="201">
        <f>参数输入表!H175/(1+参数输入表!H182)</f>
        <v>0</v>
      </c>
      <c r="X29" s="201">
        <f>参数输入表!H176/(1+参数输入表!H182)</f>
        <v>0</v>
      </c>
      <c r="Y29" s="201">
        <f>参数输入表!H177/(1+参数输入表!H182)</f>
        <v>0</v>
      </c>
      <c r="Z29" s="201">
        <f>参数输入表!H178/(1+参数输入表!H182)</f>
        <v>0</v>
      </c>
      <c r="AA29" s="201">
        <f>参数输入表!H179/(1+参数输入表!H182)</f>
        <v>0</v>
      </c>
    </row>
    <row r="30" spans="2:27" ht="25" customHeight="1">
      <c r="B30" s="334"/>
      <c r="C30" s="72" t="s">
        <v>373</v>
      </c>
      <c r="D30" s="201">
        <f>SUM(F30:AA30)</f>
        <v>0</v>
      </c>
      <c r="E30" s="73" t="s">
        <v>106</v>
      </c>
      <c r="F30" s="201"/>
      <c r="G30" s="204"/>
      <c r="H30" s="201">
        <f>H29/$D$14</f>
        <v>0</v>
      </c>
      <c r="I30" s="201">
        <f>H30</f>
        <v>0</v>
      </c>
      <c r="J30" s="201">
        <f t="shared" ref="J30:Y30" si="3">I30</f>
        <v>0</v>
      </c>
      <c r="K30" s="201">
        <f t="shared" si="3"/>
        <v>0</v>
      </c>
      <c r="L30" s="201">
        <f t="shared" si="3"/>
        <v>0</v>
      </c>
      <c r="M30" s="201">
        <f>M29/$D$14</f>
        <v>0</v>
      </c>
      <c r="N30" s="201">
        <f t="shared" si="3"/>
        <v>0</v>
      </c>
      <c r="O30" s="201">
        <f t="shared" si="3"/>
        <v>0</v>
      </c>
      <c r="P30" s="201">
        <f t="shared" si="3"/>
        <v>0</v>
      </c>
      <c r="Q30" s="201">
        <f t="shared" si="3"/>
        <v>0</v>
      </c>
      <c r="R30" s="201">
        <f>R29/$D$14</f>
        <v>0</v>
      </c>
      <c r="S30" s="201">
        <f t="shared" si="3"/>
        <v>0</v>
      </c>
      <c r="T30" s="201">
        <f t="shared" si="3"/>
        <v>0</v>
      </c>
      <c r="U30" s="201">
        <f t="shared" si="3"/>
        <v>0</v>
      </c>
      <c r="V30" s="201">
        <f t="shared" si="3"/>
        <v>0</v>
      </c>
      <c r="W30" s="201">
        <f>W29/$D$14</f>
        <v>0</v>
      </c>
      <c r="X30" s="201">
        <f t="shared" si="3"/>
        <v>0</v>
      </c>
      <c r="Y30" s="201">
        <f t="shared" si="3"/>
        <v>0</v>
      </c>
      <c r="Z30" s="201">
        <f t="shared" ref="Z30" si="4">Y30</f>
        <v>0</v>
      </c>
      <c r="AA30" s="201">
        <f t="shared" ref="AA30" si="5">Z30</f>
        <v>0</v>
      </c>
    </row>
    <row r="31" spans="2:27" ht="25" customHeight="1">
      <c r="B31" s="333"/>
      <c r="C31" s="72" t="s">
        <v>374</v>
      </c>
      <c r="D31" s="201"/>
      <c r="E31" s="73"/>
      <c r="F31" s="201"/>
      <c r="G31" s="204"/>
      <c r="H31" s="201">
        <f>H28+H29-H30</f>
        <v>0</v>
      </c>
      <c r="I31" s="201">
        <f t="shared" ref="I31:AA31" si="6">I28+I29-I30</f>
        <v>0</v>
      </c>
      <c r="J31" s="201">
        <f t="shared" si="6"/>
        <v>0</v>
      </c>
      <c r="K31" s="201">
        <f t="shared" si="6"/>
        <v>0</v>
      </c>
      <c r="L31" s="201">
        <f t="shared" si="6"/>
        <v>0</v>
      </c>
      <c r="M31" s="201">
        <f t="shared" si="6"/>
        <v>0</v>
      </c>
      <c r="N31" s="201">
        <f t="shared" si="6"/>
        <v>0</v>
      </c>
      <c r="O31" s="201">
        <f t="shared" si="6"/>
        <v>0</v>
      </c>
      <c r="P31" s="201">
        <f t="shared" si="6"/>
        <v>0</v>
      </c>
      <c r="Q31" s="201">
        <f t="shared" si="6"/>
        <v>0</v>
      </c>
      <c r="R31" s="201">
        <f t="shared" si="6"/>
        <v>0</v>
      </c>
      <c r="S31" s="201">
        <f t="shared" si="6"/>
        <v>0</v>
      </c>
      <c r="T31" s="201">
        <f t="shared" si="6"/>
        <v>0</v>
      </c>
      <c r="U31" s="201">
        <f t="shared" si="6"/>
        <v>0</v>
      </c>
      <c r="V31" s="201">
        <f t="shared" si="6"/>
        <v>0</v>
      </c>
      <c r="W31" s="201">
        <f t="shared" si="6"/>
        <v>0</v>
      </c>
      <c r="X31" s="201">
        <f t="shared" si="6"/>
        <v>0</v>
      </c>
      <c r="Y31" s="201">
        <f t="shared" si="6"/>
        <v>0</v>
      </c>
      <c r="Z31" s="201">
        <f t="shared" si="6"/>
        <v>0</v>
      </c>
      <c r="AA31" s="201">
        <f t="shared" si="6"/>
        <v>0</v>
      </c>
    </row>
    <row r="32" spans="2:27" ht="25" customHeight="1">
      <c r="B32" s="332">
        <v>3</v>
      </c>
      <c r="C32" s="72" t="s">
        <v>375</v>
      </c>
      <c r="D32" s="72"/>
      <c r="E32" s="73" t="s">
        <v>106</v>
      </c>
      <c r="F32" s="201">
        <f>参数输入表!$H$154*参数输入表!$H$7</f>
        <v>0</v>
      </c>
      <c r="G32" s="201">
        <f>参数输入表!$H$154*参数输入表!$H$7+参数输入表!$H$154*参数输入表!$H$8</f>
        <v>0</v>
      </c>
      <c r="H32" s="205">
        <f>G32-H33</f>
        <v>0</v>
      </c>
      <c r="I32" s="205">
        <f t="shared" ref="I32:Y32" si="7">H32-I33</f>
        <v>0</v>
      </c>
      <c r="J32" s="205">
        <f t="shared" si="7"/>
        <v>0</v>
      </c>
      <c r="K32" s="205">
        <f t="shared" si="7"/>
        <v>0</v>
      </c>
      <c r="L32" s="205">
        <f t="shared" si="7"/>
        <v>0</v>
      </c>
      <c r="M32" s="205">
        <f t="shared" si="7"/>
        <v>0</v>
      </c>
      <c r="N32" s="205">
        <f t="shared" si="7"/>
        <v>0</v>
      </c>
      <c r="O32" s="205">
        <f t="shared" si="7"/>
        <v>0</v>
      </c>
      <c r="P32" s="205">
        <f t="shared" si="7"/>
        <v>0</v>
      </c>
      <c r="Q32" s="205">
        <f t="shared" si="7"/>
        <v>0</v>
      </c>
      <c r="R32" s="205">
        <f t="shared" si="7"/>
        <v>0</v>
      </c>
      <c r="S32" s="205">
        <f t="shared" si="7"/>
        <v>0</v>
      </c>
      <c r="T32" s="205">
        <f t="shared" si="7"/>
        <v>0</v>
      </c>
      <c r="U32" s="205">
        <f t="shared" si="7"/>
        <v>0</v>
      </c>
      <c r="V32" s="205">
        <f t="shared" si="7"/>
        <v>0</v>
      </c>
      <c r="W32" s="205">
        <f t="shared" si="7"/>
        <v>0</v>
      </c>
      <c r="X32" s="205">
        <f t="shared" si="7"/>
        <v>0</v>
      </c>
      <c r="Y32" s="205">
        <f t="shared" si="7"/>
        <v>0</v>
      </c>
      <c r="Z32" s="205">
        <f t="shared" ref="Z32" si="8">Y32-Z33</f>
        <v>0</v>
      </c>
      <c r="AA32" s="205">
        <f t="shared" ref="AA32" si="9">Z32-AA33</f>
        <v>0</v>
      </c>
    </row>
    <row r="33" spans="2:27" ht="25" customHeight="1">
      <c r="B33" s="333"/>
      <c r="C33" s="72" t="s">
        <v>376</v>
      </c>
      <c r="D33" s="201">
        <f>SUM(F33:AA33)</f>
        <v>0</v>
      </c>
      <c r="E33" s="73" t="s">
        <v>106</v>
      </c>
      <c r="F33" s="201"/>
      <c r="G33" s="201"/>
      <c r="H33" s="201">
        <f>IF(H25&lt;=$D$17,G32*(1-$D$18)/($D$17-H25+1),0)</f>
        <v>0</v>
      </c>
      <c r="I33" s="201">
        <f t="shared" ref="I33:AA33" si="10">IF(I25&lt;=$D$17,H32*(1-$D$18)/($D$17-I25+1),0)</f>
        <v>0</v>
      </c>
      <c r="J33" s="201">
        <f t="shared" si="10"/>
        <v>0</v>
      </c>
      <c r="K33" s="201">
        <f t="shared" si="10"/>
        <v>0</v>
      </c>
      <c r="L33" s="201">
        <f t="shared" si="10"/>
        <v>0</v>
      </c>
      <c r="M33" s="201">
        <f t="shared" si="10"/>
        <v>0</v>
      </c>
      <c r="N33" s="201">
        <f t="shared" si="10"/>
        <v>0</v>
      </c>
      <c r="O33" s="201">
        <f t="shared" si="10"/>
        <v>0</v>
      </c>
      <c r="P33" s="201">
        <f t="shared" si="10"/>
        <v>0</v>
      </c>
      <c r="Q33" s="201">
        <f t="shared" si="10"/>
        <v>0</v>
      </c>
      <c r="R33" s="201">
        <f t="shared" si="10"/>
        <v>0</v>
      </c>
      <c r="S33" s="201">
        <f t="shared" si="10"/>
        <v>0</v>
      </c>
      <c r="T33" s="201">
        <f t="shared" si="10"/>
        <v>0</v>
      </c>
      <c r="U33" s="201">
        <f t="shared" si="10"/>
        <v>0</v>
      </c>
      <c r="V33" s="201">
        <f t="shared" si="10"/>
        <v>0</v>
      </c>
      <c r="W33" s="201">
        <f t="shared" si="10"/>
        <v>0</v>
      </c>
      <c r="X33" s="201">
        <f t="shared" si="10"/>
        <v>0</v>
      </c>
      <c r="Y33" s="201">
        <f t="shared" si="10"/>
        <v>0</v>
      </c>
      <c r="Z33" s="201">
        <f t="shared" si="10"/>
        <v>0</v>
      </c>
      <c r="AA33" s="201">
        <f t="shared" si="10"/>
        <v>0</v>
      </c>
    </row>
    <row r="34" spans="2:27" ht="23" customHeight="1">
      <c r="B34" s="335">
        <v>4</v>
      </c>
      <c r="C34" s="72" t="s">
        <v>377</v>
      </c>
      <c r="D34" s="201"/>
      <c r="E34" s="73" t="s">
        <v>106</v>
      </c>
      <c r="F34" s="201"/>
      <c r="G34" s="201"/>
      <c r="H34" s="201">
        <v>0</v>
      </c>
      <c r="I34" s="201">
        <f>H37</f>
        <v>0</v>
      </c>
      <c r="J34" s="201">
        <f t="shared" ref="J34:AA34" si="11">I37</f>
        <v>0</v>
      </c>
      <c r="K34" s="201">
        <f t="shared" si="11"/>
        <v>0</v>
      </c>
      <c r="L34" s="201">
        <f t="shared" si="11"/>
        <v>0</v>
      </c>
      <c r="M34" s="201">
        <f t="shared" si="11"/>
        <v>0</v>
      </c>
      <c r="N34" s="201">
        <f t="shared" si="11"/>
        <v>0</v>
      </c>
      <c r="O34" s="201">
        <f t="shared" si="11"/>
        <v>0</v>
      </c>
      <c r="P34" s="201">
        <f t="shared" si="11"/>
        <v>0</v>
      </c>
      <c r="Q34" s="201">
        <f t="shared" si="11"/>
        <v>0</v>
      </c>
      <c r="R34" s="201">
        <f t="shared" si="11"/>
        <v>0</v>
      </c>
      <c r="S34" s="201">
        <f t="shared" si="11"/>
        <v>384.42477876106204</v>
      </c>
      <c r="T34" s="201">
        <f t="shared" si="11"/>
        <v>344.07079646017706</v>
      </c>
      <c r="U34" s="201">
        <f t="shared" si="11"/>
        <v>303.71681415929208</v>
      </c>
      <c r="V34" s="201">
        <f t="shared" si="11"/>
        <v>263.36283185840711</v>
      </c>
      <c r="W34" s="201">
        <f t="shared" si="11"/>
        <v>223.00884955752213</v>
      </c>
      <c r="X34" s="201">
        <f t="shared" si="11"/>
        <v>182.65486725663715</v>
      </c>
      <c r="Y34" s="201">
        <f t="shared" si="11"/>
        <v>142.30088495575217</v>
      </c>
      <c r="Z34" s="201">
        <f t="shared" si="11"/>
        <v>101.9469026548672</v>
      </c>
      <c r="AA34" s="201">
        <f t="shared" si="11"/>
        <v>61.592920353982237</v>
      </c>
    </row>
    <row r="35" spans="2:27" ht="23" customHeight="1">
      <c r="B35" s="335"/>
      <c r="C35" s="72" t="s">
        <v>378</v>
      </c>
      <c r="D35" s="201"/>
      <c r="E35" s="73"/>
      <c r="F35" s="201"/>
      <c r="G35" s="201"/>
      <c r="H35" s="201">
        <f>参数输入表!H185/(1+参数输入表!$H$208)</f>
        <v>0</v>
      </c>
      <c r="I35" s="201">
        <f>参数输入表!H186/(1+参数输入表!$H$208)</f>
        <v>0</v>
      </c>
      <c r="J35" s="201">
        <f>参数输入表!H187/(1+参数输入表!$H$208)</f>
        <v>0</v>
      </c>
      <c r="K35" s="201">
        <f>参数输入表!H188/(1+参数输入表!$H$208)</f>
        <v>0</v>
      </c>
      <c r="L35" s="201">
        <f>参数输入表!H189/(1+参数输入表!$H$208)</f>
        <v>0</v>
      </c>
      <c r="M35" s="201">
        <f>参数输入表!H190/(1+参数输入表!$H$208)</f>
        <v>0</v>
      </c>
      <c r="N35" s="201">
        <f>参数输入表!H191/(1+参数输入表!$H$208)</f>
        <v>0</v>
      </c>
      <c r="O35" s="201">
        <f>参数输入表!H192/(1+参数输入表!$H$208)</f>
        <v>0</v>
      </c>
      <c r="P35" s="201">
        <f>参数输入表!H193/(1+参数输入表!$H$208)</f>
        <v>0</v>
      </c>
      <c r="Q35" s="201">
        <f>参数输入表!H194/(1+参数输入表!$H$208)</f>
        <v>0</v>
      </c>
      <c r="R35" s="201">
        <f>参数输入表!H195/(1+参数输入表!$H$208)</f>
        <v>424.77876106194702</v>
      </c>
      <c r="S35" s="201">
        <f>参数输入表!H196/(1+参数输入表!$H$208)</f>
        <v>0</v>
      </c>
      <c r="T35" s="201">
        <f>参数输入表!H197/(1+参数输入表!$H$208)</f>
        <v>0</v>
      </c>
      <c r="U35" s="201">
        <f>参数输入表!H198/(1+参数输入表!$H$208)</f>
        <v>0</v>
      </c>
      <c r="V35" s="201">
        <f>参数输入表!H199/(1+参数输入表!$H$208)</f>
        <v>0</v>
      </c>
      <c r="W35" s="201">
        <f>参数输入表!H200/(1+参数输入表!$H$208)</f>
        <v>0</v>
      </c>
      <c r="X35" s="201">
        <f>参数输入表!H201/(1+参数输入表!$H$208)</f>
        <v>0</v>
      </c>
      <c r="Y35" s="201">
        <f>参数输入表!H202/(1+参数输入表!$H$208)</f>
        <v>0</v>
      </c>
      <c r="Z35" s="201">
        <f>参数输入表!H203/(1+参数输入表!$H$208)</f>
        <v>0</v>
      </c>
      <c r="AA35" s="201">
        <f>参数输入表!H204/(1+参数输入表!$H$208)</f>
        <v>0</v>
      </c>
    </row>
    <row r="36" spans="2:27" ht="23" customHeight="1">
      <c r="B36" s="335"/>
      <c r="C36" s="72" t="s">
        <v>379</v>
      </c>
      <c r="D36" s="201">
        <f>SUM(F36:AA36)</f>
        <v>403.53982300884974</v>
      </c>
      <c r="E36" s="73" t="s">
        <v>106</v>
      </c>
      <c r="F36" s="201"/>
      <c r="G36" s="201"/>
      <c r="H36" s="201">
        <v>0</v>
      </c>
      <c r="I36" s="201">
        <v>0</v>
      </c>
      <c r="J36" s="201">
        <v>0</v>
      </c>
      <c r="K36" s="201">
        <v>0</v>
      </c>
      <c r="L36" s="201">
        <v>0</v>
      </c>
      <c r="M36" s="201">
        <v>0</v>
      </c>
      <c r="N36" s="201">
        <v>0</v>
      </c>
      <c r="O36" s="201">
        <v>0</v>
      </c>
      <c r="P36" s="201">
        <v>0</v>
      </c>
      <c r="Q36" s="201">
        <f>Q35/D21</f>
        <v>0</v>
      </c>
      <c r="R36" s="201">
        <f>R35*(1-$D$22)/D21</f>
        <v>40.353982300884965</v>
      </c>
      <c r="S36" s="201">
        <f t="shared" ref="S36:AA36" si="12">R36</f>
        <v>40.353982300884965</v>
      </c>
      <c r="T36" s="201">
        <f t="shared" si="12"/>
        <v>40.353982300884965</v>
      </c>
      <c r="U36" s="201">
        <f t="shared" si="12"/>
        <v>40.353982300884965</v>
      </c>
      <c r="V36" s="201">
        <f t="shared" si="12"/>
        <v>40.353982300884965</v>
      </c>
      <c r="W36" s="201">
        <f t="shared" si="12"/>
        <v>40.353982300884965</v>
      </c>
      <c r="X36" s="201">
        <f t="shared" si="12"/>
        <v>40.353982300884965</v>
      </c>
      <c r="Y36" s="201">
        <f t="shared" si="12"/>
        <v>40.353982300884965</v>
      </c>
      <c r="Z36" s="201">
        <f t="shared" si="12"/>
        <v>40.353982300884965</v>
      </c>
      <c r="AA36" s="201">
        <f t="shared" si="12"/>
        <v>40.353982300884965</v>
      </c>
    </row>
    <row r="37" spans="2:27" ht="23" customHeight="1">
      <c r="B37" s="335"/>
      <c r="C37" s="72" t="s">
        <v>380</v>
      </c>
      <c r="D37" s="201"/>
      <c r="E37" s="73"/>
      <c r="F37" s="201"/>
      <c r="G37" s="201"/>
      <c r="H37" s="201">
        <f>H34+H35-H36</f>
        <v>0</v>
      </c>
      <c r="I37" s="201">
        <f t="shared" ref="I37:AA37" si="13">I34+I35-I36</f>
        <v>0</v>
      </c>
      <c r="J37" s="201">
        <f t="shared" si="13"/>
        <v>0</v>
      </c>
      <c r="K37" s="201">
        <f t="shared" si="13"/>
        <v>0</v>
      </c>
      <c r="L37" s="201">
        <f t="shared" si="13"/>
        <v>0</v>
      </c>
      <c r="M37" s="201">
        <f t="shared" si="13"/>
        <v>0</v>
      </c>
      <c r="N37" s="201">
        <f t="shared" si="13"/>
        <v>0</v>
      </c>
      <c r="O37" s="201">
        <f t="shared" si="13"/>
        <v>0</v>
      </c>
      <c r="P37" s="201">
        <f t="shared" si="13"/>
        <v>0</v>
      </c>
      <c r="Q37" s="201">
        <f t="shared" si="13"/>
        <v>0</v>
      </c>
      <c r="R37" s="201">
        <f t="shared" si="13"/>
        <v>384.42477876106204</v>
      </c>
      <c r="S37" s="201">
        <f t="shared" si="13"/>
        <v>344.07079646017706</v>
      </c>
      <c r="T37" s="201">
        <f t="shared" si="13"/>
        <v>303.71681415929208</v>
      </c>
      <c r="U37" s="201">
        <f t="shared" si="13"/>
        <v>263.36283185840711</v>
      </c>
      <c r="V37" s="201">
        <f t="shared" si="13"/>
        <v>223.00884955752213</v>
      </c>
      <c r="W37" s="201">
        <f t="shared" si="13"/>
        <v>182.65486725663715</v>
      </c>
      <c r="X37" s="201">
        <f t="shared" si="13"/>
        <v>142.30088495575217</v>
      </c>
      <c r="Y37" s="201">
        <f t="shared" si="13"/>
        <v>101.9469026548672</v>
      </c>
      <c r="Z37" s="201">
        <f t="shared" si="13"/>
        <v>61.592920353982237</v>
      </c>
      <c r="AA37" s="201">
        <f t="shared" si="13"/>
        <v>21.238938053097272</v>
      </c>
    </row>
    <row r="38" spans="2:27" ht="30" customHeight="1">
      <c r="B38" s="206">
        <v>5</v>
      </c>
      <c r="C38" s="207" t="s">
        <v>381</v>
      </c>
      <c r="D38" s="208">
        <f ca="1">SUM(F38:AA38)</f>
        <v>21716.579128968555</v>
      </c>
      <c r="E38" s="73" t="s">
        <v>106</v>
      </c>
      <c r="F38" s="209">
        <f>F27+F30+F33+F36</f>
        <v>0</v>
      </c>
      <c r="G38" s="209">
        <f t="shared" ref="G38:AA38" si="14">G27+G30+G33+G36</f>
        <v>0</v>
      </c>
      <c r="H38" s="209">
        <f t="shared" ca="1" si="14"/>
        <v>1420.8692870639811</v>
      </c>
      <c r="I38" s="209">
        <f t="shared" ca="1" si="14"/>
        <v>1420.8692870639811</v>
      </c>
      <c r="J38" s="209">
        <f t="shared" ca="1" si="14"/>
        <v>1420.8692870639811</v>
      </c>
      <c r="K38" s="209">
        <f t="shared" ca="1" si="14"/>
        <v>1420.8692870639811</v>
      </c>
      <c r="L38" s="209">
        <f t="shared" ca="1" si="14"/>
        <v>1420.8692870639811</v>
      </c>
      <c r="M38" s="209">
        <f t="shared" ca="1" si="14"/>
        <v>1420.8692870639811</v>
      </c>
      <c r="N38" s="209">
        <f t="shared" ca="1" si="14"/>
        <v>1420.8692870639811</v>
      </c>
      <c r="O38" s="209">
        <f t="shared" ca="1" si="14"/>
        <v>1420.8692870639811</v>
      </c>
      <c r="P38" s="209">
        <f t="shared" ca="1" si="14"/>
        <v>1420.8692870639811</v>
      </c>
      <c r="Q38" s="209">
        <f t="shared" ca="1" si="14"/>
        <v>1420.8692870639811</v>
      </c>
      <c r="R38" s="209">
        <f t="shared" ca="1" si="14"/>
        <v>1461.2232693648662</v>
      </c>
      <c r="S38" s="209">
        <f t="shared" ca="1" si="14"/>
        <v>1461.2232693648662</v>
      </c>
      <c r="T38" s="209">
        <f t="shared" ca="1" si="14"/>
        <v>1461.2232693648662</v>
      </c>
      <c r="U38" s="209">
        <f t="shared" ca="1" si="14"/>
        <v>1461.2232693648662</v>
      </c>
      <c r="V38" s="209">
        <f t="shared" ca="1" si="14"/>
        <v>1461.2232693648662</v>
      </c>
      <c r="W38" s="209">
        <f t="shared" si="14"/>
        <v>40.353982300884965</v>
      </c>
      <c r="X38" s="209">
        <f t="shared" si="14"/>
        <v>40.353982300884965</v>
      </c>
      <c r="Y38" s="209">
        <f t="shared" si="14"/>
        <v>40.353982300884965</v>
      </c>
      <c r="Z38" s="209">
        <f t="shared" si="14"/>
        <v>40.353982300884965</v>
      </c>
      <c r="AA38" s="209">
        <f t="shared" si="14"/>
        <v>40.353982300884965</v>
      </c>
    </row>
    <row r="41" spans="2:27">
      <c r="C41" s="107" t="s">
        <v>382</v>
      </c>
    </row>
    <row r="42" spans="2:27">
      <c r="C42" s="107"/>
    </row>
    <row r="43" spans="2:27">
      <c r="C43" s="60" t="s">
        <v>355</v>
      </c>
    </row>
    <row r="44" spans="2:27">
      <c r="C44" s="177" t="s">
        <v>109</v>
      </c>
      <c r="D44" s="178">
        <f ca="1">D2</f>
        <v>24752.493503387803</v>
      </c>
    </row>
    <row r="45" spans="2:27">
      <c r="C45" s="180" t="s">
        <v>30</v>
      </c>
      <c r="D45" s="181">
        <f>参数输入表!H83</f>
        <v>2317.7152865880998</v>
      </c>
    </row>
    <row r="46" spans="2:27">
      <c r="C46" s="180" t="s">
        <v>205</v>
      </c>
      <c r="D46" s="182">
        <f ca="1">D44-D45-参数输入表!H154</f>
        <v>22434.778216799703</v>
      </c>
      <c r="F46" s="107" t="s">
        <v>383</v>
      </c>
    </row>
    <row r="47" spans="2:27">
      <c r="C47" s="180" t="s">
        <v>358</v>
      </c>
      <c r="D47" s="181" t="s">
        <v>228</v>
      </c>
      <c r="F47" s="107" t="s">
        <v>384</v>
      </c>
    </row>
    <row r="48" spans="2:27">
      <c r="C48" s="180" t="s">
        <v>359</v>
      </c>
      <c r="D48" s="183">
        <f>参数输入表!H151</f>
        <v>15</v>
      </c>
    </row>
    <row r="49" spans="2:27">
      <c r="C49" s="184" t="s">
        <v>360</v>
      </c>
      <c r="D49" s="185">
        <f>参数输入表!H152</f>
        <v>0.05</v>
      </c>
    </row>
    <row r="51" spans="2:27">
      <c r="B51" s="60" t="s">
        <v>385</v>
      </c>
      <c r="D51" s="199"/>
      <c r="E51" s="179"/>
    </row>
    <row r="52" spans="2:27">
      <c r="B52" s="330" t="s">
        <v>14</v>
      </c>
      <c r="C52" s="330" t="s">
        <v>15</v>
      </c>
      <c r="D52" s="330" t="s">
        <v>308</v>
      </c>
      <c r="E52" s="330" t="s">
        <v>39</v>
      </c>
      <c r="F52" s="324" t="s">
        <v>43</v>
      </c>
      <c r="G52" s="324"/>
      <c r="H52" s="325" t="s">
        <v>54</v>
      </c>
      <c r="I52" s="325"/>
      <c r="J52" s="325"/>
      <c r="K52" s="325"/>
      <c r="L52" s="325"/>
      <c r="M52" s="325"/>
      <c r="N52" s="325"/>
      <c r="O52" s="325"/>
      <c r="P52" s="325"/>
      <c r="Q52" s="325"/>
      <c r="R52" s="325"/>
      <c r="S52" s="325"/>
      <c r="T52" s="325"/>
      <c r="U52" s="325"/>
      <c r="V52" s="325"/>
      <c r="W52" s="325"/>
      <c r="X52" s="325"/>
      <c r="Y52" s="325"/>
      <c r="Z52" s="325"/>
      <c r="AA52" s="325"/>
    </row>
    <row r="53" spans="2:27">
      <c r="B53" s="331"/>
      <c r="C53" s="331"/>
      <c r="D53" s="331"/>
      <c r="E53" s="331"/>
      <c r="F53" s="42">
        <v>1</v>
      </c>
      <c r="G53" s="42">
        <v>2</v>
      </c>
      <c r="H53" s="43">
        <v>1</v>
      </c>
      <c r="I53" s="43">
        <v>2</v>
      </c>
      <c r="J53" s="43">
        <v>3</v>
      </c>
      <c r="K53" s="43">
        <v>4</v>
      </c>
      <c r="L53" s="43">
        <v>5</v>
      </c>
      <c r="M53" s="43">
        <v>6</v>
      </c>
      <c r="N53" s="43">
        <v>7</v>
      </c>
      <c r="O53" s="43">
        <v>8</v>
      </c>
      <c r="P53" s="43">
        <v>9</v>
      </c>
      <c r="Q53" s="43">
        <v>10</v>
      </c>
      <c r="R53" s="43">
        <v>11</v>
      </c>
      <c r="S53" s="43">
        <v>12</v>
      </c>
      <c r="T53" s="43">
        <v>13</v>
      </c>
      <c r="U53" s="43">
        <v>14</v>
      </c>
      <c r="V53" s="43">
        <v>15</v>
      </c>
      <c r="W53" s="43">
        <v>16</v>
      </c>
      <c r="X53" s="43">
        <v>17</v>
      </c>
      <c r="Y53" s="43">
        <v>18</v>
      </c>
      <c r="Z53" s="43">
        <v>19</v>
      </c>
      <c r="AA53" s="43">
        <v>20</v>
      </c>
    </row>
    <row r="54" spans="2:27" ht="24" customHeight="1">
      <c r="B54" s="332">
        <v>1</v>
      </c>
      <c r="C54" s="72" t="s">
        <v>386</v>
      </c>
      <c r="D54" s="200"/>
      <c r="E54" s="73" t="s">
        <v>106</v>
      </c>
      <c r="F54" s="201">
        <f ca="1">D55</f>
        <v>21313.039305959719</v>
      </c>
      <c r="G54" s="202"/>
      <c r="H54" s="201">
        <f ca="1">F54-H55</f>
        <v>19892.170018895737</v>
      </c>
      <c r="I54" s="201">
        <f ca="1">H54-I55</f>
        <v>18471.300731831754</v>
      </c>
      <c r="J54" s="201">
        <f t="shared" ref="J54:AA54" ca="1" si="15">I54-J55</f>
        <v>17050.431444767772</v>
      </c>
      <c r="K54" s="201">
        <f t="shared" ca="1" si="15"/>
        <v>15629.562157703791</v>
      </c>
      <c r="L54" s="201">
        <f t="shared" ca="1" si="15"/>
        <v>14208.69287063981</v>
      </c>
      <c r="M54" s="201">
        <f t="shared" ca="1" si="15"/>
        <v>12787.82358357583</v>
      </c>
      <c r="N54" s="201">
        <f t="shared" ca="1" si="15"/>
        <v>11366.954296511849</v>
      </c>
      <c r="O54" s="201">
        <f t="shared" ca="1" si="15"/>
        <v>9946.0850094478683</v>
      </c>
      <c r="P54" s="201">
        <f t="shared" ca="1" si="15"/>
        <v>8525.2157223838876</v>
      </c>
      <c r="Q54" s="201">
        <f t="shared" ca="1" si="15"/>
        <v>7104.346435319907</v>
      </c>
      <c r="R54" s="201">
        <f t="shared" ca="1" si="15"/>
        <v>5683.4771482559263</v>
      </c>
      <c r="S54" s="201">
        <f t="shared" ca="1" si="15"/>
        <v>4262.6078611919456</v>
      </c>
      <c r="T54" s="201">
        <f t="shared" ca="1" si="15"/>
        <v>2841.7385741279645</v>
      </c>
      <c r="U54" s="201">
        <f t="shared" ca="1" si="15"/>
        <v>1420.8692870639834</v>
      </c>
      <c r="V54" s="201">
        <f t="shared" ca="1" si="15"/>
        <v>2.2737367544323206E-12</v>
      </c>
      <c r="W54" s="201">
        <f t="shared" ca="1" si="15"/>
        <v>2.2737367544323206E-12</v>
      </c>
      <c r="X54" s="201">
        <f t="shared" ca="1" si="15"/>
        <v>2.2737367544323206E-12</v>
      </c>
      <c r="Y54" s="201">
        <f t="shared" ca="1" si="15"/>
        <v>2.2737367544323206E-12</v>
      </c>
      <c r="Z54" s="201">
        <f t="shared" ca="1" si="15"/>
        <v>2.2737367544323206E-12</v>
      </c>
      <c r="AA54" s="201">
        <f t="shared" ca="1" si="15"/>
        <v>2.2737367544323206E-12</v>
      </c>
    </row>
    <row r="55" spans="2:27" ht="24" customHeight="1">
      <c r="B55" s="333"/>
      <c r="C55" s="72" t="s">
        <v>370</v>
      </c>
      <c r="D55" s="201">
        <f ca="1">SUM(F55:AA55)</f>
        <v>21313.039305959719</v>
      </c>
      <c r="E55" s="73" t="s">
        <v>106</v>
      </c>
      <c r="F55" s="201"/>
      <c r="G55" s="201"/>
      <c r="H55" s="203">
        <f ca="1">IF(H53&lt;=$D$48,$D$46*(1-$D$49)/($D$48-$H$53+1),0)</f>
        <v>1420.8692870639811</v>
      </c>
      <c r="I55" s="203">
        <f t="shared" ref="I55:N55" ca="1" si="16">IF(I53&lt;=$D$48,$D$46*(1-$D$49)/($D$48-$H$53+1),0)</f>
        <v>1420.8692870639811</v>
      </c>
      <c r="J55" s="203">
        <f t="shared" ca="1" si="16"/>
        <v>1420.8692870639811</v>
      </c>
      <c r="K55" s="203">
        <f t="shared" ca="1" si="16"/>
        <v>1420.8692870639811</v>
      </c>
      <c r="L55" s="203">
        <f t="shared" ca="1" si="16"/>
        <v>1420.8692870639811</v>
      </c>
      <c r="M55" s="203">
        <f t="shared" ca="1" si="16"/>
        <v>1420.8692870639811</v>
      </c>
      <c r="N55" s="203">
        <f t="shared" ca="1" si="16"/>
        <v>1420.8692870639811</v>
      </c>
      <c r="O55" s="203">
        <f t="shared" ref="O55:AA55" ca="1" si="17">IF(O53&lt;=$D$48,$D$46*(1-$D$49)/($D$48-$H$53+1),0)</f>
        <v>1420.8692870639811</v>
      </c>
      <c r="P55" s="203">
        <f t="shared" ca="1" si="17"/>
        <v>1420.8692870639811</v>
      </c>
      <c r="Q55" s="203">
        <f t="shared" ca="1" si="17"/>
        <v>1420.8692870639811</v>
      </c>
      <c r="R55" s="203">
        <f t="shared" ca="1" si="17"/>
        <v>1420.8692870639811</v>
      </c>
      <c r="S55" s="203">
        <f t="shared" ca="1" si="17"/>
        <v>1420.8692870639811</v>
      </c>
      <c r="T55" s="203">
        <f t="shared" ca="1" si="17"/>
        <v>1420.8692870639811</v>
      </c>
      <c r="U55" s="203">
        <f t="shared" ca="1" si="17"/>
        <v>1420.8692870639811</v>
      </c>
      <c r="V55" s="203">
        <f t="shared" ca="1" si="17"/>
        <v>1420.8692870639811</v>
      </c>
      <c r="W55" s="203">
        <f t="shared" si="17"/>
        <v>0</v>
      </c>
      <c r="X55" s="203">
        <f t="shared" si="17"/>
        <v>0</v>
      </c>
      <c r="Y55" s="203">
        <f t="shared" si="17"/>
        <v>0</v>
      </c>
      <c r="Z55" s="203">
        <f t="shared" si="17"/>
        <v>0</v>
      </c>
      <c r="AA55" s="203">
        <f t="shared" si="17"/>
        <v>0</v>
      </c>
    </row>
    <row r="56" spans="2:27" ht="24" customHeight="1">
      <c r="B56" s="332">
        <v>2</v>
      </c>
      <c r="C56" s="72" t="s">
        <v>371</v>
      </c>
      <c r="D56" s="201"/>
      <c r="E56" s="73" t="s">
        <v>106</v>
      </c>
      <c r="F56" s="201"/>
      <c r="G56" s="204"/>
      <c r="H56" s="201">
        <v>0</v>
      </c>
      <c r="I56" s="201">
        <f>H59</f>
        <v>0</v>
      </c>
      <c r="J56" s="201">
        <f t="shared" ref="J56" si="18">I59</f>
        <v>0</v>
      </c>
      <c r="K56" s="201">
        <f t="shared" ref="K56" si="19">J59</f>
        <v>0</v>
      </c>
      <c r="L56" s="201">
        <f t="shared" ref="L56" si="20">K59</f>
        <v>0</v>
      </c>
      <c r="M56" s="201">
        <f t="shared" ref="M56" si="21">L59</f>
        <v>0</v>
      </c>
      <c r="N56" s="201">
        <f t="shared" ref="N56" si="22">M59</f>
        <v>0</v>
      </c>
      <c r="O56" s="201">
        <f t="shared" ref="O56" si="23">N59</f>
        <v>0</v>
      </c>
      <c r="P56" s="201">
        <f t="shared" ref="P56" si="24">O59</f>
        <v>0</v>
      </c>
      <c r="Q56" s="201">
        <f t="shared" ref="Q56" si="25">P59</f>
        <v>0</v>
      </c>
      <c r="R56" s="201">
        <f t="shared" ref="R56" si="26">Q59</f>
        <v>0</v>
      </c>
      <c r="S56" s="201">
        <f t="shared" ref="S56" si="27">R59</f>
        <v>0</v>
      </c>
      <c r="T56" s="201">
        <f t="shared" ref="T56" si="28">S59</f>
        <v>0</v>
      </c>
      <c r="U56" s="201">
        <f t="shared" ref="U56" si="29">T59</f>
        <v>0</v>
      </c>
      <c r="V56" s="201">
        <f t="shared" ref="V56" si="30">U59</f>
        <v>0</v>
      </c>
      <c r="W56" s="201">
        <f t="shared" ref="W56" si="31">V59</f>
        <v>0</v>
      </c>
      <c r="X56" s="201">
        <f t="shared" ref="X56" si="32">W59</f>
        <v>0</v>
      </c>
      <c r="Y56" s="201">
        <f t="shared" ref="Y56" si="33">X59</f>
        <v>0</v>
      </c>
      <c r="Z56" s="201">
        <f t="shared" ref="Z56" si="34">Y59</f>
        <v>0</v>
      </c>
      <c r="AA56" s="201">
        <f t="shared" ref="AA56" si="35">Z59</f>
        <v>0</v>
      </c>
    </row>
    <row r="57" spans="2:27" ht="24" customHeight="1">
      <c r="B57" s="334"/>
      <c r="C57" s="72" t="s">
        <v>372</v>
      </c>
      <c r="D57" s="201"/>
      <c r="E57" s="73"/>
      <c r="F57" s="201"/>
      <c r="G57" s="204"/>
      <c r="H57" s="201">
        <f>H29</f>
        <v>0</v>
      </c>
      <c r="I57" s="201">
        <f t="shared" ref="I57:AA57" si="36">I29</f>
        <v>0</v>
      </c>
      <c r="J57" s="201">
        <f t="shared" si="36"/>
        <v>0</v>
      </c>
      <c r="K57" s="201">
        <f t="shared" si="36"/>
        <v>0</v>
      </c>
      <c r="L57" s="201">
        <f t="shared" si="36"/>
        <v>0</v>
      </c>
      <c r="M57" s="201">
        <f t="shared" si="36"/>
        <v>0</v>
      </c>
      <c r="N57" s="201">
        <f t="shared" si="36"/>
        <v>0</v>
      </c>
      <c r="O57" s="201">
        <f t="shared" si="36"/>
        <v>0</v>
      </c>
      <c r="P57" s="201">
        <f t="shared" si="36"/>
        <v>0</v>
      </c>
      <c r="Q57" s="201">
        <f t="shared" si="36"/>
        <v>0</v>
      </c>
      <c r="R57" s="201">
        <f t="shared" si="36"/>
        <v>0</v>
      </c>
      <c r="S57" s="201">
        <f t="shared" si="36"/>
        <v>0</v>
      </c>
      <c r="T57" s="201">
        <f t="shared" si="36"/>
        <v>0</v>
      </c>
      <c r="U57" s="201">
        <f t="shared" si="36"/>
        <v>0</v>
      </c>
      <c r="V57" s="201">
        <f t="shared" si="36"/>
        <v>0</v>
      </c>
      <c r="W57" s="201">
        <f t="shared" si="36"/>
        <v>0</v>
      </c>
      <c r="X57" s="201">
        <f t="shared" si="36"/>
        <v>0</v>
      </c>
      <c r="Y57" s="201">
        <f t="shared" si="36"/>
        <v>0</v>
      </c>
      <c r="Z57" s="201">
        <f t="shared" si="36"/>
        <v>0</v>
      </c>
      <c r="AA57" s="201">
        <f t="shared" si="36"/>
        <v>0</v>
      </c>
    </row>
    <row r="58" spans="2:27" ht="24" customHeight="1">
      <c r="B58" s="334"/>
      <c r="C58" s="72" t="s">
        <v>373</v>
      </c>
      <c r="D58" s="201">
        <f>SUM(F58:AA58)</f>
        <v>0</v>
      </c>
      <c r="E58" s="73" t="s">
        <v>106</v>
      </c>
      <c r="F58" s="201"/>
      <c r="G58" s="204"/>
      <c r="H58" s="201">
        <f>H57/$D$14</f>
        <v>0</v>
      </c>
      <c r="I58" s="201">
        <f>H58</f>
        <v>0</v>
      </c>
      <c r="J58" s="201">
        <f t="shared" ref="J58" si="37">I58</f>
        <v>0</v>
      </c>
      <c r="K58" s="201">
        <f t="shared" ref="K58" si="38">J58</f>
        <v>0</v>
      </c>
      <c r="L58" s="201">
        <f t="shared" ref="L58" si="39">K58</f>
        <v>0</v>
      </c>
      <c r="M58" s="201">
        <f>M57/$D$14</f>
        <v>0</v>
      </c>
      <c r="N58" s="201">
        <f t="shared" ref="N58" si="40">M58</f>
        <v>0</v>
      </c>
      <c r="O58" s="201">
        <f t="shared" ref="O58" si="41">N58</f>
        <v>0</v>
      </c>
      <c r="P58" s="201">
        <f t="shared" ref="P58" si="42">O58</f>
        <v>0</v>
      </c>
      <c r="Q58" s="201">
        <f t="shared" ref="Q58" si="43">P58</f>
        <v>0</v>
      </c>
      <c r="R58" s="201">
        <f>R57/$D$14</f>
        <v>0</v>
      </c>
      <c r="S58" s="201">
        <f t="shared" ref="S58" si="44">R58</f>
        <v>0</v>
      </c>
      <c r="T58" s="201">
        <f t="shared" ref="T58" si="45">S58</f>
        <v>0</v>
      </c>
      <c r="U58" s="201">
        <f t="shared" ref="U58" si="46">T58</f>
        <v>0</v>
      </c>
      <c r="V58" s="201">
        <f t="shared" ref="V58" si="47">U58</f>
        <v>0</v>
      </c>
      <c r="W58" s="201">
        <f>W57/$D$14</f>
        <v>0</v>
      </c>
      <c r="X58" s="201">
        <f t="shared" ref="X58" si="48">W58</f>
        <v>0</v>
      </c>
      <c r="Y58" s="201">
        <f t="shared" ref="Y58" si="49">X58</f>
        <v>0</v>
      </c>
      <c r="Z58" s="201">
        <f t="shared" ref="Z58" si="50">Y58</f>
        <v>0</v>
      </c>
      <c r="AA58" s="201">
        <f t="shared" ref="AA58" si="51">Z58</f>
        <v>0</v>
      </c>
    </row>
    <row r="59" spans="2:27" ht="24" customHeight="1">
      <c r="B59" s="333"/>
      <c r="C59" s="72" t="s">
        <v>374</v>
      </c>
      <c r="D59" s="201"/>
      <c r="E59" s="73"/>
      <c r="F59" s="201"/>
      <c r="G59" s="204"/>
      <c r="H59" s="201">
        <f>H56+H57-H58</f>
        <v>0</v>
      </c>
      <c r="I59" s="201">
        <f t="shared" ref="I59:AA59" si="52">I56+I57-I58</f>
        <v>0</v>
      </c>
      <c r="J59" s="201">
        <f t="shared" si="52"/>
        <v>0</v>
      </c>
      <c r="K59" s="201">
        <f t="shared" si="52"/>
        <v>0</v>
      </c>
      <c r="L59" s="201">
        <f t="shared" si="52"/>
        <v>0</v>
      </c>
      <c r="M59" s="201">
        <f t="shared" si="52"/>
        <v>0</v>
      </c>
      <c r="N59" s="201">
        <f t="shared" si="52"/>
        <v>0</v>
      </c>
      <c r="O59" s="201">
        <f t="shared" si="52"/>
        <v>0</v>
      </c>
      <c r="P59" s="201">
        <f t="shared" si="52"/>
        <v>0</v>
      </c>
      <c r="Q59" s="201">
        <f t="shared" si="52"/>
        <v>0</v>
      </c>
      <c r="R59" s="201">
        <f t="shared" si="52"/>
        <v>0</v>
      </c>
      <c r="S59" s="201">
        <f t="shared" si="52"/>
        <v>0</v>
      </c>
      <c r="T59" s="201">
        <f t="shared" si="52"/>
        <v>0</v>
      </c>
      <c r="U59" s="201">
        <f t="shared" si="52"/>
        <v>0</v>
      </c>
      <c r="V59" s="201">
        <f t="shared" si="52"/>
        <v>0</v>
      </c>
      <c r="W59" s="201">
        <f t="shared" si="52"/>
        <v>0</v>
      </c>
      <c r="X59" s="201">
        <f t="shared" si="52"/>
        <v>0</v>
      </c>
      <c r="Y59" s="201">
        <f t="shared" si="52"/>
        <v>0</v>
      </c>
      <c r="Z59" s="201">
        <f t="shared" si="52"/>
        <v>0</v>
      </c>
      <c r="AA59" s="201">
        <f t="shared" si="52"/>
        <v>0</v>
      </c>
    </row>
    <row r="60" spans="2:27" ht="24" customHeight="1">
      <c r="B60" s="332">
        <v>3</v>
      </c>
      <c r="C60" s="72" t="s">
        <v>375</v>
      </c>
      <c r="D60" s="72"/>
      <c r="E60" s="73" t="s">
        <v>106</v>
      </c>
      <c r="F60" s="201">
        <f>参数输入表!$H$154*参数输入表!$H$7</f>
        <v>0</v>
      </c>
      <c r="G60" s="201">
        <f>参数输入表!$H$154*参数输入表!$H$7+参数输入表!$H$154*参数输入表!$H$8</f>
        <v>0</v>
      </c>
      <c r="H60" s="205">
        <f>G60-H61</f>
        <v>0</v>
      </c>
      <c r="I60" s="205">
        <f t="shared" ref="I60" si="53">H60-I61</f>
        <v>0</v>
      </c>
      <c r="J60" s="205">
        <f t="shared" ref="J60" si="54">I60-J61</f>
        <v>0</v>
      </c>
      <c r="K60" s="205">
        <f t="shared" ref="K60" si="55">J60-K61</f>
        <v>0</v>
      </c>
      <c r="L60" s="205">
        <f t="shared" ref="L60" si="56">K60-L61</f>
        <v>0</v>
      </c>
      <c r="M60" s="205">
        <f t="shared" ref="M60" si="57">L60-M61</f>
        <v>0</v>
      </c>
      <c r="N60" s="205">
        <f t="shared" ref="N60" si="58">M60-N61</f>
        <v>0</v>
      </c>
      <c r="O60" s="205">
        <f t="shared" ref="O60" si="59">N60-O61</f>
        <v>0</v>
      </c>
      <c r="P60" s="205">
        <f t="shared" ref="P60" si="60">O60-P61</f>
        <v>0</v>
      </c>
      <c r="Q60" s="205">
        <f t="shared" ref="Q60" si="61">P60-Q61</f>
        <v>0</v>
      </c>
      <c r="R60" s="205">
        <f t="shared" ref="R60" si="62">Q60-R61</f>
        <v>0</v>
      </c>
      <c r="S60" s="205">
        <f t="shared" ref="S60" si="63">R60-S61</f>
        <v>0</v>
      </c>
      <c r="T60" s="205">
        <f t="shared" ref="T60" si="64">S60-T61</f>
        <v>0</v>
      </c>
      <c r="U60" s="205">
        <f t="shared" ref="U60" si="65">T60-U61</f>
        <v>0</v>
      </c>
      <c r="V60" s="205">
        <f t="shared" ref="V60" si="66">U60-V61</f>
        <v>0</v>
      </c>
      <c r="W60" s="205">
        <f t="shared" ref="W60" si="67">V60-W61</f>
        <v>0</v>
      </c>
      <c r="X60" s="205">
        <f t="shared" ref="X60" si="68">W60-X61</f>
        <v>0</v>
      </c>
      <c r="Y60" s="205">
        <f t="shared" ref="Y60" si="69">X60-Y61</f>
        <v>0</v>
      </c>
      <c r="Z60" s="205">
        <f t="shared" ref="Z60" si="70">Y60-Z61</f>
        <v>0</v>
      </c>
      <c r="AA60" s="205">
        <f t="shared" ref="AA60" si="71">Z60-AA61</f>
        <v>0</v>
      </c>
    </row>
    <row r="61" spans="2:27" ht="24" customHeight="1">
      <c r="B61" s="333"/>
      <c r="C61" s="72" t="s">
        <v>376</v>
      </c>
      <c r="D61" s="201">
        <f>SUM(F61:AA61)</f>
        <v>0</v>
      </c>
      <c r="E61" s="73" t="s">
        <v>106</v>
      </c>
      <c r="F61" s="201"/>
      <c r="G61" s="201"/>
      <c r="H61" s="201">
        <f>IF(H53&lt;=$D$17,G60*(1-$D$18)/($D$17-H25+1),0)</f>
        <v>0</v>
      </c>
      <c r="I61" s="201">
        <f t="shared" ref="I61:AA61" si="72">IF(I53&lt;=$D$17,H60*(1-$D$18)/($D$17-I25+1),0)</f>
        <v>0</v>
      </c>
      <c r="J61" s="201">
        <f t="shared" si="72"/>
        <v>0</v>
      </c>
      <c r="K61" s="201">
        <f t="shared" si="72"/>
        <v>0</v>
      </c>
      <c r="L61" s="201">
        <f t="shared" si="72"/>
        <v>0</v>
      </c>
      <c r="M61" s="201">
        <f t="shared" si="72"/>
        <v>0</v>
      </c>
      <c r="N61" s="201">
        <f t="shared" si="72"/>
        <v>0</v>
      </c>
      <c r="O61" s="201">
        <f t="shared" si="72"/>
        <v>0</v>
      </c>
      <c r="P61" s="201">
        <f t="shared" si="72"/>
        <v>0</v>
      </c>
      <c r="Q61" s="201">
        <f t="shared" si="72"/>
        <v>0</v>
      </c>
      <c r="R61" s="201">
        <f t="shared" si="72"/>
        <v>0</v>
      </c>
      <c r="S61" s="201">
        <f t="shared" si="72"/>
        <v>0</v>
      </c>
      <c r="T61" s="201">
        <f t="shared" si="72"/>
        <v>0</v>
      </c>
      <c r="U61" s="201">
        <f t="shared" si="72"/>
        <v>0</v>
      </c>
      <c r="V61" s="201">
        <f t="shared" si="72"/>
        <v>0</v>
      </c>
      <c r="W61" s="201">
        <f t="shared" si="72"/>
        <v>0</v>
      </c>
      <c r="X61" s="201">
        <f t="shared" si="72"/>
        <v>0</v>
      </c>
      <c r="Y61" s="201">
        <f t="shared" si="72"/>
        <v>0</v>
      </c>
      <c r="Z61" s="201">
        <f t="shared" si="72"/>
        <v>0</v>
      </c>
      <c r="AA61" s="201">
        <f t="shared" si="72"/>
        <v>0</v>
      </c>
    </row>
    <row r="62" spans="2:27" ht="24" customHeight="1">
      <c r="B62" s="335">
        <v>4</v>
      </c>
      <c r="C62" s="72" t="s">
        <v>377</v>
      </c>
      <c r="D62" s="201"/>
      <c r="E62" s="73" t="s">
        <v>106</v>
      </c>
      <c r="F62" s="201"/>
      <c r="G62" s="201"/>
      <c r="H62" s="201">
        <f>H34</f>
        <v>0</v>
      </c>
      <c r="I62" s="201">
        <f t="shared" ref="I62:AA65" si="73">I34</f>
        <v>0</v>
      </c>
      <c r="J62" s="201">
        <f t="shared" si="73"/>
        <v>0</v>
      </c>
      <c r="K62" s="201">
        <f t="shared" si="73"/>
        <v>0</v>
      </c>
      <c r="L62" s="201">
        <f t="shared" si="73"/>
        <v>0</v>
      </c>
      <c r="M62" s="201">
        <f t="shared" si="73"/>
        <v>0</v>
      </c>
      <c r="N62" s="201">
        <f t="shared" si="73"/>
        <v>0</v>
      </c>
      <c r="O62" s="201">
        <f t="shared" si="73"/>
        <v>0</v>
      </c>
      <c r="P62" s="201">
        <f t="shared" si="73"/>
        <v>0</v>
      </c>
      <c r="Q62" s="201">
        <f t="shared" si="73"/>
        <v>0</v>
      </c>
      <c r="R62" s="201">
        <f t="shared" si="73"/>
        <v>0</v>
      </c>
      <c r="S62" s="201">
        <f t="shared" si="73"/>
        <v>384.42477876106204</v>
      </c>
      <c r="T62" s="201">
        <f t="shared" si="73"/>
        <v>344.07079646017706</v>
      </c>
      <c r="U62" s="201">
        <f t="shared" si="73"/>
        <v>303.71681415929208</v>
      </c>
      <c r="V62" s="201">
        <f t="shared" si="73"/>
        <v>263.36283185840711</v>
      </c>
      <c r="W62" s="201">
        <f t="shared" si="73"/>
        <v>223.00884955752213</v>
      </c>
      <c r="X62" s="201">
        <f t="shared" si="73"/>
        <v>182.65486725663715</v>
      </c>
      <c r="Y62" s="201">
        <f t="shared" si="73"/>
        <v>142.30088495575217</v>
      </c>
      <c r="Z62" s="201">
        <f t="shared" si="73"/>
        <v>101.9469026548672</v>
      </c>
      <c r="AA62" s="201">
        <f t="shared" si="73"/>
        <v>61.592920353982237</v>
      </c>
    </row>
    <row r="63" spans="2:27" ht="24" customHeight="1">
      <c r="B63" s="335"/>
      <c r="C63" s="72" t="s">
        <v>378</v>
      </c>
      <c r="D63" s="201"/>
      <c r="E63" s="73"/>
      <c r="F63" s="201"/>
      <c r="G63" s="201"/>
      <c r="H63" s="201">
        <f t="shared" ref="H63:W63" si="74">H35</f>
        <v>0</v>
      </c>
      <c r="I63" s="201">
        <f t="shared" si="74"/>
        <v>0</v>
      </c>
      <c r="J63" s="201">
        <f t="shared" si="74"/>
        <v>0</v>
      </c>
      <c r="K63" s="201">
        <f t="shared" si="74"/>
        <v>0</v>
      </c>
      <c r="L63" s="201">
        <f t="shared" si="74"/>
        <v>0</v>
      </c>
      <c r="M63" s="201">
        <f t="shared" si="74"/>
        <v>0</v>
      </c>
      <c r="N63" s="201">
        <f t="shared" si="74"/>
        <v>0</v>
      </c>
      <c r="O63" s="201">
        <f t="shared" si="74"/>
        <v>0</v>
      </c>
      <c r="P63" s="201">
        <f t="shared" si="74"/>
        <v>0</v>
      </c>
      <c r="Q63" s="202">
        <f t="shared" si="74"/>
        <v>0</v>
      </c>
      <c r="R63" s="201">
        <f t="shared" si="74"/>
        <v>424.77876106194702</v>
      </c>
      <c r="S63" s="201">
        <f t="shared" si="74"/>
        <v>0</v>
      </c>
      <c r="T63" s="201">
        <f t="shared" si="74"/>
        <v>0</v>
      </c>
      <c r="U63" s="201">
        <f t="shared" si="74"/>
        <v>0</v>
      </c>
      <c r="V63" s="201">
        <f t="shared" si="74"/>
        <v>0</v>
      </c>
      <c r="W63" s="201">
        <f t="shared" si="74"/>
        <v>0</v>
      </c>
      <c r="X63" s="201">
        <f t="shared" si="73"/>
        <v>0</v>
      </c>
      <c r="Y63" s="201">
        <f t="shared" si="73"/>
        <v>0</v>
      </c>
      <c r="Z63" s="201">
        <f t="shared" si="73"/>
        <v>0</v>
      </c>
      <c r="AA63" s="201">
        <f t="shared" si="73"/>
        <v>0</v>
      </c>
    </row>
    <row r="64" spans="2:27" ht="24" customHeight="1">
      <c r="B64" s="335"/>
      <c r="C64" s="72" t="s">
        <v>379</v>
      </c>
      <c r="D64" s="201">
        <f>SUM(F64:AA64)</f>
        <v>403.53982300884974</v>
      </c>
      <c r="E64" s="73" t="s">
        <v>106</v>
      </c>
      <c r="F64" s="201"/>
      <c r="G64" s="201"/>
      <c r="H64" s="201">
        <f>H36</f>
        <v>0</v>
      </c>
      <c r="I64" s="201">
        <f t="shared" si="73"/>
        <v>0</v>
      </c>
      <c r="J64" s="201">
        <f t="shared" si="73"/>
        <v>0</v>
      </c>
      <c r="K64" s="201">
        <f t="shared" si="73"/>
        <v>0</v>
      </c>
      <c r="L64" s="201">
        <f t="shared" si="73"/>
        <v>0</v>
      </c>
      <c r="M64" s="201">
        <f t="shared" si="73"/>
        <v>0</v>
      </c>
      <c r="N64" s="201">
        <f t="shared" si="73"/>
        <v>0</v>
      </c>
      <c r="O64" s="201">
        <f t="shared" si="73"/>
        <v>0</v>
      </c>
      <c r="P64" s="201">
        <f t="shared" si="73"/>
        <v>0</v>
      </c>
      <c r="Q64" s="201">
        <f t="shared" si="73"/>
        <v>0</v>
      </c>
      <c r="R64" s="201">
        <f t="shared" si="73"/>
        <v>40.353982300884965</v>
      </c>
      <c r="S64" s="201">
        <f t="shared" si="73"/>
        <v>40.353982300884965</v>
      </c>
      <c r="T64" s="201">
        <f t="shared" si="73"/>
        <v>40.353982300884965</v>
      </c>
      <c r="U64" s="201">
        <f t="shared" si="73"/>
        <v>40.353982300884965</v>
      </c>
      <c r="V64" s="201">
        <f t="shared" si="73"/>
        <v>40.353982300884965</v>
      </c>
      <c r="W64" s="201">
        <f t="shared" si="73"/>
        <v>40.353982300884965</v>
      </c>
      <c r="X64" s="201">
        <f t="shared" si="73"/>
        <v>40.353982300884965</v>
      </c>
      <c r="Y64" s="201">
        <f t="shared" si="73"/>
        <v>40.353982300884965</v>
      </c>
      <c r="Z64" s="201">
        <f t="shared" si="73"/>
        <v>40.353982300884965</v>
      </c>
      <c r="AA64" s="201">
        <f t="shared" si="73"/>
        <v>40.353982300884965</v>
      </c>
    </row>
    <row r="65" spans="2:27" ht="24" customHeight="1">
      <c r="B65" s="335"/>
      <c r="C65" s="72" t="s">
        <v>380</v>
      </c>
      <c r="D65" s="201"/>
      <c r="E65" s="73"/>
      <c r="F65" s="201"/>
      <c r="G65" s="201"/>
      <c r="H65" s="201">
        <f>H37</f>
        <v>0</v>
      </c>
      <c r="I65" s="201">
        <f t="shared" si="73"/>
        <v>0</v>
      </c>
      <c r="J65" s="201">
        <f t="shared" si="73"/>
        <v>0</v>
      </c>
      <c r="K65" s="201">
        <f t="shared" si="73"/>
        <v>0</v>
      </c>
      <c r="L65" s="201">
        <f t="shared" si="73"/>
        <v>0</v>
      </c>
      <c r="M65" s="201">
        <f t="shared" si="73"/>
        <v>0</v>
      </c>
      <c r="N65" s="201">
        <f t="shared" si="73"/>
        <v>0</v>
      </c>
      <c r="O65" s="201">
        <f t="shared" si="73"/>
        <v>0</v>
      </c>
      <c r="P65" s="201">
        <f t="shared" si="73"/>
        <v>0</v>
      </c>
      <c r="Q65" s="201">
        <f t="shared" si="73"/>
        <v>0</v>
      </c>
      <c r="R65" s="201">
        <f t="shared" si="73"/>
        <v>384.42477876106204</v>
      </c>
      <c r="S65" s="201">
        <f t="shared" si="73"/>
        <v>344.07079646017706</v>
      </c>
      <c r="T65" s="201">
        <f t="shared" si="73"/>
        <v>303.71681415929208</v>
      </c>
      <c r="U65" s="201">
        <f t="shared" si="73"/>
        <v>263.36283185840711</v>
      </c>
      <c r="V65" s="201">
        <f t="shared" si="73"/>
        <v>223.00884955752213</v>
      </c>
      <c r="W65" s="201">
        <f t="shared" si="73"/>
        <v>182.65486725663715</v>
      </c>
      <c r="X65" s="201">
        <f t="shared" si="73"/>
        <v>142.30088495575217</v>
      </c>
      <c r="Y65" s="201">
        <f t="shared" si="73"/>
        <v>101.9469026548672</v>
      </c>
      <c r="Z65" s="201">
        <f t="shared" si="73"/>
        <v>61.592920353982237</v>
      </c>
      <c r="AA65" s="201">
        <f t="shared" si="73"/>
        <v>21.238938053097272</v>
      </c>
    </row>
    <row r="66" spans="2:27" ht="24" customHeight="1">
      <c r="B66" s="206">
        <v>5</v>
      </c>
      <c r="C66" s="207" t="s">
        <v>381</v>
      </c>
      <c r="D66" s="208">
        <f ca="1">SUM(F66:AA66)</f>
        <v>21716.579128968555</v>
      </c>
      <c r="E66" s="73" t="s">
        <v>106</v>
      </c>
      <c r="F66" s="209">
        <f>F55+F58+F61+F64</f>
        <v>0</v>
      </c>
      <c r="G66" s="209">
        <f t="shared" ref="G66:AA66" si="75">G55+G58+G61+G64</f>
        <v>0</v>
      </c>
      <c r="H66" s="209">
        <f t="shared" ca="1" si="75"/>
        <v>1420.8692870639811</v>
      </c>
      <c r="I66" s="209">
        <f t="shared" ca="1" si="75"/>
        <v>1420.8692870639811</v>
      </c>
      <c r="J66" s="209">
        <f t="shared" ca="1" si="75"/>
        <v>1420.8692870639811</v>
      </c>
      <c r="K66" s="209">
        <f t="shared" ca="1" si="75"/>
        <v>1420.8692870639811</v>
      </c>
      <c r="L66" s="209">
        <f t="shared" ca="1" si="75"/>
        <v>1420.8692870639811</v>
      </c>
      <c r="M66" s="209">
        <f t="shared" ca="1" si="75"/>
        <v>1420.8692870639811</v>
      </c>
      <c r="N66" s="209">
        <f t="shared" ca="1" si="75"/>
        <v>1420.8692870639811</v>
      </c>
      <c r="O66" s="209">
        <f t="shared" ca="1" si="75"/>
        <v>1420.8692870639811</v>
      </c>
      <c r="P66" s="209">
        <f t="shared" ca="1" si="75"/>
        <v>1420.8692870639811</v>
      </c>
      <c r="Q66" s="209">
        <f t="shared" ca="1" si="75"/>
        <v>1420.8692870639811</v>
      </c>
      <c r="R66" s="209">
        <f t="shared" ca="1" si="75"/>
        <v>1461.2232693648662</v>
      </c>
      <c r="S66" s="209">
        <f t="shared" ca="1" si="75"/>
        <v>1461.2232693648662</v>
      </c>
      <c r="T66" s="209">
        <f t="shared" ca="1" si="75"/>
        <v>1461.2232693648662</v>
      </c>
      <c r="U66" s="209">
        <f t="shared" ca="1" si="75"/>
        <v>1461.2232693648662</v>
      </c>
      <c r="V66" s="209">
        <f t="shared" ca="1" si="75"/>
        <v>1461.2232693648662</v>
      </c>
      <c r="W66" s="209">
        <f t="shared" si="75"/>
        <v>40.353982300884965</v>
      </c>
      <c r="X66" s="209">
        <f t="shared" si="75"/>
        <v>40.353982300884965</v>
      </c>
      <c r="Y66" s="209">
        <f t="shared" si="75"/>
        <v>40.353982300884965</v>
      </c>
      <c r="Z66" s="209">
        <f t="shared" si="75"/>
        <v>40.353982300884965</v>
      </c>
      <c r="AA66" s="209">
        <f t="shared" si="75"/>
        <v>40.353982300884965</v>
      </c>
    </row>
  </sheetData>
  <mergeCells count="22">
    <mergeCell ref="F17:G17"/>
    <mergeCell ref="H17:AA17"/>
    <mergeCell ref="F24:G24"/>
    <mergeCell ref="H24:AA24"/>
    <mergeCell ref="F52:G52"/>
    <mergeCell ref="H52:AA52"/>
    <mergeCell ref="B24:B25"/>
    <mergeCell ref="B26:B27"/>
    <mergeCell ref="B28:B31"/>
    <mergeCell ref="B32:B33"/>
    <mergeCell ref="B34:B37"/>
    <mergeCell ref="B52:B53"/>
    <mergeCell ref="B54:B55"/>
    <mergeCell ref="B56:B59"/>
    <mergeCell ref="B60:B61"/>
    <mergeCell ref="B62:B65"/>
    <mergeCell ref="C24:C25"/>
    <mergeCell ref="C52:C53"/>
    <mergeCell ref="D24:D25"/>
    <mergeCell ref="D52:D53"/>
    <mergeCell ref="E24:E25"/>
    <mergeCell ref="E52:E53"/>
  </mergeCells>
  <phoneticPr fontId="6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68"/>
  <sheetViews>
    <sheetView showGridLines="0" zoomScale="50" zoomScaleNormal="50" workbookViewId="0">
      <pane xSplit="4" ySplit="4" topLeftCell="E35" activePane="bottomRight" state="frozen"/>
      <selection pane="topRight"/>
      <selection pane="bottomLeft"/>
      <selection pane="bottomRight" activeCell="A65" sqref="A65:XFD68"/>
    </sheetView>
  </sheetViews>
  <sheetFormatPr defaultColWidth="8.81640625" defaultRowHeight="16.5"/>
  <cols>
    <col min="1" max="1" width="4.453125" style="59" customWidth="1"/>
    <col min="2" max="2" width="8.81640625" style="59"/>
    <col min="3" max="3" width="46.81640625" style="59" customWidth="1"/>
    <col min="4" max="4" width="14.6328125" style="59" customWidth="1"/>
    <col min="5" max="7" width="8.81640625" style="59"/>
    <col min="8" max="8" width="12.54296875" style="59" customWidth="1"/>
    <col min="9" max="12" width="13.54296875" style="59" customWidth="1"/>
    <col min="13" max="13" width="13.54296875" style="107" customWidth="1"/>
    <col min="14" max="25" width="13.54296875" style="59" customWidth="1"/>
    <col min="26" max="27" width="12" style="59" customWidth="1"/>
    <col min="28" max="16384" width="8.81640625" style="59"/>
  </cols>
  <sheetData>
    <row r="1" spans="2:27" ht="9" customHeight="1"/>
    <row r="2" spans="2:27" ht="18.5" customHeight="1">
      <c r="B2" s="60" t="s">
        <v>387</v>
      </c>
    </row>
    <row r="3" spans="2:27">
      <c r="B3" s="337" t="s">
        <v>14</v>
      </c>
      <c r="C3" s="337" t="s">
        <v>320</v>
      </c>
      <c r="D3" s="337" t="s">
        <v>308</v>
      </c>
      <c r="E3" s="337" t="s">
        <v>39</v>
      </c>
      <c r="F3" s="324" t="s">
        <v>43</v>
      </c>
      <c r="G3" s="324"/>
      <c r="H3" s="325" t="s">
        <v>54</v>
      </c>
      <c r="I3" s="325"/>
      <c r="J3" s="325"/>
      <c r="K3" s="325"/>
      <c r="L3" s="325"/>
      <c r="M3" s="336"/>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154">
        <v>6</v>
      </c>
      <c r="N4" s="43">
        <v>7</v>
      </c>
      <c r="O4" s="43">
        <v>8</v>
      </c>
      <c r="P4" s="43">
        <v>9</v>
      </c>
      <c r="Q4" s="43">
        <v>10</v>
      </c>
      <c r="R4" s="43">
        <v>11</v>
      </c>
      <c r="S4" s="43">
        <v>12</v>
      </c>
      <c r="T4" s="43">
        <v>13</v>
      </c>
      <c r="U4" s="43">
        <v>14</v>
      </c>
      <c r="V4" s="43">
        <v>15</v>
      </c>
      <c r="W4" s="43">
        <v>16</v>
      </c>
      <c r="X4" s="43">
        <v>17</v>
      </c>
      <c r="Y4" s="43">
        <v>18</v>
      </c>
      <c r="Z4" s="43">
        <v>19</v>
      </c>
      <c r="AA4" s="43">
        <v>20</v>
      </c>
    </row>
    <row r="5" spans="2:27">
      <c r="B5" s="80" t="s">
        <v>341</v>
      </c>
      <c r="C5" s="81" t="s">
        <v>388</v>
      </c>
      <c r="D5" s="46">
        <f ca="1">SUM(F5:AA5)</f>
        <v>40115.553721342068</v>
      </c>
      <c r="E5" s="87" t="s">
        <v>106</v>
      </c>
      <c r="F5" s="109"/>
      <c r="G5" s="109"/>
      <c r="H5" s="109">
        <f ca="1">H6+H15+H16+H19+H20</f>
        <v>2602.9062690706078</v>
      </c>
      <c r="I5" s="109">
        <f t="shared" ref="I5:AA5" ca="1" si="0">I6+I15+I16+I19+I20</f>
        <v>2555.3814815441033</v>
      </c>
      <c r="J5" s="109">
        <f t="shared" ca="1" si="0"/>
        <v>2507.8566940175988</v>
      </c>
      <c r="K5" s="109">
        <f t="shared" ca="1" si="0"/>
        <v>2460.3319064910943</v>
      </c>
      <c r="L5" s="109">
        <f t="shared" ca="1" si="0"/>
        <v>2412.8071189645898</v>
      </c>
      <c r="M5" s="155">
        <f t="shared" ca="1" si="0"/>
        <v>2475.7055550051455</v>
      </c>
      <c r="N5" s="109">
        <f t="shared" ca="1" si="0"/>
        <v>2428.1807674786405</v>
      </c>
      <c r="O5" s="109">
        <f t="shared" ca="1" si="0"/>
        <v>2380.655979952136</v>
      </c>
      <c r="P5" s="109">
        <f t="shared" ca="1" si="0"/>
        <v>2333.1311924256315</v>
      </c>
      <c r="Q5" s="109">
        <f t="shared" ca="1" si="0"/>
        <v>2285.606404899127</v>
      </c>
      <c r="R5" s="109">
        <f t="shared" ca="1" si="0"/>
        <v>2388.8588232405664</v>
      </c>
      <c r="S5" s="109">
        <f t="shared" ca="1" si="0"/>
        <v>2341.3340357140619</v>
      </c>
      <c r="T5" s="109">
        <f t="shared" ca="1" si="0"/>
        <v>2293.8092481875569</v>
      </c>
      <c r="U5" s="109">
        <f t="shared" ca="1" si="0"/>
        <v>2246.2844606610524</v>
      </c>
      <c r="V5" s="109">
        <f t="shared" ca="1" si="0"/>
        <v>2198.7596731345479</v>
      </c>
      <c r="W5" s="109">
        <f t="shared" ca="1" si="0"/>
        <v>840.78882211112216</v>
      </c>
      <c r="X5" s="109">
        <f t="shared" ca="1" si="0"/>
        <v>840.78882211112216</v>
      </c>
      <c r="Y5" s="109">
        <f t="shared" ca="1" si="0"/>
        <v>840.78882211112216</v>
      </c>
      <c r="Z5" s="109">
        <f t="shared" ca="1" si="0"/>
        <v>840.78882211112216</v>
      </c>
      <c r="AA5" s="109">
        <f t="shared" ca="1" si="0"/>
        <v>840.78882211112216</v>
      </c>
    </row>
    <row r="6" spans="2:27">
      <c r="B6" s="80">
        <v>1</v>
      </c>
      <c r="C6" s="81" t="s">
        <v>177</v>
      </c>
      <c r="D6" s="46">
        <f t="shared" ref="D6:D19" ca="1" si="1">SUM(F6:AA6)</f>
        <v>33225.740307321546</v>
      </c>
      <c r="E6" s="87"/>
      <c r="F6" s="109"/>
      <c r="G6" s="109"/>
      <c r="H6" s="109">
        <f ca="1">SUM(H7:H14)</f>
        <v>1830.69251063104</v>
      </c>
      <c r="I6" s="109">
        <f t="shared" ref="I6:AA6" ca="1" si="2">SUM(I7:I14)</f>
        <v>1830.69251063104</v>
      </c>
      <c r="J6" s="109">
        <f t="shared" ca="1" si="2"/>
        <v>1830.69251063104</v>
      </c>
      <c r="K6" s="109">
        <f t="shared" ca="1" si="2"/>
        <v>1830.69251063104</v>
      </c>
      <c r="L6" s="109">
        <f t="shared" ca="1" si="2"/>
        <v>1830.69251063104</v>
      </c>
      <c r="M6" s="155">
        <f t="shared" ca="1" si="2"/>
        <v>1941.1157341981002</v>
      </c>
      <c r="N6" s="109">
        <f t="shared" ca="1" si="2"/>
        <v>1941.1157341981002</v>
      </c>
      <c r="O6" s="109">
        <f t="shared" ca="1" si="2"/>
        <v>1941.1157341981002</v>
      </c>
      <c r="P6" s="109">
        <f t="shared" ca="1" si="2"/>
        <v>1941.1157341981002</v>
      </c>
      <c r="Q6" s="109">
        <f t="shared" ca="1" si="2"/>
        <v>1941.1157341981002</v>
      </c>
      <c r="R6" s="109">
        <f t="shared" ca="1" si="2"/>
        <v>2091.892940066044</v>
      </c>
      <c r="S6" s="109">
        <f t="shared" ca="1" si="2"/>
        <v>2091.892940066044</v>
      </c>
      <c r="T6" s="109">
        <f t="shared" ca="1" si="2"/>
        <v>2091.892940066044</v>
      </c>
      <c r="U6" s="109">
        <f t="shared" ca="1" si="2"/>
        <v>2091.892940066044</v>
      </c>
      <c r="V6" s="109">
        <f t="shared" ca="1" si="2"/>
        <v>2091.892940066044</v>
      </c>
      <c r="W6" s="109">
        <f t="shared" si="2"/>
        <v>781.44687656912288</v>
      </c>
      <c r="X6" s="109">
        <f t="shared" si="2"/>
        <v>781.44687656912288</v>
      </c>
      <c r="Y6" s="109">
        <f t="shared" si="2"/>
        <v>781.44687656912288</v>
      </c>
      <c r="Z6" s="109">
        <f t="shared" si="2"/>
        <v>781.44687656912288</v>
      </c>
      <c r="AA6" s="109">
        <f t="shared" si="2"/>
        <v>781.44687656912288</v>
      </c>
    </row>
    <row r="7" spans="2:27">
      <c r="B7" s="47">
        <v>1.1000000000000001</v>
      </c>
      <c r="C7" s="156" t="s">
        <v>154</v>
      </c>
      <c r="D7" s="50">
        <f t="shared" si="1"/>
        <v>1800</v>
      </c>
      <c r="E7" s="87" t="s">
        <v>106</v>
      </c>
      <c r="F7" s="109"/>
      <c r="G7" s="109"/>
      <c r="H7" s="109">
        <f>参数输入表!$H$104*参数输入表!$H$13/(1+参数输入表!$H$108)</f>
        <v>90</v>
      </c>
      <c r="I7" s="109">
        <f>参数输入表!$H$104*参数输入表!$H$13/(1+参数输入表!$H$108)</f>
        <v>90</v>
      </c>
      <c r="J7" s="109">
        <f>参数输入表!$H$104*参数输入表!$H$13/(1+参数输入表!$H$108)</f>
        <v>90</v>
      </c>
      <c r="K7" s="109">
        <f>参数输入表!$H$104*参数输入表!$H$13/(1+参数输入表!$H$108)</f>
        <v>90</v>
      </c>
      <c r="L7" s="109">
        <f>参数输入表!$H$104*参数输入表!$H$13/(1+参数输入表!$H$108)</f>
        <v>90</v>
      </c>
      <c r="M7" s="155">
        <f>参数输入表!$H$105*参数输入表!$H$13/(1+参数输入表!$H$108)</f>
        <v>90</v>
      </c>
      <c r="N7" s="109">
        <f>参数输入表!$H$105*参数输入表!$H$13/(1+参数输入表!$H$108)</f>
        <v>90</v>
      </c>
      <c r="O7" s="109">
        <f>参数输入表!$H$105*参数输入表!$H$13/(1+参数输入表!$H$108)</f>
        <v>90</v>
      </c>
      <c r="P7" s="109">
        <f>参数输入表!$H$105*参数输入表!$H$13/(1+参数输入表!$H$108)</f>
        <v>90</v>
      </c>
      <c r="Q7" s="109">
        <f>参数输入表!$H$105*参数输入表!$H$13/(1+参数输入表!$H$108)</f>
        <v>90</v>
      </c>
      <c r="R7" s="109">
        <f>参数输入表!$H$106*参数输入表!$H$13/(1+参数输入表!$H$108)</f>
        <v>90</v>
      </c>
      <c r="S7" s="109">
        <f>参数输入表!$H$106*参数输入表!$H$13/(1+参数输入表!$H$108)</f>
        <v>90</v>
      </c>
      <c r="T7" s="109">
        <f>参数输入表!$H$106*参数输入表!$H$13/(1+参数输入表!$H$108)</f>
        <v>90</v>
      </c>
      <c r="U7" s="109">
        <f>参数输入表!$H$106*参数输入表!$H$13/(1+参数输入表!$H$108)</f>
        <v>90</v>
      </c>
      <c r="V7" s="109">
        <f>参数输入表!$H$106*参数输入表!$H$13/(1+参数输入表!$H$108)</f>
        <v>90</v>
      </c>
      <c r="W7" s="109">
        <f>参数输入表!$H$107*参数输入表!$H$13/(1+参数输入表!$H$108)</f>
        <v>90</v>
      </c>
      <c r="X7" s="109">
        <f>参数输入表!$H$107*参数输入表!$H$13/(1+参数输入表!$H$108)</f>
        <v>90</v>
      </c>
      <c r="Y7" s="109">
        <f>参数输入表!$H$107*参数输入表!$H$13/(1+参数输入表!$H$108)</f>
        <v>90</v>
      </c>
      <c r="Z7" s="109">
        <f>参数输入表!$H$107*参数输入表!$H$13/(1+参数输入表!$H$108)</f>
        <v>90</v>
      </c>
      <c r="AA7" s="109">
        <f>参数输入表!$H$107*参数输入表!$H$13/(1+参数输入表!$H$108)</f>
        <v>90</v>
      </c>
    </row>
    <row r="8" spans="2:27">
      <c r="B8" s="88">
        <v>1.2</v>
      </c>
      <c r="C8" s="157" t="s">
        <v>165</v>
      </c>
      <c r="D8" s="50">
        <f t="shared" si="1"/>
        <v>5521.1611783529697</v>
      </c>
      <c r="E8" s="87" t="s">
        <v>106</v>
      </c>
      <c r="F8" s="109"/>
      <c r="G8" s="109"/>
      <c r="H8" s="50">
        <f>(参数输入表!$H$76-参数输入表!$H$83)*参数输入表!$H$112/(1+参数输入表!$H$116)</f>
        <v>110.423223567059</v>
      </c>
      <c r="I8" s="50">
        <f>(参数输入表!$H$76-参数输入表!$H$83)*参数输入表!$H$112/(1+参数输入表!$H$116)</f>
        <v>110.423223567059</v>
      </c>
      <c r="J8" s="50">
        <f>(参数输入表!$H$76-参数输入表!$H$83)*参数输入表!$H$112/(1+参数输入表!$H$116)</f>
        <v>110.423223567059</v>
      </c>
      <c r="K8" s="50">
        <f>(参数输入表!$H$76-参数输入表!$H$83)*参数输入表!$H$112/(1+参数输入表!$H$116)</f>
        <v>110.423223567059</v>
      </c>
      <c r="L8" s="50">
        <f>(参数输入表!$H$76-参数输入表!$H$83)*参数输入表!$H$112/(1+参数输入表!$H$116)</f>
        <v>110.423223567059</v>
      </c>
      <c r="M8" s="114">
        <f>(参数输入表!$H$76-参数输入表!$H$83)*参数输入表!$H$113/(1+参数输入表!$H$116)</f>
        <v>220.84644713411899</v>
      </c>
      <c r="N8" s="50">
        <f>(参数输入表!$H$76-参数输入表!$H$83)*参数输入表!$H$113/(1+参数输入表!$H$116)</f>
        <v>220.84644713411899</v>
      </c>
      <c r="O8" s="50">
        <f>(参数输入表!$H$76-参数输入表!$H$83)*参数输入表!$H$113/(1+参数输入表!$H$116)</f>
        <v>220.84644713411899</v>
      </c>
      <c r="P8" s="50">
        <f>(参数输入表!$H$76-参数输入表!$H$83)*参数输入表!$H$113/(1+参数输入表!$H$116)</f>
        <v>220.84644713411899</v>
      </c>
      <c r="Q8" s="50">
        <f>(参数输入表!$H$76-参数输入表!$H$83)*参数输入表!$H$113/(1+参数输入表!$H$116)</f>
        <v>220.84644713411899</v>
      </c>
      <c r="R8" s="50">
        <f>(参数输入表!$H$76-参数输入表!$H$83)*参数输入表!$H$114/(1+参数输入表!$H$116)</f>
        <v>331.26967070117797</v>
      </c>
      <c r="S8" s="50">
        <f>(参数输入表!$H$76-参数输入表!$H$83)*参数输入表!$H$114/(1+参数输入表!$H$116)</f>
        <v>331.26967070117797</v>
      </c>
      <c r="T8" s="50">
        <f>(参数输入表!$H$76-参数输入表!$H$83)*参数输入表!$H$114/(1+参数输入表!$H$116)</f>
        <v>331.26967070117797</v>
      </c>
      <c r="U8" s="50">
        <f>(参数输入表!$H$76-参数输入表!$H$83)*参数输入表!$H$114/(1+参数输入表!$H$116)</f>
        <v>331.26967070117797</v>
      </c>
      <c r="V8" s="50">
        <f>(参数输入表!$H$76-参数输入表!$H$83)*参数输入表!$H$114/(1+参数输入表!$H$116)</f>
        <v>331.26967070117797</v>
      </c>
      <c r="W8" s="50">
        <f>(参数输入表!$H$76-参数输入表!$H$83)*参数输入表!$H$115/(1+参数输入表!$H$116)</f>
        <v>441.69289426823798</v>
      </c>
      <c r="X8" s="50">
        <f>(参数输入表!$H$76-参数输入表!$H$83)*参数输入表!$H$115/(1+参数输入表!$H$116)</f>
        <v>441.69289426823798</v>
      </c>
      <c r="Y8" s="50">
        <f>(参数输入表!$H$76-参数输入表!$H$83)*参数输入表!$H$115/(1+参数输入表!$H$116)</f>
        <v>441.69289426823798</v>
      </c>
      <c r="Z8" s="50">
        <f>(参数输入表!$H$76-参数输入表!$H$83)*参数输入表!$H$115/(1+参数输入表!$H$116)</f>
        <v>441.69289426823798</v>
      </c>
      <c r="AA8" s="50">
        <f>(参数输入表!$H$76-参数输入表!$H$83)*参数输入表!$H$115/(1+参数输入表!$H$116)</f>
        <v>441.69289426823798</v>
      </c>
    </row>
    <row r="9" spans="2:27">
      <c r="B9" s="88">
        <v>1.3</v>
      </c>
      <c r="C9" s="158" t="s">
        <v>176</v>
      </c>
      <c r="D9" s="50">
        <f t="shared" si="1"/>
        <v>2688</v>
      </c>
      <c r="E9" s="87" t="s">
        <v>106</v>
      </c>
      <c r="F9" s="109"/>
      <c r="G9" s="109"/>
      <c r="H9" s="50">
        <f>(参数输入表!$H$127*参数输入表!$H$130+参数输入表!$H$128*参数输入表!$H$131)*(1+参数输入表!$H$132)*(1+参数输入表!$H$133*(H4-1))/(1+参数输入表!$H$134)</f>
        <v>134.4</v>
      </c>
      <c r="I9" s="50">
        <f>(参数输入表!$H$127*参数输入表!$H$130+参数输入表!$H$128*参数输入表!$H$131)*(1+参数输入表!$H$132)*(1+参数输入表!$H$133*(I4-1))/(1+参数输入表!$H$134)</f>
        <v>134.4</v>
      </c>
      <c r="J9" s="50">
        <f>(参数输入表!$H$127*参数输入表!$H$130+参数输入表!$H$128*参数输入表!$H$131)*(1+参数输入表!$H$132)*(1+参数输入表!$H$133*(J4-1))/(1+参数输入表!$H$134)</f>
        <v>134.4</v>
      </c>
      <c r="K9" s="50">
        <f>(参数输入表!$H$127*参数输入表!$H$130+参数输入表!$H$128*参数输入表!$H$131)*(1+参数输入表!$H$132)*(1+参数输入表!$H$133*(K4-1))/(1+参数输入表!$H$134)</f>
        <v>134.4</v>
      </c>
      <c r="L9" s="50">
        <f>(参数输入表!$H$127*参数输入表!$H$130+参数输入表!$H$128*参数输入表!$H$131)*(1+参数输入表!$H$132)*(1+参数输入表!$H$133*(L4-1))/(1+参数输入表!$H$134)</f>
        <v>134.4</v>
      </c>
      <c r="M9" s="114">
        <f>(参数输入表!$H$127*参数输入表!$H$130+参数输入表!$H$128*参数输入表!$H$131)*(1+参数输入表!$H$132)*(1+参数输入表!$H$133*(M4-1))/(1+参数输入表!$H$134)</f>
        <v>134.4</v>
      </c>
      <c r="N9" s="50">
        <f>(参数输入表!$H$127*参数输入表!$H$130+参数输入表!$H$128*参数输入表!$H$131)*(1+参数输入表!$H$132)*(1+参数输入表!$H$133*(N4-1))/(1+参数输入表!$H$134)</f>
        <v>134.4</v>
      </c>
      <c r="O9" s="50">
        <f>(参数输入表!$H$127*参数输入表!$H$130+参数输入表!$H$128*参数输入表!$H$131)*(1+参数输入表!$H$132)*(1+参数输入表!$H$133*(O4-1))/(1+参数输入表!$H$134)</f>
        <v>134.4</v>
      </c>
      <c r="P9" s="50">
        <f>(参数输入表!$H$127*参数输入表!$H$130+参数输入表!$H$128*参数输入表!$H$131)*(1+参数输入表!$H$132)*(1+参数输入表!$H$133*(P4-1))/(1+参数输入表!$H$134)</f>
        <v>134.4</v>
      </c>
      <c r="Q9" s="50">
        <f>(参数输入表!$H$127*参数输入表!$H$130+参数输入表!$H$128*参数输入表!$H$131)*(1+参数输入表!$H$132)*(1+参数输入表!$H$133*(Q4-1))/(1+参数输入表!$H$134)</f>
        <v>134.4</v>
      </c>
      <c r="R9" s="50">
        <f>(参数输入表!$H$127*参数输入表!$H$130+参数输入表!$H$128*参数输入表!$H$131)*(1+参数输入表!$H$132)*(1+参数输入表!$H$133*(R4-1))/(1+参数输入表!$H$134)</f>
        <v>134.4</v>
      </c>
      <c r="S9" s="50">
        <f>(参数输入表!$H$127*参数输入表!$H$130+参数输入表!$H$128*参数输入表!$H$131)*(1+参数输入表!$H$132)*(1+参数输入表!$H$133*(S4-1))/(1+参数输入表!$H$134)</f>
        <v>134.4</v>
      </c>
      <c r="T9" s="50">
        <f>(参数输入表!$H$127*参数输入表!$H$130+参数输入表!$H$128*参数输入表!$H$131)*(1+参数输入表!$H$132)*(1+参数输入表!$H$133*(T4-1))/(1+参数输入表!$H$134)</f>
        <v>134.4</v>
      </c>
      <c r="U9" s="50">
        <f>(参数输入表!$H$127*参数输入表!$H$130+参数输入表!$H$128*参数输入表!$H$131)*(1+参数输入表!$H$132)*(1+参数输入表!$H$133*(U4-1))/(1+参数输入表!$H$134)</f>
        <v>134.4</v>
      </c>
      <c r="V9" s="50">
        <f>(参数输入表!$H$127*参数输入表!$H$130+参数输入表!$H$128*参数输入表!$H$131)*(1+参数输入表!$H$132)*(1+参数输入表!$H$133*(V4-1))/(1+参数输入表!$H$134)</f>
        <v>134.4</v>
      </c>
      <c r="W9" s="50">
        <f>(参数输入表!$H$127*参数输入表!$H$130+参数输入表!$H$128*参数输入表!$H$131)*(1+参数输入表!$H$132)*(1+参数输入表!$H$133*(W4-1))/(1+参数输入表!$H$134)</f>
        <v>134.4</v>
      </c>
      <c r="X9" s="50">
        <f>(参数输入表!$H$127*参数输入表!$H$130+参数输入表!$H$128*参数输入表!$H$131)*(1+参数输入表!$H$132)*(1+参数输入表!$H$133*(X4-1))/(1+参数输入表!$H$134)</f>
        <v>134.4</v>
      </c>
      <c r="Y9" s="50">
        <f>(参数输入表!$H$127*参数输入表!$H$130+参数输入表!$H$128*参数输入表!$H$131)*(1+参数输入表!$H$132)*(1+参数输入表!$H$133*(Y4-1))/(1+参数输入表!$H$134)</f>
        <v>134.4</v>
      </c>
      <c r="Z9" s="50">
        <f>(参数输入表!$H$127*参数输入表!$H$130+参数输入表!$H$128*参数输入表!$H$131)*(1+参数输入表!$H$132)*(1+参数输入表!$H$133*(Z4-1))/(1+参数输入表!$H$134)</f>
        <v>134.4</v>
      </c>
      <c r="AA9" s="50">
        <f>(参数输入表!$H$127*参数输入表!$H$130+参数输入表!$H$128*参数输入表!$H$131)*(1+参数输入表!$H$132)*(1+参数输入表!$H$133*(AA4-1))/(1+参数输入表!$H$134)</f>
        <v>134.4</v>
      </c>
    </row>
    <row r="10" spans="2:27">
      <c r="B10" s="88">
        <v>1.4</v>
      </c>
      <c r="C10" s="159" t="s">
        <v>389</v>
      </c>
      <c r="D10" s="50">
        <f t="shared" si="1"/>
        <v>0</v>
      </c>
      <c r="E10" s="87" t="s">
        <v>106</v>
      </c>
      <c r="F10" s="109"/>
      <c r="G10" s="109"/>
      <c r="H10" s="50">
        <f>'表2-折旧摊销表'!H30</f>
        <v>0</v>
      </c>
      <c r="I10" s="50">
        <f>'表2-折旧摊销表'!I30</f>
        <v>0</v>
      </c>
      <c r="J10" s="50">
        <f>'表2-折旧摊销表'!J30</f>
        <v>0</v>
      </c>
      <c r="K10" s="50">
        <f>'表2-折旧摊销表'!K30</f>
        <v>0</v>
      </c>
      <c r="L10" s="50">
        <f>'表2-折旧摊销表'!L30</f>
        <v>0</v>
      </c>
      <c r="M10" s="114">
        <f>'表2-折旧摊销表'!M30</f>
        <v>0</v>
      </c>
      <c r="N10" s="50">
        <f>'表2-折旧摊销表'!N30</f>
        <v>0</v>
      </c>
      <c r="O10" s="50">
        <f>'表2-折旧摊销表'!O30</f>
        <v>0</v>
      </c>
      <c r="P10" s="50">
        <f>'表2-折旧摊销表'!P30</f>
        <v>0</v>
      </c>
      <c r="Q10" s="50">
        <f>'表2-折旧摊销表'!Q30</f>
        <v>0</v>
      </c>
      <c r="R10" s="50">
        <f>'表2-折旧摊销表'!R30</f>
        <v>0</v>
      </c>
      <c r="S10" s="50">
        <f>'表2-折旧摊销表'!S30</f>
        <v>0</v>
      </c>
      <c r="T10" s="50">
        <f>'表2-折旧摊销表'!T30</f>
        <v>0</v>
      </c>
      <c r="U10" s="50">
        <f>'表2-折旧摊销表'!U30</f>
        <v>0</v>
      </c>
      <c r="V10" s="50">
        <f>'表2-折旧摊销表'!V30</f>
        <v>0</v>
      </c>
      <c r="W10" s="50">
        <f>'表2-折旧摊销表'!W30</f>
        <v>0</v>
      </c>
      <c r="X10" s="50">
        <f>'表2-折旧摊销表'!X30</f>
        <v>0</v>
      </c>
      <c r="Y10" s="50">
        <f>'表2-折旧摊销表'!Y30</f>
        <v>0</v>
      </c>
      <c r="Z10" s="50">
        <f>'表2-折旧摊销表'!Z30</f>
        <v>0</v>
      </c>
      <c r="AA10" s="50">
        <f>'表2-折旧摊销表'!AA30</f>
        <v>0</v>
      </c>
    </row>
    <row r="11" spans="2:27">
      <c r="B11" s="88">
        <v>1.5</v>
      </c>
      <c r="C11" s="158" t="s">
        <v>390</v>
      </c>
      <c r="D11" s="50">
        <f t="shared" ca="1" si="1"/>
        <v>21716.579128968555</v>
      </c>
      <c r="E11" s="87" t="s">
        <v>106</v>
      </c>
      <c r="F11" s="109"/>
      <c r="G11" s="109"/>
      <c r="H11" s="50">
        <f ca="1">'表2-折旧摊销表'!H27+'表2-折旧摊销表'!H33+'表2-折旧摊销表'!H36</f>
        <v>1420.8692870639811</v>
      </c>
      <c r="I11" s="50">
        <f ca="1">'表2-折旧摊销表'!I27+'表2-折旧摊销表'!I33+'表2-折旧摊销表'!I36</f>
        <v>1420.8692870639811</v>
      </c>
      <c r="J11" s="50">
        <f ca="1">'表2-折旧摊销表'!J27+'表2-折旧摊销表'!J33+'表2-折旧摊销表'!J36</f>
        <v>1420.8692870639811</v>
      </c>
      <c r="K11" s="50">
        <f ca="1">'表2-折旧摊销表'!K27+'表2-折旧摊销表'!K33+'表2-折旧摊销表'!K36</f>
        <v>1420.8692870639811</v>
      </c>
      <c r="L11" s="50">
        <f ca="1">'表2-折旧摊销表'!L27+'表2-折旧摊销表'!L33+'表2-折旧摊销表'!L36</f>
        <v>1420.8692870639811</v>
      </c>
      <c r="M11" s="114">
        <f ca="1">'表2-折旧摊销表'!M27+'表2-折旧摊销表'!M33+'表2-折旧摊销表'!M36</f>
        <v>1420.8692870639811</v>
      </c>
      <c r="N11" s="50">
        <f ca="1">'表2-折旧摊销表'!N27+'表2-折旧摊销表'!N33+'表2-折旧摊销表'!N36</f>
        <v>1420.8692870639811</v>
      </c>
      <c r="O11" s="50">
        <f ca="1">'表2-折旧摊销表'!O27+'表2-折旧摊销表'!O33+'表2-折旧摊销表'!O36</f>
        <v>1420.8692870639811</v>
      </c>
      <c r="P11" s="50">
        <f ca="1">'表2-折旧摊销表'!P27+'表2-折旧摊销表'!P33+'表2-折旧摊销表'!P36</f>
        <v>1420.8692870639811</v>
      </c>
      <c r="Q11" s="50">
        <f ca="1">'表2-折旧摊销表'!Q27+'表2-折旧摊销表'!Q33+'表2-折旧摊销表'!Q36</f>
        <v>1420.8692870639811</v>
      </c>
      <c r="R11" s="50">
        <f ca="1">'表2-折旧摊销表'!R27+'表2-折旧摊销表'!R33+'表2-折旧摊销表'!R36</f>
        <v>1461.2232693648662</v>
      </c>
      <c r="S11" s="50">
        <f ca="1">'表2-折旧摊销表'!S27+'表2-折旧摊销表'!S33+'表2-折旧摊销表'!S36</f>
        <v>1461.2232693648662</v>
      </c>
      <c r="T11" s="50">
        <f ca="1">'表2-折旧摊销表'!T27+'表2-折旧摊销表'!T33+'表2-折旧摊销表'!T36</f>
        <v>1461.2232693648662</v>
      </c>
      <c r="U11" s="50">
        <f ca="1">'表2-折旧摊销表'!U27+'表2-折旧摊销表'!U33+'表2-折旧摊销表'!U36</f>
        <v>1461.2232693648662</v>
      </c>
      <c r="V11" s="50">
        <f ca="1">'表2-折旧摊销表'!V27+'表2-折旧摊销表'!V33+'表2-折旧摊销表'!V36</f>
        <v>1461.2232693648662</v>
      </c>
      <c r="W11" s="50">
        <f>'表2-折旧摊销表'!W27+'表2-折旧摊销表'!W33+'表2-折旧摊销表'!W36</f>
        <v>40.353982300884965</v>
      </c>
      <c r="X11" s="50">
        <f>'表2-折旧摊销表'!X27+'表2-折旧摊销表'!X33+'表2-折旧摊销表'!X36</f>
        <v>40.353982300884965</v>
      </c>
      <c r="Y11" s="50">
        <f>'表2-折旧摊销表'!Y27+'表2-折旧摊销表'!Y33+'表2-折旧摊销表'!Y36</f>
        <v>40.353982300884965</v>
      </c>
      <c r="Z11" s="50">
        <f>'表2-折旧摊销表'!Z27+'表2-折旧摊销表'!Z33+'表2-折旧摊销表'!Z36</f>
        <v>40.353982300884965</v>
      </c>
      <c r="AA11" s="50">
        <f>'表2-折旧摊销表'!AA27+'表2-折旧摊销表'!AA33+'表2-折旧摊销表'!AA36</f>
        <v>40.353982300884965</v>
      </c>
    </row>
    <row r="12" spans="2:27">
      <c r="B12" s="47">
        <v>1.6</v>
      </c>
      <c r="C12" s="160" t="s">
        <v>21</v>
      </c>
      <c r="D12" s="50">
        <f t="shared" si="1"/>
        <v>1500</v>
      </c>
      <c r="E12" s="87" t="s">
        <v>106</v>
      </c>
      <c r="F12" s="109"/>
      <c r="G12" s="109"/>
      <c r="H12" s="50">
        <f>参数输入表!$H$135*参数输入表!$H$13/(1+参数输入表!$H$136)</f>
        <v>75</v>
      </c>
      <c r="I12" s="50">
        <f>参数输入表!$H$135*参数输入表!$H$13/(1+参数输入表!$H$136)</f>
        <v>75</v>
      </c>
      <c r="J12" s="50">
        <f>参数输入表!$H$135*参数输入表!$H$13/(1+参数输入表!$H$136)</f>
        <v>75</v>
      </c>
      <c r="K12" s="50">
        <f>参数输入表!$H$135*参数输入表!$H$13/(1+参数输入表!$H$136)</f>
        <v>75</v>
      </c>
      <c r="L12" s="50">
        <f>参数输入表!$H$135*参数输入表!$H$13/(1+参数输入表!$H$136)</f>
        <v>75</v>
      </c>
      <c r="M12" s="114">
        <f>参数输入表!$H$135*参数输入表!$H$13/(1+参数输入表!$H$136)</f>
        <v>75</v>
      </c>
      <c r="N12" s="50">
        <f>参数输入表!$H$135*参数输入表!$H$13/(1+参数输入表!$H$136)</f>
        <v>75</v>
      </c>
      <c r="O12" s="50">
        <f>参数输入表!$H$135*参数输入表!$H$13/(1+参数输入表!$H$136)</f>
        <v>75</v>
      </c>
      <c r="P12" s="50">
        <f>参数输入表!$H$135*参数输入表!$H$13/(1+参数输入表!$H$136)</f>
        <v>75</v>
      </c>
      <c r="Q12" s="50">
        <f>参数输入表!$H$135*参数输入表!$H$13/(1+参数输入表!$H$136)</f>
        <v>75</v>
      </c>
      <c r="R12" s="50">
        <f>参数输入表!$H$135*参数输入表!$H$13/(1+参数输入表!$H$136)</f>
        <v>75</v>
      </c>
      <c r="S12" s="50">
        <f>参数输入表!$H$135*参数输入表!$H$13/(1+参数输入表!$H$136)</f>
        <v>75</v>
      </c>
      <c r="T12" s="50">
        <f>参数输入表!$H$135*参数输入表!$H$13/(1+参数输入表!$H$136)</f>
        <v>75</v>
      </c>
      <c r="U12" s="50">
        <f>参数输入表!$H$135*参数输入表!$H$13/(1+参数输入表!$H$136)</f>
        <v>75</v>
      </c>
      <c r="V12" s="50">
        <f>参数输入表!$H$135*参数输入表!$H$13/(1+参数输入表!$H$136)</f>
        <v>75</v>
      </c>
      <c r="W12" s="50">
        <f>参数输入表!$H$135*参数输入表!$H$13/(1+参数输入表!$H$136)</f>
        <v>75</v>
      </c>
      <c r="X12" s="50">
        <f>参数输入表!$H$135*参数输入表!$H$13/(1+参数输入表!$H$136)</f>
        <v>75</v>
      </c>
      <c r="Y12" s="50">
        <f>参数输入表!$H$135*参数输入表!$H$13/(1+参数输入表!$H$136)</f>
        <v>75</v>
      </c>
      <c r="Z12" s="50">
        <f>参数输入表!$H$135*参数输入表!$H$13/(1+参数输入表!$H$136)</f>
        <v>75</v>
      </c>
      <c r="AA12" s="50">
        <f>参数输入表!$H$135*参数输入表!$H$13/(1+参数输入表!$H$136)</f>
        <v>75</v>
      </c>
    </row>
    <row r="13" spans="2:27">
      <c r="B13" s="47">
        <v>1.7</v>
      </c>
      <c r="C13" s="160" t="s">
        <v>200</v>
      </c>
      <c r="D13" s="50">
        <f t="shared" si="1"/>
        <v>0</v>
      </c>
      <c r="E13" s="87" t="s">
        <v>106</v>
      </c>
      <c r="F13" s="109"/>
      <c r="G13" s="109"/>
      <c r="H13" s="50">
        <f>参数输入表!$H$145*参数输入表!$H$13*1000/10000/(1+参数输入表!$H$146)</f>
        <v>0</v>
      </c>
      <c r="I13" s="50">
        <f>参数输入表!$H$145*参数输入表!$H$13*1000/10000/(1+参数输入表!$H$146)</f>
        <v>0</v>
      </c>
      <c r="J13" s="50">
        <f>参数输入表!$H$145*参数输入表!$H$13*1000/10000/(1+参数输入表!$H$146)</f>
        <v>0</v>
      </c>
      <c r="K13" s="50">
        <f>参数输入表!$H$145*参数输入表!$H$13*1000/10000/(1+参数输入表!$H$146)</f>
        <v>0</v>
      </c>
      <c r="L13" s="50">
        <f>参数输入表!$H$145*参数输入表!$H$13*1000/10000/(1+参数输入表!$H$146)</f>
        <v>0</v>
      </c>
      <c r="M13" s="114">
        <f>参数输入表!$H$145*参数输入表!$H$13*1000/10000/(1+参数输入表!$H$146)</f>
        <v>0</v>
      </c>
      <c r="N13" s="50">
        <f>参数输入表!$H$145*参数输入表!$H$13*1000/10000/(1+参数输入表!$H$146)</f>
        <v>0</v>
      </c>
      <c r="O13" s="50">
        <f>参数输入表!$H$145*参数输入表!$H$13*1000/10000/(1+参数输入表!$H$146)</f>
        <v>0</v>
      </c>
      <c r="P13" s="50">
        <f>参数输入表!$H$145*参数输入表!$H$13*1000/10000/(1+参数输入表!$H$146)</f>
        <v>0</v>
      </c>
      <c r="Q13" s="50">
        <f>参数输入表!$H$145*参数输入表!$H$13*1000/10000/(1+参数输入表!$H$146)</f>
        <v>0</v>
      </c>
      <c r="R13" s="50">
        <f>参数输入表!$H$145*参数输入表!$H$13*1000/10000/(1+参数输入表!$H$146)</f>
        <v>0</v>
      </c>
      <c r="S13" s="50">
        <f>参数输入表!$H$145*参数输入表!$H$13*1000/10000/(1+参数输入表!$H$146)</f>
        <v>0</v>
      </c>
      <c r="T13" s="50">
        <f>参数输入表!$H$145*参数输入表!$H$13*1000/10000/(1+参数输入表!$H$146)</f>
        <v>0</v>
      </c>
      <c r="U13" s="50">
        <f>参数输入表!$H$145*参数输入表!$H$13*1000/10000/(1+参数输入表!$H$146)</f>
        <v>0</v>
      </c>
      <c r="V13" s="50">
        <f>参数输入表!$H$145*参数输入表!$H$13*1000/10000/(1+参数输入表!$H$146)</f>
        <v>0</v>
      </c>
      <c r="W13" s="50">
        <f>参数输入表!$H$145*参数输入表!$H$13*1000/10000/(1+参数输入表!$H$146)</f>
        <v>0</v>
      </c>
      <c r="X13" s="50">
        <f>参数输入表!$H$145*参数输入表!$H$13*1000/10000/(1+参数输入表!$H$146)</f>
        <v>0</v>
      </c>
      <c r="Y13" s="50">
        <f>参数输入表!$H$145*参数输入表!$H$13*1000/10000/(1+参数输入表!$H$146)</f>
        <v>0</v>
      </c>
      <c r="Z13" s="50">
        <f>参数输入表!$H$145*参数输入表!$H$13*1000/10000/(1+参数输入表!$H$146)</f>
        <v>0</v>
      </c>
      <c r="AA13" s="50">
        <f>参数输入表!$H$145*参数输入表!$H$13*1000/10000/(1+参数输入表!$H$146)</f>
        <v>0</v>
      </c>
    </row>
    <row r="14" spans="2:27">
      <c r="B14" s="47">
        <v>1.8</v>
      </c>
      <c r="C14" s="160" t="s">
        <v>193</v>
      </c>
      <c r="D14" s="50">
        <f t="shared" si="1"/>
        <v>0</v>
      </c>
      <c r="E14" s="87" t="s">
        <v>106</v>
      </c>
      <c r="F14" s="109"/>
      <c r="G14" s="109"/>
      <c r="H14" s="50">
        <f>参数输入表!$H$138*参数输入表!$H$139/10000*(1)/(1+参数输入表!$H$140)</f>
        <v>0</v>
      </c>
      <c r="I14" s="50">
        <f>参数输入表!$H$138*参数输入表!$H$139/10000*(1)/(1+参数输入表!$H$140)</f>
        <v>0</v>
      </c>
      <c r="J14" s="50">
        <f>参数输入表!$H$138*参数输入表!$H$139/10000*(1)/(1+参数输入表!$H$140)</f>
        <v>0</v>
      </c>
      <c r="K14" s="50">
        <f>参数输入表!$H$138*参数输入表!$H$139/10000*(1)/(1+参数输入表!$H$140)</f>
        <v>0</v>
      </c>
      <c r="L14" s="50">
        <f>参数输入表!$H$138*参数输入表!$H$139/10000*(1)/(1+参数输入表!$H$140)</f>
        <v>0</v>
      </c>
      <c r="M14" s="114">
        <f>参数输入表!$H$138*参数输入表!$H$139/10000*(1)/(1+参数输入表!$H$140)</f>
        <v>0</v>
      </c>
      <c r="N14" s="50">
        <f>参数输入表!$H$138*参数输入表!$H$139/10000*(1)/(1+参数输入表!$H$140)</f>
        <v>0</v>
      </c>
      <c r="O14" s="50">
        <f>参数输入表!$H$138*参数输入表!$H$139/10000*(1)/(1+参数输入表!$H$140)</f>
        <v>0</v>
      </c>
      <c r="P14" s="50">
        <f>参数输入表!$H$138*参数输入表!$H$139/10000*(1)/(1+参数输入表!$H$140)</f>
        <v>0</v>
      </c>
      <c r="Q14" s="50">
        <f>参数输入表!$H$138*参数输入表!$H$139/10000*(1)/(1+参数输入表!$H$140)</f>
        <v>0</v>
      </c>
      <c r="R14" s="50">
        <f>参数输入表!$H$138*参数输入表!$H$139/10000*(1)/(1+参数输入表!$H$140)</f>
        <v>0</v>
      </c>
      <c r="S14" s="50">
        <f>参数输入表!$H$138*参数输入表!$H$139/10000*(1)/(1+参数输入表!$H$140)</f>
        <v>0</v>
      </c>
      <c r="T14" s="50">
        <f>参数输入表!$H$138*参数输入表!$H$139/10000*(1)/(1+参数输入表!$H$140)</f>
        <v>0</v>
      </c>
      <c r="U14" s="50">
        <f>参数输入表!$H$138*参数输入表!$H$139/10000*(1)/(1+参数输入表!$H$140)</f>
        <v>0</v>
      </c>
      <c r="V14" s="50">
        <f>参数输入表!$H$138*参数输入表!$H$139/10000*(1)/(1+参数输入表!$H$140)</f>
        <v>0</v>
      </c>
      <c r="W14" s="50">
        <f>参数输入表!$H$138*参数输入表!$H$139/10000*(1)/(1+参数输入表!$H$140)</f>
        <v>0</v>
      </c>
      <c r="X14" s="50">
        <f>参数输入表!$H$138*参数输入表!$H$139/10000*(1)/(1+参数输入表!$H$140)</f>
        <v>0</v>
      </c>
      <c r="Y14" s="50">
        <f>参数输入表!$H$138*参数输入表!$H$139/10000*(1)/(1+参数输入表!$H$140)</f>
        <v>0</v>
      </c>
      <c r="Z14" s="50">
        <f>参数输入表!$H$138*参数输入表!$H$139/10000*(1)/(1+参数输入表!$H$140)</f>
        <v>0</v>
      </c>
      <c r="AA14" s="50">
        <f>参数输入表!$H$138*参数输入表!$H$139/10000*(1)/(1+参数输入表!$H$140)</f>
        <v>0</v>
      </c>
    </row>
    <row r="15" spans="2:27" ht="21" customHeight="1">
      <c r="B15" s="80">
        <v>2</v>
      </c>
      <c r="C15" s="81" t="s">
        <v>391</v>
      </c>
      <c r="D15" s="46">
        <f t="shared" si="1"/>
        <v>0</v>
      </c>
      <c r="E15" s="87" t="s">
        <v>106</v>
      </c>
      <c r="F15" s="87"/>
      <c r="G15" s="87"/>
      <c r="H15" s="46">
        <v>0</v>
      </c>
      <c r="I15" s="46">
        <v>0</v>
      </c>
      <c r="J15" s="46">
        <v>0</v>
      </c>
      <c r="K15" s="46">
        <v>0</v>
      </c>
      <c r="L15" s="46">
        <v>0</v>
      </c>
      <c r="M15" s="67">
        <v>0</v>
      </c>
      <c r="N15" s="46">
        <v>0</v>
      </c>
      <c r="O15" s="46">
        <v>0</v>
      </c>
      <c r="P15" s="46">
        <v>0</v>
      </c>
      <c r="Q15" s="46">
        <v>0</v>
      </c>
      <c r="R15" s="46">
        <v>0</v>
      </c>
      <c r="S15" s="46">
        <v>0</v>
      </c>
      <c r="T15" s="46">
        <v>0</v>
      </c>
      <c r="U15" s="46">
        <v>0</v>
      </c>
      <c r="V15" s="46">
        <v>0</v>
      </c>
      <c r="W15" s="46">
        <v>0</v>
      </c>
      <c r="X15" s="46">
        <v>0</v>
      </c>
      <c r="Y15" s="46">
        <v>0</v>
      </c>
      <c r="Z15" s="46">
        <v>0</v>
      </c>
      <c r="AA15" s="46">
        <v>0</v>
      </c>
    </row>
    <row r="16" spans="2:27" ht="21" customHeight="1">
      <c r="B16" s="80">
        <v>3</v>
      </c>
      <c r="C16" s="81" t="s">
        <v>172</v>
      </c>
      <c r="D16" s="46">
        <f t="shared" ca="1" si="1"/>
        <v>1121.7389108399855</v>
      </c>
      <c r="E16" s="87" t="s">
        <v>106</v>
      </c>
      <c r="F16" s="87"/>
      <c r="G16" s="87"/>
      <c r="H16" s="46">
        <f t="shared" ref="H16:AA16" ca="1" si="3">SUM(H17:H18)</f>
        <v>56.086945541999256</v>
      </c>
      <c r="I16" s="46">
        <f t="shared" ca="1" si="3"/>
        <v>56.086945541999256</v>
      </c>
      <c r="J16" s="46">
        <f t="shared" ca="1" si="3"/>
        <v>56.086945541999256</v>
      </c>
      <c r="K16" s="46">
        <f t="shared" ca="1" si="3"/>
        <v>56.086945541999256</v>
      </c>
      <c r="L16" s="46">
        <f t="shared" ca="1" si="3"/>
        <v>56.086945541999256</v>
      </c>
      <c r="M16" s="67">
        <f t="shared" ca="1" si="3"/>
        <v>56.086945541999256</v>
      </c>
      <c r="N16" s="46">
        <f t="shared" ca="1" si="3"/>
        <v>56.086945541999256</v>
      </c>
      <c r="O16" s="46">
        <f t="shared" ca="1" si="3"/>
        <v>56.086945541999256</v>
      </c>
      <c r="P16" s="46">
        <f t="shared" ca="1" si="3"/>
        <v>56.086945541999256</v>
      </c>
      <c r="Q16" s="46">
        <f t="shared" ca="1" si="3"/>
        <v>56.086945541999256</v>
      </c>
      <c r="R16" s="46">
        <f t="shared" ca="1" si="3"/>
        <v>56.086945541999256</v>
      </c>
      <c r="S16" s="46">
        <f t="shared" ca="1" si="3"/>
        <v>56.086945541999256</v>
      </c>
      <c r="T16" s="46">
        <f t="shared" ca="1" si="3"/>
        <v>56.086945541999256</v>
      </c>
      <c r="U16" s="46">
        <f t="shared" ca="1" si="3"/>
        <v>56.086945541999256</v>
      </c>
      <c r="V16" s="46">
        <f t="shared" ca="1" si="3"/>
        <v>56.086945541999256</v>
      </c>
      <c r="W16" s="46">
        <f t="shared" ca="1" si="3"/>
        <v>56.086945541999256</v>
      </c>
      <c r="X16" s="46">
        <f t="shared" ca="1" si="3"/>
        <v>56.086945541999256</v>
      </c>
      <c r="Y16" s="46">
        <f t="shared" ca="1" si="3"/>
        <v>56.086945541999256</v>
      </c>
      <c r="Z16" s="46">
        <f t="shared" ca="1" si="3"/>
        <v>56.086945541999256</v>
      </c>
      <c r="AA16" s="46">
        <f t="shared" ca="1" si="3"/>
        <v>56.086945541999256</v>
      </c>
    </row>
    <row r="17" spans="2:27" ht="21" customHeight="1">
      <c r="B17" s="88">
        <v>3.1</v>
      </c>
      <c r="C17" s="159" t="s">
        <v>392</v>
      </c>
      <c r="D17" s="50">
        <f t="shared" ca="1" si="1"/>
        <v>1121.7389108399855</v>
      </c>
      <c r="E17" s="87" t="s">
        <v>106</v>
      </c>
      <c r="F17" s="87"/>
      <c r="G17" s="87"/>
      <c r="H17" s="50">
        <f ca="1">'表2-折旧摊销表'!$D$4*参数输入表!$H$120/(1+参数输入表!$H$124)</f>
        <v>56.086945541999256</v>
      </c>
      <c r="I17" s="50">
        <f ca="1">'表2-折旧摊销表'!$D$4*参数输入表!$H$120/(1+参数输入表!$H$124)</f>
        <v>56.086945541999256</v>
      </c>
      <c r="J17" s="50">
        <f ca="1">'表2-折旧摊销表'!$D$4*参数输入表!$H$120/(1+参数输入表!$H$124)</f>
        <v>56.086945541999256</v>
      </c>
      <c r="K17" s="50">
        <f ca="1">'表2-折旧摊销表'!$D$4*参数输入表!$H$120/(1+参数输入表!$H$124)</f>
        <v>56.086945541999256</v>
      </c>
      <c r="L17" s="50">
        <f ca="1">'表2-折旧摊销表'!$D$4*参数输入表!$H$120/(1+参数输入表!$H$124)</f>
        <v>56.086945541999256</v>
      </c>
      <c r="M17" s="114">
        <f ca="1">'表2-折旧摊销表'!$D$4*参数输入表!$H$121/(1+参数输入表!$H$124)</f>
        <v>56.086945541999256</v>
      </c>
      <c r="N17" s="50">
        <f ca="1">'表2-折旧摊销表'!$D$4*参数输入表!$H$121/(1+参数输入表!$H$124)</f>
        <v>56.086945541999256</v>
      </c>
      <c r="O17" s="50">
        <f ca="1">'表2-折旧摊销表'!$D$4*参数输入表!$H$121/(1+参数输入表!$H$124)</f>
        <v>56.086945541999256</v>
      </c>
      <c r="P17" s="50">
        <f ca="1">'表2-折旧摊销表'!$D$4*参数输入表!$H$121/(1+参数输入表!$H$124)</f>
        <v>56.086945541999256</v>
      </c>
      <c r="Q17" s="50">
        <f ca="1">'表2-折旧摊销表'!$D$4*参数输入表!$H$121/(1+参数输入表!$H$124)</f>
        <v>56.086945541999256</v>
      </c>
      <c r="R17" s="50">
        <f ca="1">'表2-折旧摊销表'!$D$4*参数输入表!$H$122/(1+参数输入表!$H$124)</f>
        <v>56.086945541999256</v>
      </c>
      <c r="S17" s="50">
        <f ca="1">'表2-折旧摊销表'!$D$4*参数输入表!$H$122/(1+参数输入表!$H$124)</f>
        <v>56.086945541999256</v>
      </c>
      <c r="T17" s="50">
        <f ca="1">'表2-折旧摊销表'!$D$4*参数输入表!$H$122/(1+参数输入表!$H$124)</f>
        <v>56.086945541999256</v>
      </c>
      <c r="U17" s="50">
        <f ca="1">'表2-折旧摊销表'!$D$4*参数输入表!$H$122/(1+参数输入表!$H$124)</f>
        <v>56.086945541999256</v>
      </c>
      <c r="V17" s="50">
        <f ca="1">'表2-折旧摊销表'!$D$4*参数输入表!$H$122/(1+参数输入表!$H$124)</f>
        <v>56.086945541999256</v>
      </c>
      <c r="W17" s="50">
        <f ca="1">'表2-折旧摊销表'!$D$4*参数输入表!$H$123/(1+参数输入表!$H$124)</f>
        <v>56.086945541999256</v>
      </c>
      <c r="X17" s="50">
        <f ca="1">'表2-折旧摊销表'!$D$4*参数输入表!$H$123/(1+参数输入表!$H$124)</f>
        <v>56.086945541999256</v>
      </c>
      <c r="Y17" s="50">
        <f ca="1">'表2-折旧摊销表'!$D$4*参数输入表!$H$123/(1+参数输入表!$H$124)</f>
        <v>56.086945541999256</v>
      </c>
      <c r="Z17" s="50">
        <f ca="1">'表2-折旧摊销表'!$D$4*参数输入表!$H$123/(1+参数输入表!$H$124)</f>
        <v>56.086945541999256</v>
      </c>
      <c r="AA17" s="50">
        <f ca="1">'表2-折旧摊销表'!$D$4*参数输入表!$H$123/(1+参数输入表!$H$124)</f>
        <v>56.086945541999256</v>
      </c>
    </row>
    <row r="18" spans="2:27" ht="21" customHeight="1">
      <c r="B18" s="47">
        <v>3.2</v>
      </c>
      <c r="C18" s="160" t="s">
        <v>198</v>
      </c>
      <c r="D18" s="50">
        <f t="shared" ca="1" si="1"/>
        <v>0</v>
      </c>
      <c r="E18" s="87" t="s">
        <v>106</v>
      </c>
      <c r="F18" s="87"/>
      <c r="G18" s="87"/>
      <c r="H18" s="50">
        <v>0</v>
      </c>
      <c r="I18" s="50">
        <v>0</v>
      </c>
      <c r="J18" s="50">
        <v>0</v>
      </c>
      <c r="K18" s="50">
        <v>0</v>
      </c>
      <c r="L18" s="50">
        <v>0</v>
      </c>
      <c r="M18" s="114">
        <v>0</v>
      </c>
      <c r="N18" s="50">
        <v>0</v>
      </c>
      <c r="O18" s="50">
        <v>0</v>
      </c>
      <c r="P18" s="50">
        <v>0</v>
      </c>
      <c r="Q18" s="50">
        <v>0</v>
      </c>
      <c r="R18" s="50">
        <v>0</v>
      </c>
      <c r="S18" s="50">
        <v>0</v>
      </c>
      <c r="T18" s="50">
        <v>0</v>
      </c>
      <c r="U18" s="50">
        <v>0</v>
      </c>
      <c r="V18" s="50">
        <v>0</v>
      </c>
      <c r="W18" s="50">
        <v>0</v>
      </c>
      <c r="X18" s="50">
        <v>0</v>
      </c>
      <c r="Y18" s="50">
        <v>0</v>
      </c>
      <c r="Z18" s="50">
        <v>0</v>
      </c>
      <c r="AA18" s="50">
        <f ca="1">参数输入表!H143*参数输入表!H142/(1+参数输入表!$H$144)</f>
        <v>0</v>
      </c>
    </row>
    <row r="19" spans="2:27" ht="21" customHeight="1">
      <c r="B19" s="80">
        <v>4</v>
      </c>
      <c r="C19" s="81" t="s">
        <v>393</v>
      </c>
      <c r="D19" s="46">
        <f t="shared" si="1"/>
        <v>0</v>
      </c>
      <c r="E19" s="87" t="s">
        <v>106</v>
      </c>
      <c r="F19" s="87"/>
      <c r="G19" s="87"/>
      <c r="H19" s="46">
        <v>0</v>
      </c>
      <c r="I19" s="46">
        <v>0</v>
      </c>
      <c r="J19" s="46">
        <v>0</v>
      </c>
      <c r="K19" s="46">
        <v>0</v>
      </c>
      <c r="L19" s="46">
        <v>0</v>
      </c>
      <c r="M19" s="67">
        <v>0</v>
      </c>
      <c r="N19" s="46">
        <v>0</v>
      </c>
      <c r="O19" s="46">
        <v>0</v>
      </c>
      <c r="P19" s="46">
        <v>0</v>
      </c>
      <c r="Q19" s="46">
        <v>0</v>
      </c>
      <c r="R19" s="46">
        <v>0</v>
      </c>
      <c r="S19" s="46">
        <v>0</v>
      </c>
      <c r="T19" s="46">
        <v>0</v>
      </c>
      <c r="U19" s="46">
        <v>0</v>
      </c>
      <c r="V19" s="46">
        <v>0</v>
      </c>
      <c r="W19" s="46">
        <v>0</v>
      </c>
      <c r="X19" s="46">
        <v>0</v>
      </c>
      <c r="Y19" s="46">
        <v>0</v>
      </c>
      <c r="Z19" s="46">
        <v>0</v>
      </c>
      <c r="AA19" s="46">
        <v>0</v>
      </c>
    </row>
    <row r="20" spans="2:27" ht="21" customHeight="1">
      <c r="B20" s="69">
        <v>5</v>
      </c>
      <c r="C20" s="68" t="s">
        <v>394</v>
      </c>
      <c r="D20" s="46">
        <f t="shared" ref="D20:D48" ca="1" si="4">SUM(F20:AA20)</f>
        <v>5768.0745031805509</v>
      </c>
      <c r="E20" s="87" t="s">
        <v>106</v>
      </c>
      <c r="F20" s="87"/>
      <c r="G20" s="87"/>
      <c r="H20" s="46">
        <f ca="1">SUM(H21:H23)</f>
        <v>716.12681289756858</v>
      </c>
      <c r="I20" s="46">
        <f t="shared" ref="I20:AA20" ca="1" si="5">SUM(I21:I23)</f>
        <v>668.60202537106409</v>
      </c>
      <c r="J20" s="46">
        <f t="shared" ca="1" si="5"/>
        <v>621.07723784455959</v>
      </c>
      <c r="K20" s="46">
        <f t="shared" ca="1" si="5"/>
        <v>573.55245031805498</v>
      </c>
      <c r="L20" s="46">
        <f t="shared" ca="1" si="5"/>
        <v>526.02766279155037</v>
      </c>
      <c r="M20" s="67">
        <f t="shared" ca="1" si="5"/>
        <v>478.50287526504582</v>
      </c>
      <c r="N20" s="46">
        <f t="shared" ca="1" si="5"/>
        <v>430.97808773854126</v>
      </c>
      <c r="O20" s="46">
        <f t="shared" ca="1" si="5"/>
        <v>383.45330021203665</v>
      </c>
      <c r="P20" s="46">
        <f t="shared" ca="1" si="5"/>
        <v>335.9285126855321</v>
      </c>
      <c r="Q20" s="46">
        <f t="shared" ca="1" si="5"/>
        <v>288.40372515902754</v>
      </c>
      <c r="R20" s="46">
        <f t="shared" ca="1" si="5"/>
        <v>240.87893763252293</v>
      </c>
      <c r="S20" s="46">
        <f t="shared" ca="1" si="5"/>
        <v>193.35415010601838</v>
      </c>
      <c r="T20" s="46">
        <f t="shared" ca="1" si="5"/>
        <v>145.8293625795138</v>
      </c>
      <c r="U20" s="46">
        <f t="shared" ca="1" si="5"/>
        <v>98.304575053009216</v>
      </c>
      <c r="V20" s="46">
        <f t="shared" ca="1" si="5"/>
        <v>50.779787526504656</v>
      </c>
      <c r="W20" s="46">
        <f t="shared" si="5"/>
        <v>3.2549999999999999</v>
      </c>
      <c r="X20" s="46">
        <f t="shared" si="5"/>
        <v>3.2549999999999999</v>
      </c>
      <c r="Y20" s="46">
        <f t="shared" si="5"/>
        <v>3.2549999999999999</v>
      </c>
      <c r="Z20" s="46">
        <f t="shared" si="5"/>
        <v>3.2549999999999999</v>
      </c>
      <c r="AA20" s="46">
        <f t="shared" si="5"/>
        <v>3.2549999999999999</v>
      </c>
    </row>
    <row r="21" spans="2:27" ht="21" customHeight="1">
      <c r="B21" s="88">
        <v>5.0999999999999996</v>
      </c>
      <c r="C21" s="158" t="s">
        <v>395</v>
      </c>
      <c r="D21" s="50">
        <f t="shared" ca="1" si="4"/>
        <v>5702.9745031805505</v>
      </c>
      <c r="E21" s="87" t="s">
        <v>106</v>
      </c>
      <c r="F21" s="87"/>
      <c r="G21" s="87"/>
      <c r="H21" s="50">
        <f ca="1">'表1-资金筹措及还本付息表'!H43</f>
        <v>712.87181289756859</v>
      </c>
      <c r="I21" s="50">
        <f ca="1">'表1-资金筹措及还本付息表'!I53</f>
        <v>665.34702537106409</v>
      </c>
      <c r="J21" s="50">
        <f ca="1">'表1-资金筹措及还本付息表'!J53</f>
        <v>617.8222378445596</v>
      </c>
      <c r="K21" s="50">
        <f ca="1">'表1-资金筹措及还本付息表'!K53</f>
        <v>570.29745031805498</v>
      </c>
      <c r="L21" s="50">
        <f ca="1">'表1-资金筹措及还本付息表'!L53</f>
        <v>522.77266279155037</v>
      </c>
      <c r="M21" s="114">
        <f ca="1">'表1-资金筹措及还本付息表'!M53</f>
        <v>475.24787526504582</v>
      </c>
      <c r="N21" s="50">
        <f ca="1">'表1-资金筹措及还本付息表'!N53</f>
        <v>427.72308773854127</v>
      </c>
      <c r="O21" s="50">
        <f ca="1">'表1-资金筹措及还本付息表'!O53</f>
        <v>380.19830021203666</v>
      </c>
      <c r="P21" s="50">
        <f ca="1">'表1-资金筹措及还本付息表'!P53</f>
        <v>332.6735126855321</v>
      </c>
      <c r="Q21" s="50">
        <f ca="1">'表1-资金筹措及还本付息表'!Q53</f>
        <v>285.14872515902755</v>
      </c>
      <c r="R21" s="50">
        <f ca="1">'表1-资金筹措及还本付息表'!R53</f>
        <v>237.62393763252294</v>
      </c>
      <c r="S21" s="50">
        <f ca="1">'表1-资金筹措及还本付息表'!S53</f>
        <v>190.09915010601839</v>
      </c>
      <c r="T21" s="50">
        <f ca="1">'表1-资金筹措及还本付息表'!T53</f>
        <v>142.5743625795138</v>
      </c>
      <c r="U21" s="50">
        <f ca="1">'表1-资金筹措及还本付息表'!U53</f>
        <v>95.049575053009221</v>
      </c>
      <c r="V21" s="50">
        <f ca="1">'表1-资金筹措及还本付息表'!V53</f>
        <v>47.524787526504653</v>
      </c>
      <c r="W21" s="50">
        <f>'表1-资金筹措及还本付息表'!W43</f>
        <v>0</v>
      </c>
      <c r="X21" s="50">
        <f>'表1-资金筹措及还本付息表'!X43</f>
        <v>0</v>
      </c>
      <c r="Y21" s="50">
        <f>'表1-资金筹措及还本付息表'!Y43</f>
        <v>0</v>
      </c>
      <c r="Z21" s="50">
        <f>'表1-资金筹措及还本付息表'!Z43</f>
        <v>0</v>
      </c>
      <c r="AA21" s="50">
        <f>'表1-资金筹措及还本付息表'!AA43</f>
        <v>0</v>
      </c>
    </row>
    <row r="22" spans="2:27" ht="21" customHeight="1">
      <c r="B22" s="88">
        <v>5.2</v>
      </c>
      <c r="C22" s="158" t="s">
        <v>396</v>
      </c>
      <c r="D22" s="50">
        <f t="shared" si="4"/>
        <v>65.099999999999994</v>
      </c>
      <c r="E22" s="87" t="s">
        <v>106</v>
      </c>
      <c r="F22" s="87"/>
      <c r="G22" s="87"/>
      <c r="H22" s="50">
        <f>'表1-资金筹措及还本付息表'!H63</f>
        <v>3.2549999999999999</v>
      </c>
      <c r="I22" s="50">
        <f>'表1-资金筹措及还本付息表'!I63</f>
        <v>3.2549999999999999</v>
      </c>
      <c r="J22" s="50">
        <f>'表1-资金筹措及还本付息表'!J63</f>
        <v>3.2549999999999999</v>
      </c>
      <c r="K22" s="50">
        <f>'表1-资金筹措及还本付息表'!K63</f>
        <v>3.2549999999999999</v>
      </c>
      <c r="L22" s="50">
        <f>'表1-资金筹措及还本付息表'!L63</f>
        <v>3.2549999999999999</v>
      </c>
      <c r="M22" s="114">
        <f>'表1-资金筹措及还本付息表'!M63</f>
        <v>3.2549999999999999</v>
      </c>
      <c r="N22" s="50">
        <f>'表1-资金筹措及还本付息表'!N63</f>
        <v>3.2549999999999999</v>
      </c>
      <c r="O22" s="50">
        <f>'表1-资金筹措及还本付息表'!O63</f>
        <v>3.2549999999999999</v>
      </c>
      <c r="P22" s="50">
        <f>'表1-资金筹措及还本付息表'!P63</f>
        <v>3.2549999999999999</v>
      </c>
      <c r="Q22" s="50">
        <f>'表1-资金筹措及还本付息表'!Q63</f>
        <v>3.2549999999999999</v>
      </c>
      <c r="R22" s="50">
        <f>'表1-资金筹措及还本付息表'!R63</f>
        <v>3.2549999999999999</v>
      </c>
      <c r="S22" s="50">
        <f>'表1-资金筹措及还本付息表'!S63</f>
        <v>3.2549999999999999</v>
      </c>
      <c r="T22" s="50">
        <f>'表1-资金筹措及还本付息表'!T63</f>
        <v>3.2549999999999999</v>
      </c>
      <c r="U22" s="50">
        <f>'表1-资金筹措及还本付息表'!U63</f>
        <v>3.2549999999999999</v>
      </c>
      <c r="V22" s="50">
        <f>'表1-资金筹措及还本付息表'!V63</f>
        <v>3.2549999999999999</v>
      </c>
      <c r="W22" s="50">
        <f>'表1-资金筹措及还本付息表'!W63</f>
        <v>3.2549999999999999</v>
      </c>
      <c r="X22" s="50">
        <f>'表1-资金筹措及还本付息表'!X63</f>
        <v>3.2549999999999999</v>
      </c>
      <c r="Y22" s="50">
        <f>'表1-资金筹措及还本付息表'!Y63</f>
        <v>3.2549999999999999</v>
      </c>
      <c r="Z22" s="50">
        <f>'表1-资金筹措及还本付息表'!Z63</f>
        <v>3.2549999999999999</v>
      </c>
      <c r="AA22" s="50">
        <f>'表1-资金筹措及还本付息表'!AA63</f>
        <v>3.2549999999999999</v>
      </c>
    </row>
    <row r="23" spans="2:27" ht="21" customHeight="1">
      <c r="B23" s="88">
        <v>5.3</v>
      </c>
      <c r="C23" s="158" t="s">
        <v>397</v>
      </c>
      <c r="D23" s="50">
        <f t="shared" si="4"/>
        <v>0</v>
      </c>
      <c r="E23" s="87" t="s">
        <v>106</v>
      </c>
      <c r="F23" s="87"/>
      <c r="G23" s="87"/>
      <c r="H23" s="50">
        <f>'表1-资金筹措及还本付息表'!H73</f>
        <v>0</v>
      </c>
      <c r="I23" s="50">
        <f>'表1-资金筹措及还本付息表'!I73</f>
        <v>0</v>
      </c>
      <c r="J23" s="50">
        <f>'表1-资金筹措及还本付息表'!J73</f>
        <v>0</v>
      </c>
      <c r="K23" s="50">
        <f>'表1-资金筹措及还本付息表'!K73</f>
        <v>0</v>
      </c>
      <c r="L23" s="50">
        <f>'表1-资金筹措及还本付息表'!L73</f>
        <v>0</v>
      </c>
      <c r="M23" s="114">
        <f>'表1-资金筹措及还本付息表'!M73</f>
        <v>0</v>
      </c>
      <c r="N23" s="50">
        <f>'表1-资金筹措及还本付息表'!N73</f>
        <v>0</v>
      </c>
      <c r="O23" s="50">
        <f>'表1-资金筹措及还本付息表'!O73</f>
        <v>0</v>
      </c>
      <c r="P23" s="50">
        <f>'表1-资金筹措及还本付息表'!P73</f>
        <v>0</v>
      </c>
      <c r="Q23" s="50">
        <f>'表1-资金筹措及还本付息表'!Q73</f>
        <v>0</v>
      </c>
      <c r="R23" s="50">
        <f>'表1-资金筹措及还本付息表'!R73</f>
        <v>0</v>
      </c>
      <c r="S23" s="50">
        <f>'表1-资金筹措及还本付息表'!S73</f>
        <v>0</v>
      </c>
      <c r="T23" s="50">
        <f>'表1-资金筹措及还本付息表'!T73</f>
        <v>0</v>
      </c>
      <c r="U23" s="50">
        <f>'表1-资金筹措及还本付息表'!U73</f>
        <v>0</v>
      </c>
      <c r="V23" s="50">
        <f>'表1-资金筹措及还本付息表'!V73</f>
        <v>0</v>
      </c>
      <c r="W23" s="50">
        <f>'表1-资金筹措及还本付息表'!W73</f>
        <v>0</v>
      </c>
      <c r="X23" s="50">
        <f>'表1-资金筹措及还本付息表'!X73</f>
        <v>0</v>
      </c>
      <c r="Y23" s="50">
        <f>'表1-资金筹措及还本付息表'!Y73</f>
        <v>0</v>
      </c>
      <c r="Z23" s="50">
        <f>'表1-资金筹措及还本付息表'!Z73</f>
        <v>0</v>
      </c>
      <c r="AA23" s="50">
        <f>'表1-资金筹措及还本付息表'!AA73</f>
        <v>0</v>
      </c>
    </row>
    <row r="24" spans="2:27" ht="21" customHeight="1">
      <c r="B24" s="69" t="s">
        <v>342</v>
      </c>
      <c r="C24" s="127" t="s">
        <v>238</v>
      </c>
      <c r="D24" s="46">
        <f t="shared" si="4"/>
        <v>0</v>
      </c>
      <c r="E24" s="87" t="s">
        <v>106</v>
      </c>
      <c r="F24" s="87"/>
      <c r="G24" s="87"/>
      <c r="H24" s="46">
        <f>参数输入表!$H$211/(1+参数输入表!$H$215)</f>
        <v>0</v>
      </c>
      <c r="I24" s="46">
        <f>参数输入表!$H$211/(1+参数输入表!$H$215)</f>
        <v>0</v>
      </c>
      <c r="J24" s="46">
        <f>参数输入表!$H$211/(1+参数输入表!$H$215)</f>
        <v>0</v>
      </c>
      <c r="K24" s="46">
        <f>参数输入表!$H$211/(1+参数输入表!$H$215)</f>
        <v>0</v>
      </c>
      <c r="L24" s="46">
        <f>参数输入表!$H$211/(1+参数输入表!$H$215)</f>
        <v>0</v>
      </c>
      <c r="M24" s="67">
        <f>参数输入表!$H$211/(1+参数输入表!$H$215)</f>
        <v>0</v>
      </c>
      <c r="N24" s="46">
        <f>参数输入表!$H$211/(1+参数输入表!$H$215)</f>
        <v>0</v>
      </c>
      <c r="O24" s="46">
        <f>参数输入表!$H$211/(1+参数输入表!$H$215)</f>
        <v>0</v>
      </c>
      <c r="P24" s="46">
        <f>参数输入表!$H$211/(1+参数输入表!$H$215)</f>
        <v>0</v>
      </c>
      <c r="Q24" s="46">
        <f>参数输入表!$H$211/(1+参数输入表!$H$215)</f>
        <v>0</v>
      </c>
      <c r="R24" s="46">
        <f>参数输入表!$H$211/(1+参数输入表!$H$215)</f>
        <v>0</v>
      </c>
      <c r="S24" s="46">
        <f>参数输入表!$H$211/(1+参数输入表!$H$215)</f>
        <v>0</v>
      </c>
      <c r="T24" s="46">
        <f>参数输入表!$H$211/(1+参数输入表!$H$215)</f>
        <v>0</v>
      </c>
      <c r="U24" s="46">
        <f>参数输入表!$H$211/(1+参数输入表!$H$215)</f>
        <v>0</v>
      </c>
      <c r="V24" s="46">
        <f>参数输入表!$H$211/(1+参数输入表!$H$215)</f>
        <v>0</v>
      </c>
      <c r="W24" s="46">
        <f>参数输入表!$H$211/(1+参数输入表!$H$215)</f>
        <v>0</v>
      </c>
      <c r="X24" s="46">
        <f>参数输入表!$H$211/(1+参数输入表!$H$215)</f>
        <v>0</v>
      </c>
      <c r="Y24" s="46">
        <f>参数输入表!$H$211/(1+参数输入表!$H$215)</f>
        <v>0</v>
      </c>
      <c r="Z24" s="46">
        <f>参数输入表!$H$211/(1+参数输入表!$H$215)</f>
        <v>0</v>
      </c>
      <c r="AA24" s="46">
        <f>参数输入表!$H$211/(1+参数输入表!$H$215)</f>
        <v>0</v>
      </c>
    </row>
    <row r="25" spans="2:27" ht="21" customHeight="1">
      <c r="B25" s="161"/>
      <c r="C25" s="162"/>
      <c r="D25" s="163"/>
      <c r="E25" s="164"/>
      <c r="F25" s="164"/>
      <c r="G25" s="164"/>
      <c r="H25" s="163"/>
      <c r="I25" s="163"/>
      <c r="J25" s="163"/>
      <c r="K25" s="163"/>
      <c r="L25" s="163"/>
      <c r="M25" s="165"/>
      <c r="N25" s="163"/>
      <c r="O25" s="163"/>
      <c r="P25" s="163"/>
      <c r="Q25" s="163"/>
      <c r="R25" s="163"/>
      <c r="S25" s="163"/>
      <c r="T25" s="163"/>
      <c r="U25" s="163"/>
      <c r="V25" s="163"/>
      <c r="W25" s="163"/>
      <c r="X25" s="163"/>
      <c r="Y25" s="163"/>
      <c r="Z25" s="163"/>
      <c r="AA25" s="163"/>
    </row>
    <row r="26" spans="2:27" ht="21" customHeight="1">
      <c r="B26" s="60" t="s">
        <v>398</v>
      </c>
      <c r="C26" s="162"/>
      <c r="D26" s="163"/>
      <c r="E26" s="164"/>
      <c r="F26" s="164"/>
      <c r="G26" s="164"/>
      <c r="H26" s="163"/>
      <c r="I26" s="163"/>
      <c r="J26" s="163"/>
      <c r="K26" s="163"/>
      <c r="L26" s="163"/>
      <c r="M26" s="165"/>
      <c r="N26" s="163"/>
      <c r="O26" s="163"/>
      <c r="P26" s="163"/>
      <c r="Q26" s="163"/>
      <c r="R26" s="163"/>
      <c r="S26" s="163"/>
      <c r="T26" s="163"/>
      <c r="U26" s="163"/>
      <c r="V26" s="163"/>
      <c r="W26" s="163"/>
      <c r="X26" s="163"/>
      <c r="Y26" s="163"/>
      <c r="Z26" s="163"/>
      <c r="AA26" s="163"/>
    </row>
    <row r="27" spans="2:27" ht="21" customHeight="1">
      <c r="B27" s="337" t="s">
        <v>14</v>
      </c>
      <c r="C27" s="337" t="s">
        <v>320</v>
      </c>
      <c r="D27" s="337" t="s">
        <v>308</v>
      </c>
      <c r="E27" s="337" t="s">
        <v>39</v>
      </c>
      <c r="F27" s="324" t="s">
        <v>43</v>
      </c>
      <c r="G27" s="324"/>
      <c r="H27" s="325" t="s">
        <v>54</v>
      </c>
      <c r="I27" s="325"/>
      <c r="J27" s="325"/>
      <c r="K27" s="325"/>
      <c r="L27" s="325"/>
      <c r="M27" s="336"/>
      <c r="N27" s="325"/>
      <c r="O27" s="325"/>
      <c r="P27" s="325"/>
      <c r="Q27" s="325"/>
      <c r="R27" s="325"/>
      <c r="S27" s="325"/>
      <c r="T27" s="325"/>
      <c r="U27" s="325"/>
      <c r="V27" s="325"/>
      <c r="W27" s="325"/>
      <c r="X27" s="325"/>
      <c r="Y27" s="325"/>
      <c r="Z27" s="325"/>
      <c r="AA27" s="325"/>
    </row>
    <row r="28" spans="2:27" ht="21" customHeight="1">
      <c r="B28" s="338"/>
      <c r="C28" s="338"/>
      <c r="D28" s="338"/>
      <c r="E28" s="338"/>
      <c r="F28" s="42">
        <v>1</v>
      </c>
      <c r="G28" s="42">
        <v>2</v>
      </c>
      <c r="H28" s="43">
        <v>1</v>
      </c>
      <c r="I28" s="43">
        <v>2</v>
      </c>
      <c r="J28" s="43">
        <v>3</v>
      </c>
      <c r="K28" s="43">
        <v>4</v>
      </c>
      <c r="L28" s="43">
        <v>5</v>
      </c>
      <c r="M28" s="154">
        <v>6</v>
      </c>
      <c r="N28" s="43">
        <v>7</v>
      </c>
      <c r="O28" s="43">
        <v>8</v>
      </c>
      <c r="P28" s="43">
        <v>9</v>
      </c>
      <c r="Q28" s="43">
        <v>10</v>
      </c>
      <c r="R28" s="43">
        <v>11</v>
      </c>
      <c r="S28" s="43">
        <v>12</v>
      </c>
      <c r="T28" s="43">
        <v>13</v>
      </c>
      <c r="U28" s="43">
        <v>14</v>
      </c>
      <c r="V28" s="43">
        <v>15</v>
      </c>
      <c r="W28" s="43">
        <v>16</v>
      </c>
      <c r="X28" s="43">
        <v>17</v>
      </c>
      <c r="Y28" s="43">
        <v>18</v>
      </c>
      <c r="Z28" s="43">
        <v>19</v>
      </c>
      <c r="AA28" s="43">
        <v>20</v>
      </c>
    </row>
    <row r="29" spans="2:27" ht="21" customHeight="1">
      <c r="B29" s="80" t="s">
        <v>341</v>
      </c>
      <c r="C29" s="81" t="s">
        <v>388</v>
      </c>
      <c r="D29" s="46">
        <f ca="1">SUM(F29:AA29)</f>
        <v>34347.479218161534</v>
      </c>
      <c r="E29" s="87" t="s">
        <v>106</v>
      </c>
      <c r="F29" s="109"/>
      <c r="G29" s="109"/>
      <c r="H29" s="109">
        <f ca="1">H30+H39+H40+H43</f>
        <v>1886.7794561730393</v>
      </c>
      <c r="I29" s="109">
        <f t="shared" ref="I29:AA29" ca="1" si="6">I30+I39+I40+I43</f>
        <v>1886.7794561730393</v>
      </c>
      <c r="J29" s="109">
        <f t="shared" ca="1" si="6"/>
        <v>1886.7794561730393</v>
      </c>
      <c r="K29" s="109">
        <f t="shared" ca="1" si="6"/>
        <v>1886.7794561730393</v>
      </c>
      <c r="L29" s="109">
        <f t="shared" ca="1" si="6"/>
        <v>1886.7794561730393</v>
      </c>
      <c r="M29" s="155">
        <f t="shared" ca="1" si="6"/>
        <v>1997.2026797400995</v>
      </c>
      <c r="N29" s="109">
        <f t="shared" ca="1" si="6"/>
        <v>1997.2026797400995</v>
      </c>
      <c r="O29" s="109">
        <f t="shared" ca="1" si="6"/>
        <v>1997.2026797400995</v>
      </c>
      <c r="P29" s="109">
        <f t="shared" ca="1" si="6"/>
        <v>1997.2026797400995</v>
      </c>
      <c r="Q29" s="109">
        <f t="shared" ca="1" si="6"/>
        <v>1997.2026797400995</v>
      </c>
      <c r="R29" s="109">
        <f t="shared" ca="1" si="6"/>
        <v>2147.9798856080433</v>
      </c>
      <c r="S29" s="109">
        <f t="shared" ca="1" si="6"/>
        <v>2147.9798856080433</v>
      </c>
      <c r="T29" s="109">
        <f t="shared" ca="1" si="6"/>
        <v>2147.9798856080433</v>
      </c>
      <c r="U29" s="109">
        <f t="shared" ca="1" si="6"/>
        <v>2147.9798856080433</v>
      </c>
      <c r="V29" s="109">
        <f t="shared" ca="1" si="6"/>
        <v>2147.9798856080433</v>
      </c>
      <c r="W29" s="109">
        <f t="shared" ca="1" si="6"/>
        <v>837.53382211112216</v>
      </c>
      <c r="X29" s="109">
        <f t="shared" ca="1" si="6"/>
        <v>837.53382211112216</v>
      </c>
      <c r="Y29" s="109">
        <f t="shared" ca="1" si="6"/>
        <v>837.53382211112216</v>
      </c>
      <c r="Z29" s="109">
        <f t="shared" ca="1" si="6"/>
        <v>837.53382211112216</v>
      </c>
      <c r="AA29" s="109">
        <f t="shared" ca="1" si="6"/>
        <v>837.53382211112216</v>
      </c>
    </row>
    <row r="30" spans="2:27" ht="26.5" customHeight="1">
      <c r="B30" s="80">
        <v>1</v>
      </c>
      <c r="C30" s="81" t="s">
        <v>177</v>
      </c>
      <c r="D30" s="46">
        <f t="shared" ref="D30:D44" ca="1" si="7">SUM(F30:AA30)</f>
        <v>33225.740307321546</v>
      </c>
      <c r="E30" s="87"/>
      <c r="F30" s="109"/>
      <c r="G30" s="109"/>
      <c r="H30" s="109">
        <f ca="1">SUM(H31:H38)</f>
        <v>1830.69251063104</v>
      </c>
      <c r="I30" s="109">
        <f t="shared" ref="I30:AA30" ca="1" si="8">SUM(I31:I38)</f>
        <v>1830.69251063104</v>
      </c>
      <c r="J30" s="109">
        <f t="shared" ca="1" si="8"/>
        <v>1830.69251063104</v>
      </c>
      <c r="K30" s="109">
        <f t="shared" ca="1" si="8"/>
        <v>1830.69251063104</v>
      </c>
      <c r="L30" s="109">
        <f t="shared" ca="1" si="8"/>
        <v>1830.69251063104</v>
      </c>
      <c r="M30" s="155">
        <f t="shared" ca="1" si="8"/>
        <v>1941.1157341981002</v>
      </c>
      <c r="N30" s="109">
        <f t="shared" ca="1" si="8"/>
        <v>1941.1157341981002</v>
      </c>
      <c r="O30" s="109">
        <f t="shared" ca="1" si="8"/>
        <v>1941.1157341981002</v>
      </c>
      <c r="P30" s="109">
        <f t="shared" ca="1" si="8"/>
        <v>1941.1157341981002</v>
      </c>
      <c r="Q30" s="109">
        <f t="shared" ca="1" si="8"/>
        <v>1941.1157341981002</v>
      </c>
      <c r="R30" s="109">
        <f t="shared" ca="1" si="8"/>
        <v>2091.892940066044</v>
      </c>
      <c r="S30" s="109">
        <f t="shared" ca="1" si="8"/>
        <v>2091.892940066044</v>
      </c>
      <c r="T30" s="109">
        <f t="shared" ca="1" si="8"/>
        <v>2091.892940066044</v>
      </c>
      <c r="U30" s="109">
        <f t="shared" ca="1" si="8"/>
        <v>2091.892940066044</v>
      </c>
      <c r="V30" s="109">
        <f t="shared" ca="1" si="8"/>
        <v>2091.892940066044</v>
      </c>
      <c r="W30" s="109">
        <f t="shared" si="8"/>
        <v>781.44687656912288</v>
      </c>
      <c r="X30" s="109">
        <f t="shared" si="8"/>
        <v>781.44687656912288</v>
      </c>
      <c r="Y30" s="109">
        <f t="shared" si="8"/>
        <v>781.44687656912288</v>
      </c>
      <c r="Z30" s="109">
        <f t="shared" si="8"/>
        <v>781.44687656912288</v>
      </c>
      <c r="AA30" s="109">
        <f t="shared" si="8"/>
        <v>781.44687656912288</v>
      </c>
    </row>
    <row r="31" spans="2:27" ht="20" customHeight="1">
      <c r="B31" s="47">
        <v>1.1000000000000001</v>
      </c>
      <c r="C31" s="156" t="s">
        <v>154</v>
      </c>
      <c r="D31" s="50">
        <f t="shared" si="7"/>
        <v>1800</v>
      </c>
      <c r="E31" s="87" t="s">
        <v>106</v>
      </c>
      <c r="F31" s="109"/>
      <c r="G31" s="109"/>
      <c r="H31" s="109">
        <f>参数输入表!$H$104*参数输入表!$H$13/(1+参数输入表!$H$108)</f>
        <v>90</v>
      </c>
      <c r="I31" s="109">
        <f>参数输入表!$H$104*参数输入表!$H$13/(1+参数输入表!$H$108)</f>
        <v>90</v>
      </c>
      <c r="J31" s="109">
        <f>参数输入表!$H$104*参数输入表!$H$13/(1+参数输入表!$H$108)</f>
        <v>90</v>
      </c>
      <c r="K31" s="109">
        <f>参数输入表!$H$104*参数输入表!$H$13/(1+参数输入表!$H$108)</f>
        <v>90</v>
      </c>
      <c r="L31" s="109">
        <f>参数输入表!$H$104*参数输入表!$H$13/(1+参数输入表!$H$108)</f>
        <v>90</v>
      </c>
      <c r="M31" s="155">
        <f>参数输入表!$H$105*参数输入表!$H$13/(1+参数输入表!$H$108)</f>
        <v>90</v>
      </c>
      <c r="N31" s="109">
        <f>参数输入表!$H$105*参数输入表!$H$13/(1+参数输入表!$H$108)</f>
        <v>90</v>
      </c>
      <c r="O31" s="109">
        <f>参数输入表!$H$105*参数输入表!$H$13/(1+参数输入表!$H$108)</f>
        <v>90</v>
      </c>
      <c r="P31" s="109">
        <f>参数输入表!$H$105*参数输入表!$H$13/(1+参数输入表!$H$108)</f>
        <v>90</v>
      </c>
      <c r="Q31" s="109">
        <f>参数输入表!$H$105*参数输入表!$H$13/(1+参数输入表!$H$108)</f>
        <v>90</v>
      </c>
      <c r="R31" s="109">
        <f>参数输入表!$H$106*参数输入表!$H$13/(1+参数输入表!$H$108)</f>
        <v>90</v>
      </c>
      <c r="S31" s="109">
        <f>参数输入表!$H$106*参数输入表!$H$13/(1+参数输入表!$H$108)</f>
        <v>90</v>
      </c>
      <c r="T31" s="109">
        <f>参数输入表!$H$106*参数输入表!$H$13/(1+参数输入表!$H$108)</f>
        <v>90</v>
      </c>
      <c r="U31" s="109">
        <f>参数输入表!$H$106*参数输入表!$H$13/(1+参数输入表!$H$108)</f>
        <v>90</v>
      </c>
      <c r="V31" s="109">
        <f>参数输入表!$H$106*参数输入表!$H$13/(1+参数输入表!$H$108)</f>
        <v>90</v>
      </c>
      <c r="W31" s="109">
        <f>参数输入表!$H$107*参数输入表!$H$13/(1+参数输入表!$H$108)</f>
        <v>90</v>
      </c>
      <c r="X31" s="109">
        <f>参数输入表!$H$107*参数输入表!$H$13/(1+参数输入表!$H$108)</f>
        <v>90</v>
      </c>
      <c r="Y31" s="109">
        <f>参数输入表!$H$107*参数输入表!$H$13/(1+参数输入表!$H$108)</f>
        <v>90</v>
      </c>
      <c r="Z31" s="109">
        <f>参数输入表!$H$107*参数输入表!$H$13/(1+参数输入表!$H$108)</f>
        <v>90</v>
      </c>
      <c r="AA31" s="109">
        <f>参数输入表!$H$107*参数输入表!$H$13/(1+参数输入表!$H$108)</f>
        <v>90</v>
      </c>
    </row>
    <row r="32" spans="2:27" ht="21" customHeight="1">
      <c r="B32" s="88">
        <v>1.2</v>
      </c>
      <c r="C32" s="157" t="s">
        <v>165</v>
      </c>
      <c r="D32" s="50">
        <f t="shared" si="7"/>
        <v>5521.1611783529697</v>
      </c>
      <c r="E32" s="87" t="s">
        <v>106</v>
      </c>
      <c r="F32" s="109"/>
      <c r="G32" s="109"/>
      <c r="H32" s="50">
        <f>(参数输入表!$H$76-参数输入表!$H$83)*参数输入表!$H$112/(1+参数输入表!$H$116)</f>
        <v>110.423223567059</v>
      </c>
      <c r="I32" s="50">
        <f>(参数输入表!$H$76-参数输入表!$H$83)*参数输入表!$H$112/(1+参数输入表!$H$116)</f>
        <v>110.423223567059</v>
      </c>
      <c r="J32" s="50">
        <f>(参数输入表!$H$76-参数输入表!$H$83)*参数输入表!$H$112/(1+参数输入表!$H$116)</f>
        <v>110.423223567059</v>
      </c>
      <c r="K32" s="50">
        <f>(参数输入表!$H$76-参数输入表!$H$83)*参数输入表!$H$112/(1+参数输入表!$H$116)</f>
        <v>110.423223567059</v>
      </c>
      <c r="L32" s="50">
        <f>(参数输入表!$H$76-参数输入表!$H$83)*参数输入表!$H$112/(1+参数输入表!$H$116)</f>
        <v>110.423223567059</v>
      </c>
      <c r="M32" s="114">
        <f>(参数输入表!$H$76-参数输入表!$H$83)*参数输入表!$H$113/(1+参数输入表!$H$116)</f>
        <v>220.84644713411899</v>
      </c>
      <c r="N32" s="50">
        <f>(参数输入表!$H$76-参数输入表!$H$83)*参数输入表!$H$113/(1+参数输入表!$H$116)</f>
        <v>220.84644713411899</v>
      </c>
      <c r="O32" s="50">
        <f>(参数输入表!$H$76-参数输入表!$H$83)*参数输入表!$H$113/(1+参数输入表!$H$116)</f>
        <v>220.84644713411899</v>
      </c>
      <c r="P32" s="50">
        <f>(参数输入表!$H$76-参数输入表!$H$83)*参数输入表!$H$113/(1+参数输入表!$H$116)</f>
        <v>220.84644713411899</v>
      </c>
      <c r="Q32" s="50">
        <f>(参数输入表!$H$76-参数输入表!$H$83)*参数输入表!$H$113/(1+参数输入表!$H$116)</f>
        <v>220.84644713411899</v>
      </c>
      <c r="R32" s="50">
        <f>(参数输入表!$H$76-参数输入表!$H$83)*参数输入表!$H$114/(1+参数输入表!$H$116)</f>
        <v>331.26967070117797</v>
      </c>
      <c r="S32" s="50">
        <f>(参数输入表!$H$76-参数输入表!$H$83)*参数输入表!$H$114/(1+参数输入表!$H$116)</f>
        <v>331.26967070117797</v>
      </c>
      <c r="T32" s="50">
        <f>(参数输入表!$H$76-参数输入表!$H$83)*参数输入表!$H$114/(1+参数输入表!$H$116)</f>
        <v>331.26967070117797</v>
      </c>
      <c r="U32" s="50">
        <f>(参数输入表!$H$76-参数输入表!$H$83)*参数输入表!$H$114/(1+参数输入表!$H$116)</f>
        <v>331.26967070117797</v>
      </c>
      <c r="V32" s="50">
        <f>(参数输入表!$H$76-参数输入表!$H$83)*参数输入表!$H$114/(1+参数输入表!$H$116)</f>
        <v>331.26967070117797</v>
      </c>
      <c r="W32" s="50">
        <f>(参数输入表!$H$76-参数输入表!$H$83)*参数输入表!$H$115/(1+参数输入表!$H$116)</f>
        <v>441.69289426823798</v>
      </c>
      <c r="X32" s="50">
        <f>(参数输入表!$H$76-参数输入表!$H$83)*参数输入表!$H$115/(1+参数输入表!$H$116)</f>
        <v>441.69289426823798</v>
      </c>
      <c r="Y32" s="50">
        <f>(参数输入表!$H$76-参数输入表!$H$83)*参数输入表!$H$115/(1+参数输入表!$H$116)</f>
        <v>441.69289426823798</v>
      </c>
      <c r="Z32" s="50">
        <f>(参数输入表!$H$76-参数输入表!$H$83)*参数输入表!$H$115/(1+参数输入表!$H$116)</f>
        <v>441.69289426823798</v>
      </c>
      <c r="AA32" s="50">
        <f>(参数输入表!$H$76-参数输入表!$H$83)*参数输入表!$H$115/(1+参数输入表!$H$116)</f>
        <v>441.69289426823798</v>
      </c>
    </row>
    <row r="33" spans="2:27" ht="21" customHeight="1">
      <c r="B33" s="88">
        <v>1.3</v>
      </c>
      <c r="C33" s="158" t="s">
        <v>176</v>
      </c>
      <c r="D33" s="50">
        <f t="shared" si="7"/>
        <v>2688</v>
      </c>
      <c r="E33" s="87" t="s">
        <v>106</v>
      </c>
      <c r="F33" s="109"/>
      <c r="G33" s="109"/>
      <c r="H33" s="50">
        <f>(参数输入表!$H$127*参数输入表!$H$130+参数输入表!$H$128*参数输入表!$H$131)*(1+参数输入表!$H$132)*(1+参数输入表!$H$133*(H28-1))/(1+参数输入表!$H$134)</f>
        <v>134.4</v>
      </c>
      <c r="I33" s="50">
        <f>(参数输入表!$H$127*参数输入表!$H$130+参数输入表!$H$128*参数输入表!$H$131)*(1+参数输入表!$H$132)*(1+参数输入表!$H$133*(I28-1))/(1+参数输入表!$H$134)</f>
        <v>134.4</v>
      </c>
      <c r="J33" s="50">
        <f>(参数输入表!$H$127*参数输入表!$H$130+参数输入表!$H$128*参数输入表!$H$131)*(1+参数输入表!$H$132)*(1+参数输入表!$H$133*(J28-1))/(1+参数输入表!$H$134)</f>
        <v>134.4</v>
      </c>
      <c r="K33" s="50">
        <f>(参数输入表!$H$127*参数输入表!$H$130+参数输入表!$H$128*参数输入表!$H$131)*(1+参数输入表!$H$132)*(1+参数输入表!$H$133*(K28-1))/(1+参数输入表!$H$134)</f>
        <v>134.4</v>
      </c>
      <c r="L33" s="50">
        <f>(参数输入表!$H$127*参数输入表!$H$130+参数输入表!$H$128*参数输入表!$H$131)*(1+参数输入表!$H$132)*(1+参数输入表!$H$133*(L28-1))/(1+参数输入表!$H$134)</f>
        <v>134.4</v>
      </c>
      <c r="M33" s="114">
        <f>(参数输入表!$H$127*参数输入表!$H$130+参数输入表!$H$128*参数输入表!$H$131)*(1+参数输入表!$H$132)*(1+参数输入表!$H$133*(M28-1))/(1+参数输入表!$H$134)</f>
        <v>134.4</v>
      </c>
      <c r="N33" s="50">
        <f>(参数输入表!$H$127*参数输入表!$H$130+参数输入表!$H$128*参数输入表!$H$131)*(1+参数输入表!$H$132)*(1+参数输入表!$H$133*(N28-1))/(1+参数输入表!$H$134)</f>
        <v>134.4</v>
      </c>
      <c r="O33" s="50">
        <f>(参数输入表!$H$127*参数输入表!$H$130+参数输入表!$H$128*参数输入表!$H$131)*(1+参数输入表!$H$132)*(1+参数输入表!$H$133*(O28-1))/(1+参数输入表!$H$134)</f>
        <v>134.4</v>
      </c>
      <c r="P33" s="50">
        <f>(参数输入表!$H$127*参数输入表!$H$130+参数输入表!$H$128*参数输入表!$H$131)*(1+参数输入表!$H$132)*(1+参数输入表!$H$133*(P28-1))/(1+参数输入表!$H$134)</f>
        <v>134.4</v>
      </c>
      <c r="Q33" s="50">
        <f>(参数输入表!$H$127*参数输入表!$H$130+参数输入表!$H$128*参数输入表!$H$131)*(1+参数输入表!$H$132)*(1+参数输入表!$H$133*(Q28-1))/(1+参数输入表!$H$134)</f>
        <v>134.4</v>
      </c>
      <c r="R33" s="50">
        <f>(参数输入表!$H$127*参数输入表!$H$130+参数输入表!$H$128*参数输入表!$H$131)*(1+参数输入表!$H$132)*(1+参数输入表!$H$133*(R28-1))/(1+参数输入表!$H$134)</f>
        <v>134.4</v>
      </c>
      <c r="S33" s="50">
        <f>(参数输入表!$H$127*参数输入表!$H$130+参数输入表!$H$128*参数输入表!$H$131)*(1+参数输入表!$H$132)*(1+参数输入表!$H$133*(S28-1))/(1+参数输入表!$H$134)</f>
        <v>134.4</v>
      </c>
      <c r="T33" s="50">
        <f>(参数输入表!$H$127*参数输入表!$H$130+参数输入表!$H$128*参数输入表!$H$131)*(1+参数输入表!$H$132)*(1+参数输入表!$H$133*(T28-1))/(1+参数输入表!$H$134)</f>
        <v>134.4</v>
      </c>
      <c r="U33" s="50">
        <f>(参数输入表!$H$127*参数输入表!$H$130+参数输入表!$H$128*参数输入表!$H$131)*(1+参数输入表!$H$132)*(1+参数输入表!$H$133*(U28-1))/(1+参数输入表!$H$134)</f>
        <v>134.4</v>
      </c>
      <c r="V33" s="50">
        <f>(参数输入表!$H$127*参数输入表!$H$130+参数输入表!$H$128*参数输入表!$H$131)*(1+参数输入表!$H$132)*(1+参数输入表!$H$133*(V28-1))/(1+参数输入表!$H$134)</f>
        <v>134.4</v>
      </c>
      <c r="W33" s="50">
        <f>(参数输入表!$H$127*参数输入表!$H$130+参数输入表!$H$128*参数输入表!$H$131)*(1+参数输入表!$H$132)*(1+参数输入表!$H$133*(W28-1))/(1+参数输入表!$H$134)</f>
        <v>134.4</v>
      </c>
      <c r="X33" s="50">
        <f>(参数输入表!$H$127*参数输入表!$H$130+参数输入表!$H$128*参数输入表!$H$131)*(1+参数输入表!$H$132)*(1+参数输入表!$H$133*(X28-1))/(1+参数输入表!$H$134)</f>
        <v>134.4</v>
      </c>
      <c r="Y33" s="50">
        <f>(参数输入表!$H$127*参数输入表!$H$130+参数输入表!$H$128*参数输入表!$H$131)*(1+参数输入表!$H$132)*(1+参数输入表!$H$133*(Y28-1))/(1+参数输入表!$H$134)</f>
        <v>134.4</v>
      </c>
      <c r="Z33" s="50">
        <f>(参数输入表!$H$127*参数输入表!$H$130+参数输入表!$H$128*参数输入表!$H$131)*(1+参数输入表!$H$132)*(1+参数输入表!$H$133*(Z28-1))/(1+参数输入表!$H$134)</f>
        <v>134.4</v>
      </c>
      <c r="AA33" s="50">
        <f>(参数输入表!$H$127*参数输入表!$H$130+参数输入表!$H$128*参数输入表!$H$131)*(1+参数输入表!$H$132)*(1+参数输入表!$H$133*(AA28-1))/(1+参数输入表!$H$134)</f>
        <v>134.4</v>
      </c>
    </row>
    <row r="34" spans="2:27" ht="21" customHeight="1">
      <c r="B34" s="88">
        <v>1.4</v>
      </c>
      <c r="C34" s="159" t="s">
        <v>389</v>
      </c>
      <c r="D34" s="50">
        <f t="shared" si="7"/>
        <v>0</v>
      </c>
      <c r="E34" s="87" t="s">
        <v>106</v>
      </c>
      <c r="F34" s="109"/>
      <c r="G34" s="109"/>
      <c r="H34" s="50">
        <f>'表2-折旧摊销表'!H58</f>
        <v>0</v>
      </c>
      <c r="I34" s="50">
        <f>'表2-折旧摊销表'!I58</f>
        <v>0</v>
      </c>
      <c r="J34" s="50">
        <f>'表2-折旧摊销表'!J58</f>
        <v>0</v>
      </c>
      <c r="K34" s="50">
        <f>'表2-折旧摊销表'!K58</f>
        <v>0</v>
      </c>
      <c r="L34" s="50">
        <f>'表2-折旧摊销表'!L58</f>
        <v>0</v>
      </c>
      <c r="M34" s="114">
        <f>'表2-折旧摊销表'!M58</f>
        <v>0</v>
      </c>
      <c r="N34" s="50">
        <f>'表2-折旧摊销表'!N58</f>
        <v>0</v>
      </c>
      <c r="O34" s="50">
        <f>'表2-折旧摊销表'!O58</f>
        <v>0</v>
      </c>
      <c r="P34" s="50">
        <f>'表2-折旧摊销表'!P58</f>
        <v>0</v>
      </c>
      <c r="Q34" s="50">
        <f>'表2-折旧摊销表'!Q58</f>
        <v>0</v>
      </c>
      <c r="R34" s="50">
        <f>'表2-折旧摊销表'!R58</f>
        <v>0</v>
      </c>
      <c r="S34" s="50">
        <f>'表2-折旧摊销表'!S58</f>
        <v>0</v>
      </c>
      <c r="T34" s="50">
        <f>'表2-折旧摊销表'!T58</f>
        <v>0</v>
      </c>
      <c r="U34" s="50">
        <f>'表2-折旧摊销表'!U58</f>
        <v>0</v>
      </c>
      <c r="V34" s="50">
        <f>'表2-折旧摊销表'!V58</f>
        <v>0</v>
      </c>
      <c r="W34" s="50">
        <f>'表2-折旧摊销表'!W58</f>
        <v>0</v>
      </c>
      <c r="X34" s="50">
        <f>'表2-折旧摊销表'!X58</f>
        <v>0</v>
      </c>
      <c r="Y34" s="50">
        <f>'表2-折旧摊销表'!Y58</f>
        <v>0</v>
      </c>
      <c r="Z34" s="50">
        <f>'表2-折旧摊销表'!Z58</f>
        <v>0</v>
      </c>
      <c r="AA34" s="50">
        <f>'表2-折旧摊销表'!AA58</f>
        <v>0</v>
      </c>
    </row>
    <row r="35" spans="2:27" ht="21" customHeight="1">
      <c r="B35" s="88">
        <v>1.5</v>
      </c>
      <c r="C35" s="158" t="s">
        <v>390</v>
      </c>
      <c r="D35" s="50">
        <f t="shared" ca="1" si="7"/>
        <v>21716.579128968555</v>
      </c>
      <c r="E35" s="87" t="s">
        <v>106</v>
      </c>
      <c r="F35" s="109"/>
      <c r="G35" s="109"/>
      <c r="H35" s="50">
        <f ca="1">'表2-折旧摊销表'!H55+'表2-折旧摊销表'!H61+'表2-折旧摊销表'!H64</f>
        <v>1420.8692870639811</v>
      </c>
      <c r="I35" s="50">
        <f ca="1">'表2-折旧摊销表'!I55+'表2-折旧摊销表'!I61+'表2-折旧摊销表'!I64</f>
        <v>1420.8692870639811</v>
      </c>
      <c r="J35" s="50">
        <f ca="1">'表2-折旧摊销表'!J55+'表2-折旧摊销表'!J61+'表2-折旧摊销表'!J64</f>
        <v>1420.8692870639811</v>
      </c>
      <c r="K35" s="50">
        <f ca="1">'表2-折旧摊销表'!K55+'表2-折旧摊销表'!K61+'表2-折旧摊销表'!K64</f>
        <v>1420.8692870639811</v>
      </c>
      <c r="L35" s="50">
        <f ca="1">'表2-折旧摊销表'!L55+'表2-折旧摊销表'!L61+'表2-折旧摊销表'!L64</f>
        <v>1420.8692870639811</v>
      </c>
      <c r="M35" s="114">
        <f ca="1">'表2-折旧摊销表'!M55+'表2-折旧摊销表'!M61+'表2-折旧摊销表'!M64</f>
        <v>1420.8692870639811</v>
      </c>
      <c r="N35" s="50">
        <f ca="1">'表2-折旧摊销表'!N55+'表2-折旧摊销表'!N61+'表2-折旧摊销表'!N64</f>
        <v>1420.8692870639811</v>
      </c>
      <c r="O35" s="50">
        <f ca="1">'表2-折旧摊销表'!O55+'表2-折旧摊销表'!O61+'表2-折旧摊销表'!O64</f>
        <v>1420.8692870639811</v>
      </c>
      <c r="P35" s="50">
        <f ca="1">'表2-折旧摊销表'!P55+'表2-折旧摊销表'!P61+'表2-折旧摊销表'!P64</f>
        <v>1420.8692870639811</v>
      </c>
      <c r="Q35" s="50">
        <f ca="1">'表2-折旧摊销表'!Q55+'表2-折旧摊销表'!Q61+'表2-折旧摊销表'!Q64</f>
        <v>1420.8692870639811</v>
      </c>
      <c r="R35" s="50">
        <f ca="1">'表2-折旧摊销表'!R55+'表2-折旧摊销表'!R61+'表2-折旧摊销表'!R64</f>
        <v>1461.2232693648662</v>
      </c>
      <c r="S35" s="50">
        <f ca="1">'表2-折旧摊销表'!S55+'表2-折旧摊销表'!S61+'表2-折旧摊销表'!S64</f>
        <v>1461.2232693648662</v>
      </c>
      <c r="T35" s="50">
        <f ca="1">'表2-折旧摊销表'!T55+'表2-折旧摊销表'!T61+'表2-折旧摊销表'!T64</f>
        <v>1461.2232693648662</v>
      </c>
      <c r="U35" s="50">
        <f ca="1">'表2-折旧摊销表'!U55+'表2-折旧摊销表'!U61+'表2-折旧摊销表'!U64</f>
        <v>1461.2232693648662</v>
      </c>
      <c r="V35" s="50">
        <f ca="1">'表2-折旧摊销表'!V55+'表2-折旧摊销表'!V61+'表2-折旧摊销表'!V64</f>
        <v>1461.2232693648662</v>
      </c>
      <c r="W35" s="50">
        <f>'表2-折旧摊销表'!W55+'表2-折旧摊销表'!W61+'表2-折旧摊销表'!W64</f>
        <v>40.353982300884965</v>
      </c>
      <c r="X35" s="50">
        <f>'表2-折旧摊销表'!X55+'表2-折旧摊销表'!X61+'表2-折旧摊销表'!X64</f>
        <v>40.353982300884965</v>
      </c>
      <c r="Y35" s="50">
        <f>'表2-折旧摊销表'!Y55+'表2-折旧摊销表'!Y61+'表2-折旧摊销表'!Y64</f>
        <v>40.353982300884965</v>
      </c>
      <c r="Z35" s="50">
        <f>'表2-折旧摊销表'!Z55+'表2-折旧摊销表'!Z61+'表2-折旧摊销表'!Z64</f>
        <v>40.353982300884965</v>
      </c>
      <c r="AA35" s="50">
        <f>'表2-折旧摊销表'!AA55+'表2-折旧摊销表'!AA61+'表2-折旧摊销表'!AA64</f>
        <v>40.353982300884965</v>
      </c>
    </row>
    <row r="36" spans="2:27" ht="21" customHeight="1">
      <c r="B36" s="47">
        <v>1.6</v>
      </c>
      <c r="C36" s="160" t="s">
        <v>21</v>
      </c>
      <c r="D36" s="50">
        <f t="shared" si="7"/>
        <v>1500</v>
      </c>
      <c r="E36" s="87" t="s">
        <v>106</v>
      </c>
      <c r="F36" s="109"/>
      <c r="G36" s="109"/>
      <c r="H36" s="50">
        <f>参数输入表!$H$135*参数输入表!$H$13/(1+参数输入表!$H$136)</f>
        <v>75</v>
      </c>
      <c r="I36" s="50">
        <f>参数输入表!$H$135*参数输入表!$H$13/(1+参数输入表!$H$136)</f>
        <v>75</v>
      </c>
      <c r="J36" s="50">
        <f>参数输入表!$H$135*参数输入表!$H$13/(1+参数输入表!$H$136)</f>
        <v>75</v>
      </c>
      <c r="K36" s="50">
        <f>参数输入表!$H$135*参数输入表!$H$13/(1+参数输入表!$H$136)</f>
        <v>75</v>
      </c>
      <c r="L36" s="50">
        <f>参数输入表!$H$135*参数输入表!$H$13/(1+参数输入表!$H$136)</f>
        <v>75</v>
      </c>
      <c r="M36" s="114">
        <f>参数输入表!$H$135*参数输入表!$H$13/(1+参数输入表!$H$136)</f>
        <v>75</v>
      </c>
      <c r="N36" s="50">
        <f>参数输入表!$H$135*参数输入表!$H$13/(1+参数输入表!$H$136)</f>
        <v>75</v>
      </c>
      <c r="O36" s="50">
        <f>参数输入表!$H$135*参数输入表!$H$13/(1+参数输入表!$H$136)</f>
        <v>75</v>
      </c>
      <c r="P36" s="50">
        <f>参数输入表!$H$135*参数输入表!$H$13/(1+参数输入表!$H$136)</f>
        <v>75</v>
      </c>
      <c r="Q36" s="50">
        <f>参数输入表!$H$135*参数输入表!$H$13/(1+参数输入表!$H$136)</f>
        <v>75</v>
      </c>
      <c r="R36" s="50">
        <f>参数输入表!$H$135*参数输入表!$H$13/(1+参数输入表!$H$136)</f>
        <v>75</v>
      </c>
      <c r="S36" s="50">
        <f>参数输入表!$H$135*参数输入表!$H$13/(1+参数输入表!$H$136)</f>
        <v>75</v>
      </c>
      <c r="T36" s="50">
        <f>参数输入表!$H$135*参数输入表!$H$13/(1+参数输入表!$H$136)</f>
        <v>75</v>
      </c>
      <c r="U36" s="50">
        <f>参数输入表!$H$135*参数输入表!$H$13/(1+参数输入表!$H$136)</f>
        <v>75</v>
      </c>
      <c r="V36" s="50">
        <f>参数输入表!$H$135*参数输入表!$H$13/(1+参数输入表!$H$136)</f>
        <v>75</v>
      </c>
      <c r="W36" s="50">
        <f>参数输入表!$H$135*参数输入表!$H$13/(1+参数输入表!$H$136)</f>
        <v>75</v>
      </c>
      <c r="X36" s="50">
        <f>参数输入表!$H$135*参数输入表!$H$13/(1+参数输入表!$H$136)</f>
        <v>75</v>
      </c>
      <c r="Y36" s="50">
        <f>参数输入表!$H$135*参数输入表!$H$13/(1+参数输入表!$H$136)</f>
        <v>75</v>
      </c>
      <c r="Z36" s="50">
        <f>参数输入表!$H$135*参数输入表!$H$13/(1+参数输入表!$H$136)</f>
        <v>75</v>
      </c>
      <c r="AA36" s="50">
        <f>参数输入表!$H$135*参数输入表!$H$13/(1+参数输入表!$H$136)</f>
        <v>75</v>
      </c>
    </row>
    <row r="37" spans="2:27" ht="21" customHeight="1">
      <c r="B37" s="47">
        <v>1.7</v>
      </c>
      <c r="C37" s="160" t="s">
        <v>200</v>
      </c>
      <c r="D37" s="50">
        <f t="shared" si="7"/>
        <v>0</v>
      </c>
      <c r="E37" s="87" t="s">
        <v>106</v>
      </c>
      <c r="F37" s="109"/>
      <c r="G37" s="109"/>
      <c r="H37" s="50">
        <f>参数输入表!$H$145*参数输入表!$H$13*1000/10000/(1+参数输入表!$H$146)</f>
        <v>0</v>
      </c>
      <c r="I37" s="50">
        <f>参数输入表!$H$145*参数输入表!$H$13*1000/10000/(1+参数输入表!$H$146)</f>
        <v>0</v>
      </c>
      <c r="J37" s="50">
        <f>参数输入表!$H$145*参数输入表!$H$13*1000/10000/(1+参数输入表!$H$146)</f>
        <v>0</v>
      </c>
      <c r="K37" s="50">
        <f>参数输入表!$H$145*参数输入表!$H$13*1000/10000/(1+参数输入表!$H$146)</f>
        <v>0</v>
      </c>
      <c r="L37" s="50">
        <f>参数输入表!$H$145*参数输入表!$H$13*1000/10000/(1+参数输入表!$H$146)</f>
        <v>0</v>
      </c>
      <c r="M37" s="114">
        <f>参数输入表!$H$145*参数输入表!$H$13*1000/10000/(1+参数输入表!$H$146)</f>
        <v>0</v>
      </c>
      <c r="N37" s="50">
        <f>参数输入表!$H$145*参数输入表!$H$13*1000/10000/(1+参数输入表!$H$146)</f>
        <v>0</v>
      </c>
      <c r="O37" s="50">
        <f>参数输入表!$H$145*参数输入表!$H$13*1000/10000/(1+参数输入表!$H$146)</f>
        <v>0</v>
      </c>
      <c r="P37" s="50">
        <f>参数输入表!$H$145*参数输入表!$H$13*1000/10000/(1+参数输入表!$H$146)</f>
        <v>0</v>
      </c>
      <c r="Q37" s="50">
        <f>参数输入表!$H$145*参数输入表!$H$13*1000/10000/(1+参数输入表!$H$146)</f>
        <v>0</v>
      </c>
      <c r="R37" s="50">
        <f>参数输入表!$H$145*参数输入表!$H$13*1000/10000/(1+参数输入表!$H$146)</f>
        <v>0</v>
      </c>
      <c r="S37" s="50">
        <f>参数输入表!$H$145*参数输入表!$H$13*1000/10000/(1+参数输入表!$H$146)</f>
        <v>0</v>
      </c>
      <c r="T37" s="50">
        <f>参数输入表!$H$145*参数输入表!$H$13*1000/10000/(1+参数输入表!$H$146)</f>
        <v>0</v>
      </c>
      <c r="U37" s="50">
        <f>参数输入表!$H$145*参数输入表!$H$13*1000/10000/(1+参数输入表!$H$146)</f>
        <v>0</v>
      </c>
      <c r="V37" s="50">
        <f>参数输入表!$H$145*参数输入表!$H$13*1000/10000/(1+参数输入表!$H$146)</f>
        <v>0</v>
      </c>
      <c r="W37" s="50">
        <f>参数输入表!$H$145*参数输入表!$H$13*1000/10000/(1+参数输入表!$H$146)</f>
        <v>0</v>
      </c>
      <c r="X37" s="50">
        <f>参数输入表!$H$145*参数输入表!$H$13*1000/10000/(1+参数输入表!$H$146)</f>
        <v>0</v>
      </c>
      <c r="Y37" s="50">
        <f>参数输入表!$H$145*参数输入表!$H$13*1000/10000/(1+参数输入表!$H$146)</f>
        <v>0</v>
      </c>
      <c r="Z37" s="50">
        <f>参数输入表!$H$145*参数输入表!$H$13*1000/10000/(1+参数输入表!$H$146)</f>
        <v>0</v>
      </c>
      <c r="AA37" s="50">
        <f>参数输入表!$H$145*参数输入表!$H$13*1000/10000/(1+参数输入表!$H$146)</f>
        <v>0</v>
      </c>
    </row>
    <row r="38" spans="2:27" ht="21" customHeight="1">
      <c r="B38" s="47">
        <v>1.8</v>
      </c>
      <c r="C38" s="160" t="s">
        <v>193</v>
      </c>
      <c r="D38" s="50">
        <f t="shared" si="7"/>
        <v>0</v>
      </c>
      <c r="E38" s="87" t="s">
        <v>106</v>
      </c>
      <c r="F38" s="109"/>
      <c r="G38" s="109"/>
      <c r="H38" s="50">
        <f>参数输入表!$H$138*参数输入表!$H$139/10000*(1+0)/(1+参数输入表!$H$140)</f>
        <v>0</v>
      </c>
      <c r="I38" s="50">
        <f>参数输入表!$H$138*参数输入表!$H$139/10000*(1+0)/(1+参数输入表!$H$140)</f>
        <v>0</v>
      </c>
      <c r="J38" s="50">
        <f>参数输入表!$H$138*参数输入表!$H$139/10000*(1+0)/(1+参数输入表!$H$140)</f>
        <v>0</v>
      </c>
      <c r="K38" s="50">
        <f>参数输入表!$H$138*参数输入表!$H$139/10000*(1+0)/(1+参数输入表!$H$140)</f>
        <v>0</v>
      </c>
      <c r="L38" s="50">
        <f>参数输入表!$H$138*参数输入表!$H$139/10000*(1+0)/(1+参数输入表!$H$140)</f>
        <v>0</v>
      </c>
      <c r="M38" s="114">
        <f>参数输入表!$H$138*参数输入表!$H$139/10000*(1+0)/(1+参数输入表!$H$140)</f>
        <v>0</v>
      </c>
      <c r="N38" s="50">
        <f>参数输入表!$H$138*参数输入表!$H$139/10000*(1+0)/(1+参数输入表!$H$140)</f>
        <v>0</v>
      </c>
      <c r="O38" s="50">
        <f>参数输入表!$H$138*参数输入表!$H$139/10000*(1+0)/(1+参数输入表!$H$140)</f>
        <v>0</v>
      </c>
      <c r="P38" s="50">
        <f>参数输入表!$H$138*参数输入表!$H$139/10000*(1+0)/(1+参数输入表!$H$140)</f>
        <v>0</v>
      </c>
      <c r="Q38" s="50">
        <f>参数输入表!$H$138*参数输入表!$H$139/10000*(1+0)/(1+参数输入表!$H$140)</f>
        <v>0</v>
      </c>
      <c r="R38" s="50">
        <f>参数输入表!$H$138*参数输入表!$H$139/10000*(1+0)/(1+参数输入表!$H$140)</f>
        <v>0</v>
      </c>
      <c r="S38" s="50">
        <f>参数输入表!$H$138*参数输入表!$H$139/10000*(1+0)/(1+参数输入表!$H$140)</f>
        <v>0</v>
      </c>
      <c r="T38" s="50">
        <f>参数输入表!$H$138*参数输入表!$H$139/10000*(1+0)/(1+参数输入表!$H$140)</f>
        <v>0</v>
      </c>
      <c r="U38" s="50">
        <f>参数输入表!$H$138*参数输入表!$H$139/10000*(1+0)/(1+参数输入表!$H$140)</f>
        <v>0</v>
      </c>
      <c r="V38" s="50">
        <f>参数输入表!$H$138*参数输入表!$H$139/10000*(1+0)/(1+参数输入表!$H$140)</f>
        <v>0</v>
      </c>
      <c r="W38" s="50">
        <f>参数输入表!$H$138*参数输入表!$H$139/10000*(1+0)/(1+参数输入表!$H$140)</f>
        <v>0</v>
      </c>
      <c r="X38" s="50">
        <f>参数输入表!$H$138*参数输入表!$H$139/10000*(1+0)/(1+参数输入表!$H$140)</f>
        <v>0</v>
      </c>
      <c r="Y38" s="50">
        <f>参数输入表!$H$138*参数输入表!$H$139/10000*(1+0)/(1+参数输入表!$H$140)</f>
        <v>0</v>
      </c>
      <c r="Z38" s="50">
        <f>参数输入表!$H$138*参数输入表!$H$139/10000*(1+0)/(1+参数输入表!$H$140)</f>
        <v>0</v>
      </c>
      <c r="AA38" s="50">
        <f>参数输入表!$H$138*参数输入表!$H$139/10000*(1+0)/(1+参数输入表!$H$140)</f>
        <v>0</v>
      </c>
    </row>
    <row r="39" spans="2:27" ht="21" customHeight="1">
      <c r="B39" s="80">
        <v>2</v>
      </c>
      <c r="C39" s="81" t="s">
        <v>391</v>
      </c>
      <c r="D39" s="46">
        <f t="shared" si="7"/>
        <v>0</v>
      </c>
      <c r="E39" s="87" t="s">
        <v>106</v>
      </c>
      <c r="F39" s="87"/>
      <c r="G39" s="87"/>
      <c r="H39" s="46">
        <v>0</v>
      </c>
      <c r="I39" s="46">
        <v>0</v>
      </c>
      <c r="J39" s="46">
        <v>0</v>
      </c>
      <c r="K39" s="46">
        <v>0</v>
      </c>
      <c r="L39" s="46">
        <v>0</v>
      </c>
      <c r="M39" s="67">
        <v>0</v>
      </c>
      <c r="N39" s="46">
        <v>0</v>
      </c>
      <c r="O39" s="46">
        <v>0</v>
      </c>
      <c r="P39" s="46">
        <v>0</v>
      </c>
      <c r="Q39" s="46">
        <v>0</v>
      </c>
      <c r="R39" s="46">
        <v>0</v>
      </c>
      <c r="S39" s="46">
        <v>0</v>
      </c>
      <c r="T39" s="46">
        <v>0</v>
      </c>
      <c r="U39" s="46">
        <v>0</v>
      </c>
      <c r="V39" s="46">
        <v>0</v>
      </c>
      <c r="W39" s="46">
        <v>0</v>
      </c>
      <c r="X39" s="46">
        <v>0</v>
      </c>
      <c r="Y39" s="46">
        <v>0</v>
      </c>
      <c r="Z39" s="46">
        <v>0</v>
      </c>
      <c r="AA39" s="46">
        <v>0</v>
      </c>
    </row>
    <row r="40" spans="2:27" ht="21" customHeight="1">
      <c r="B40" s="80">
        <v>3</v>
      </c>
      <c r="C40" s="81" t="s">
        <v>172</v>
      </c>
      <c r="D40" s="46">
        <f t="shared" ca="1" si="7"/>
        <v>1121.7389108399855</v>
      </c>
      <c r="E40" s="87" t="s">
        <v>106</v>
      </c>
      <c r="F40" s="87"/>
      <c r="G40" s="87"/>
      <c r="H40" s="46">
        <f t="shared" ref="H40:AA40" ca="1" si="9">SUM(H41:H42)</f>
        <v>56.086945541999256</v>
      </c>
      <c r="I40" s="46">
        <f t="shared" ca="1" si="9"/>
        <v>56.086945541999256</v>
      </c>
      <c r="J40" s="46">
        <f t="shared" ca="1" si="9"/>
        <v>56.086945541999256</v>
      </c>
      <c r="K40" s="46">
        <f t="shared" ca="1" si="9"/>
        <v>56.086945541999256</v>
      </c>
      <c r="L40" s="46">
        <f t="shared" ca="1" si="9"/>
        <v>56.086945541999256</v>
      </c>
      <c r="M40" s="67">
        <f t="shared" ca="1" si="9"/>
        <v>56.086945541999256</v>
      </c>
      <c r="N40" s="46">
        <f t="shared" ca="1" si="9"/>
        <v>56.086945541999256</v>
      </c>
      <c r="O40" s="46">
        <f t="shared" ca="1" si="9"/>
        <v>56.086945541999256</v>
      </c>
      <c r="P40" s="46">
        <f t="shared" ca="1" si="9"/>
        <v>56.086945541999256</v>
      </c>
      <c r="Q40" s="46">
        <f t="shared" ca="1" si="9"/>
        <v>56.086945541999256</v>
      </c>
      <c r="R40" s="46">
        <f t="shared" ca="1" si="9"/>
        <v>56.086945541999256</v>
      </c>
      <c r="S40" s="46">
        <f t="shared" ca="1" si="9"/>
        <v>56.086945541999256</v>
      </c>
      <c r="T40" s="46">
        <f t="shared" ca="1" si="9"/>
        <v>56.086945541999256</v>
      </c>
      <c r="U40" s="46">
        <f t="shared" ca="1" si="9"/>
        <v>56.086945541999256</v>
      </c>
      <c r="V40" s="46">
        <f t="shared" ca="1" si="9"/>
        <v>56.086945541999256</v>
      </c>
      <c r="W40" s="46">
        <f t="shared" ca="1" si="9"/>
        <v>56.086945541999256</v>
      </c>
      <c r="X40" s="46">
        <f t="shared" ca="1" si="9"/>
        <v>56.086945541999256</v>
      </c>
      <c r="Y40" s="46">
        <f t="shared" ca="1" si="9"/>
        <v>56.086945541999256</v>
      </c>
      <c r="Z40" s="46">
        <f t="shared" ca="1" si="9"/>
        <v>56.086945541999256</v>
      </c>
      <c r="AA40" s="46">
        <f t="shared" ca="1" si="9"/>
        <v>56.086945541999256</v>
      </c>
    </row>
    <row r="41" spans="2:27" ht="21" customHeight="1">
      <c r="B41" s="88">
        <v>3.1</v>
      </c>
      <c r="C41" s="159" t="s">
        <v>392</v>
      </c>
      <c r="D41" s="50">
        <f t="shared" ca="1" si="7"/>
        <v>1121.7389108399855</v>
      </c>
      <c r="E41" s="87" t="s">
        <v>106</v>
      </c>
      <c r="F41" s="87"/>
      <c r="G41" s="87"/>
      <c r="H41" s="50">
        <f ca="1">'表2-折旧摊销表'!$D$4*参数输入表!$H$120/(1+参数输入表!$H$124)</f>
        <v>56.086945541999256</v>
      </c>
      <c r="I41" s="50">
        <f ca="1">'表2-折旧摊销表'!$D$4*参数输入表!$H$120/(1+参数输入表!$H$124)</f>
        <v>56.086945541999256</v>
      </c>
      <c r="J41" s="50">
        <f ca="1">'表2-折旧摊销表'!$D$4*参数输入表!$H$120/(1+参数输入表!$H$124)</f>
        <v>56.086945541999256</v>
      </c>
      <c r="K41" s="50">
        <f ca="1">'表2-折旧摊销表'!$D$4*参数输入表!$H$120/(1+参数输入表!$H$124)</f>
        <v>56.086945541999256</v>
      </c>
      <c r="L41" s="50">
        <f ca="1">'表2-折旧摊销表'!$D$4*参数输入表!$H$120/(1+参数输入表!$H$124)</f>
        <v>56.086945541999256</v>
      </c>
      <c r="M41" s="114">
        <f ca="1">'表2-折旧摊销表'!$D$4*参数输入表!$H$121/(1+参数输入表!$H$124)</f>
        <v>56.086945541999256</v>
      </c>
      <c r="N41" s="50">
        <f ca="1">'表2-折旧摊销表'!$D$4*参数输入表!$H$121/(1+参数输入表!$H$124)</f>
        <v>56.086945541999256</v>
      </c>
      <c r="O41" s="50">
        <f ca="1">'表2-折旧摊销表'!$D$4*参数输入表!$H$121/(1+参数输入表!$H$124)</f>
        <v>56.086945541999256</v>
      </c>
      <c r="P41" s="50">
        <f ca="1">'表2-折旧摊销表'!$D$4*参数输入表!$H$121/(1+参数输入表!$H$124)</f>
        <v>56.086945541999256</v>
      </c>
      <c r="Q41" s="50">
        <f ca="1">'表2-折旧摊销表'!$D$4*参数输入表!$H$121/(1+参数输入表!$H$124)</f>
        <v>56.086945541999256</v>
      </c>
      <c r="R41" s="50">
        <f ca="1">'表2-折旧摊销表'!$D$4*参数输入表!$H$122/(1+参数输入表!$H$124)</f>
        <v>56.086945541999256</v>
      </c>
      <c r="S41" s="50">
        <f ca="1">'表2-折旧摊销表'!$D$4*参数输入表!$H$122/(1+参数输入表!$H$124)</f>
        <v>56.086945541999256</v>
      </c>
      <c r="T41" s="50">
        <f ca="1">'表2-折旧摊销表'!$D$4*参数输入表!$H$122/(1+参数输入表!$H$124)</f>
        <v>56.086945541999256</v>
      </c>
      <c r="U41" s="50">
        <f ca="1">'表2-折旧摊销表'!$D$4*参数输入表!$H$122/(1+参数输入表!$H$124)</f>
        <v>56.086945541999256</v>
      </c>
      <c r="V41" s="50">
        <f ca="1">'表2-折旧摊销表'!$D$4*参数输入表!$H$122/(1+参数输入表!$H$124)</f>
        <v>56.086945541999256</v>
      </c>
      <c r="W41" s="50">
        <f ca="1">'表2-折旧摊销表'!$D$4*参数输入表!$H$123/(1+参数输入表!$H$124)</f>
        <v>56.086945541999256</v>
      </c>
      <c r="X41" s="50">
        <f ca="1">'表2-折旧摊销表'!$D$4*参数输入表!$H$123/(1+参数输入表!$H$124)</f>
        <v>56.086945541999256</v>
      </c>
      <c r="Y41" s="50">
        <f ca="1">'表2-折旧摊销表'!$D$4*参数输入表!$H$123/(1+参数输入表!$H$124)</f>
        <v>56.086945541999256</v>
      </c>
      <c r="Z41" s="50">
        <f ca="1">'表2-折旧摊销表'!$D$4*参数输入表!$H$123/(1+参数输入表!$H$124)</f>
        <v>56.086945541999256</v>
      </c>
      <c r="AA41" s="50">
        <f ca="1">'表2-折旧摊销表'!$D$4*参数输入表!$H$123/(1+参数输入表!$H$124)</f>
        <v>56.086945541999256</v>
      </c>
    </row>
    <row r="42" spans="2:27" ht="21" customHeight="1">
      <c r="B42" s="47">
        <v>3.2</v>
      </c>
      <c r="C42" s="160" t="s">
        <v>198</v>
      </c>
      <c r="D42" s="50">
        <f t="shared" ca="1" si="7"/>
        <v>0</v>
      </c>
      <c r="E42" s="87" t="s">
        <v>106</v>
      </c>
      <c r="F42" s="87"/>
      <c r="G42" s="87"/>
      <c r="H42" s="50">
        <v>0</v>
      </c>
      <c r="I42" s="50">
        <v>0</v>
      </c>
      <c r="J42" s="50">
        <v>0</v>
      </c>
      <c r="K42" s="50">
        <v>0</v>
      </c>
      <c r="L42" s="50">
        <v>0</v>
      </c>
      <c r="M42" s="114">
        <v>0</v>
      </c>
      <c r="N42" s="50">
        <v>0</v>
      </c>
      <c r="O42" s="50">
        <v>0</v>
      </c>
      <c r="P42" s="50">
        <v>0</v>
      </c>
      <c r="Q42" s="50">
        <v>0</v>
      </c>
      <c r="R42" s="50">
        <v>0</v>
      </c>
      <c r="S42" s="50">
        <v>0</v>
      </c>
      <c r="T42" s="50">
        <v>0</v>
      </c>
      <c r="U42" s="50">
        <v>0</v>
      </c>
      <c r="V42" s="50">
        <v>0</v>
      </c>
      <c r="W42" s="50">
        <v>0</v>
      </c>
      <c r="X42" s="50">
        <v>0</v>
      </c>
      <c r="Y42" s="50">
        <v>0</v>
      </c>
      <c r="Z42" s="50">
        <v>0</v>
      </c>
      <c r="AA42" s="50">
        <f ca="1">参数输入表!H143*参数输入表!H142/(1+参数输入表!$H$144)</f>
        <v>0</v>
      </c>
    </row>
    <row r="43" spans="2:27" ht="21" customHeight="1">
      <c r="B43" s="80">
        <v>4</v>
      </c>
      <c r="C43" s="81" t="s">
        <v>393</v>
      </c>
      <c r="D43" s="46">
        <f t="shared" si="7"/>
        <v>0</v>
      </c>
      <c r="E43" s="87" t="s">
        <v>106</v>
      </c>
      <c r="F43" s="87"/>
      <c r="G43" s="87"/>
      <c r="H43" s="46">
        <v>0</v>
      </c>
      <c r="I43" s="46">
        <v>0</v>
      </c>
      <c r="J43" s="46">
        <v>0</v>
      </c>
      <c r="K43" s="46">
        <v>0</v>
      </c>
      <c r="L43" s="46">
        <v>0</v>
      </c>
      <c r="M43" s="67">
        <v>0</v>
      </c>
      <c r="N43" s="46">
        <v>0</v>
      </c>
      <c r="O43" s="46">
        <v>0</v>
      </c>
      <c r="P43" s="46">
        <v>0</v>
      </c>
      <c r="Q43" s="46">
        <v>0</v>
      </c>
      <c r="R43" s="46">
        <v>0</v>
      </c>
      <c r="S43" s="46">
        <v>0</v>
      </c>
      <c r="T43" s="46">
        <v>0</v>
      </c>
      <c r="U43" s="46">
        <v>0</v>
      </c>
      <c r="V43" s="46">
        <v>0</v>
      </c>
      <c r="W43" s="46">
        <v>0</v>
      </c>
      <c r="X43" s="46">
        <v>0</v>
      </c>
      <c r="Y43" s="46">
        <v>0</v>
      </c>
      <c r="Z43" s="46">
        <v>0</v>
      </c>
      <c r="AA43" s="46">
        <v>0</v>
      </c>
    </row>
    <row r="44" spans="2:27">
      <c r="B44" s="69" t="s">
        <v>342</v>
      </c>
      <c r="C44" s="127" t="s">
        <v>238</v>
      </c>
      <c r="D44" s="46">
        <f t="shared" si="7"/>
        <v>0</v>
      </c>
      <c r="E44" s="87" t="s">
        <v>106</v>
      </c>
      <c r="F44" s="87"/>
      <c r="G44" s="87"/>
      <c r="H44" s="46">
        <f>参数输入表!$H$211/(1+参数输入表!$H$215)</f>
        <v>0</v>
      </c>
      <c r="I44" s="46">
        <f>参数输入表!$H$211/(1+参数输入表!$H$215)</f>
        <v>0</v>
      </c>
      <c r="J44" s="46">
        <f>参数输入表!$H$211/(1+参数输入表!$H$215)</f>
        <v>0</v>
      </c>
      <c r="K44" s="46">
        <f>参数输入表!$H$211/(1+参数输入表!$H$215)</f>
        <v>0</v>
      </c>
      <c r="L44" s="46">
        <f>参数输入表!$H$211/(1+参数输入表!$H$215)</f>
        <v>0</v>
      </c>
      <c r="M44" s="67">
        <f>参数输入表!$H$211/(1+参数输入表!$H$215)</f>
        <v>0</v>
      </c>
      <c r="N44" s="46">
        <f>参数输入表!$H$211/(1+参数输入表!$H$215)</f>
        <v>0</v>
      </c>
      <c r="O44" s="46">
        <f>参数输入表!$H$211/(1+参数输入表!$H$215)</f>
        <v>0</v>
      </c>
      <c r="P44" s="46">
        <f>参数输入表!$H$211/(1+参数输入表!$H$215)</f>
        <v>0</v>
      </c>
      <c r="Q44" s="46">
        <f>参数输入表!$H$211/(1+参数输入表!$H$215)</f>
        <v>0</v>
      </c>
      <c r="R44" s="46">
        <f>参数输入表!$H$211/(1+参数输入表!$H$215)</f>
        <v>0</v>
      </c>
      <c r="S44" s="46">
        <f>参数输入表!$H$211/(1+参数输入表!$H$215)</f>
        <v>0</v>
      </c>
      <c r="T44" s="46">
        <f>参数输入表!$H$211/(1+参数输入表!$H$215)</f>
        <v>0</v>
      </c>
      <c r="U44" s="46">
        <f>参数输入表!$H$211/(1+参数输入表!$H$215)</f>
        <v>0</v>
      </c>
      <c r="V44" s="46">
        <f>参数输入表!$H$211/(1+参数输入表!$H$215)</f>
        <v>0</v>
      </c>
      <c r="W44" s="46">
        <f>参数输入表!$H$211/(1+参数输入表!$H$215)</f>
        <v>0</v>
      </c>
      <c r="X44" s="46">
        <f>参数输入表!$H$211/(1+参数输入表!$H$215)</f>
        <v>0</v>
      </c>
      <c r="Y44" s="46">
        <f>参数输入表!$H$211/(1+参数输入表!$H$215)</f>
        <v>0</v>
      </c>
      <c r="Z44" s="46">
        <f>参数输入表!$H$211/(1+参数输入表!$H$215)</f>
        <v>0</v>
      </c>
      <c r="AA44" s="46">
        <f>参数输入表!$H$211/(1+参数输入表!$H$215)</f>
        <v>0</v>
      </c>
    </row>
    <row r="45" spans="2:27">
      <c r="B45" s="161"/>
      <c r="C45" s="162"/>
      <c r="D45" s="163"/>
      <c r="E45" s="164"/>
      <c r="F45" s="164"/>
      <c r="G45" s="164"/>
      <c r="H45" s="163"/>
      <c r="I45" s="163"/>
      <c r="J45" s="163"/>
      <c r="K45" s="163"/>
      <c r="L45" s="163"/>
      <c r="M45" s="165"/>
      <c r="N45" s="163"/>
      <c r="O45" s="163"/>
      <c r="P45" s="163"/>
      <c r="Q45" s="163"/>
      <c r="R45" s="163"/>
      <c r="S45" s="163"/>
      <c r="T45" s="163"/>
      <c r="U45" s="163"/>
      <c r="V45" s="163"/>
      <c r="W45" s="163"/>
      <c r="X45" s="163"/>
      <c r="Y45" s="163"/>
      <c r="Z45" s="163"/>
      <c r="AA45" s="163"/>
    </row>
    <row r="46" spans="2:27">
      <c r="B46" s="161"/>
      <c r="C46" s="162"/>
      <c r="D46" s="163"/>
      <c r="E46" s="164"/>
      <c r="F46" s="164"/>
      <c r="G46" s="164"/>
      <c r="H46" s="163"/>
      <c r="I46" s="163"/>
      <c r="J46" s="163"/>
      <c r="K46" s="163"/>
      <c r="L46" s="163"/>
      <c r="M46" s="165"/>
      <c r="N46" s="163"/>
      <c r="O46" s="163"/>
      <c r="P46" s="163"/>
      <c r="Q46" s="163"/>
      <c r="R46" s="163"/>
      <c r="S46" s="163"/>
      <c r="T46" s="163"/>
      <c r="U46" s="163"/>
      <c r="V46" s="163"/>
      <c r="W46" s="163"/>
      <c r="X46" s="163"/>
      <c r="Y46" s="163"/>
      <c r="Z46" s="163"/>
      <c r="AA46" s="163"/>
    </row>
    <row r="47" spans="2:27">
      <c r="B47" s="101" t="s">
        <v>399</v>
      </c>
      <c r="C47" s="162"/>
      <c r="D47" s="163"/>
      <c r="E47" s="164"/>
      <c r="F47" s="164"/>
      <c r="G47" s="164"/>
      <c r="H47" s="76"/>
      <c r="I47" s="76"/>
      <c r="J47" s="76"/>
      <c r="K47" s="76"/>
      <c r="L47" s="76"/>
      <c r="M47" s="166"/>
      <c r="N47" s="76"/>
      <c r="O47" s="76"/>
      <c r="P47" s="76"/>
      <c r="Q47" s="76"/>
      <c r="R47" s="76"/>
      <c r="S47" s="76"/>
      <c r="T47" s="76"/>
      <c r="U47" s="76"/>
      <c r="V47" s="76"/>
      <c r="W47" s="76"/>
      <c r="X47" s="76"/>
      <c r="Y47" s="76"/>
      <c r="Z47" s="76"/>
      <c r="AA47" s="76"/>
    </row>
    <row r="48" spans="2:27">
      <c r="B48" s="149" t="s">
        <v>341</v>
      </c>
      <c r="C48" s="151" t="s">
        <v>400</v>
      </c>
      <c r="D48" s="167">
        <f t="shared" ca="1" si="4"/>
        <v>12630.900089192952</v>
      </c>
      <c r="E48" s="168" t="s">
        <v>106</v>
      </c>
      <c r="F48" s="168"/>
      <c r="G48" s="168"/>
      <c r="H48" s="167">
        <f ca="1">H49+H57+H58+H61</f>
        <v>465.9101691090583</v>
      </c>
      <c r="I48" s="167">
        <f t="shared" ref="I48:AA48" ca="1" si="10">I49+I57+I58+I61</f>
        <v>465.9101691090583</v>
      </c>
      <c r="J48" s="167">
        <f t="shared" ca="1" si="10"/>
        <v>465.9101691090583</v>
      </c>
      <c r="K48" s="167">
        <f t="shared" ca="1" si="10"/>
        <v>465.9101691090583</v>
      </c>
      <c r="L48" s="167">
        <f t="shared" ca="1" si="10"/>
        <v>465.9101691090583</v>
      </c>
      <c r="M48" s="169">
        <f t="shared" ca="1" si="10"/>
        <v>576.33339267611825</v>
      </c>
      <c r="N48" s="167">
        <f t="shared" ca="1" si="10"/>
        <v>576.33339267611825</v>
      </c>
      <c r="O48" s="167">
        <f t="shared" ca="1" si="10"/>
        <v>576.33339267611825</v>
      </c>
      <c r="P48" s="167">
        <f t="shared" ca="1" si="10"/>
        <v>576.33339267611825</v>
      </c>
      <c r="Q48" s="167">
        <f t="shared" ca="1" si="10"/>
        <v>576.33339267611825</v>
      </c>
      <c r="R48" s="167">
        <f t="shared" ca="1" si="10"/>
        <v>686.75661624317729</v>
      </c>
      <c r="S48" s="167">
        <f t="shared" ca="1" si="10"/>
        <v>686.75661624317729</v>
      </c>
      <c r="T48" s="167">
        <f t="shared" ca="1" si="10"/>
        <v>686.75661624317729</v>
      </c>
      <c r="U48" s="167">
        <f t="shared" ca="1" si="10"/>
        <v>686.75661624317729</v>
      </c>
      <c r="V48" s="167">
        <f t="shared" ca="1" si="10"/>
        <v>686.75661624317729</v>
      </c>
      <c r="W48" s="167">
        <f t="shared" ca="1" si="10"/>
        <v>797.17983981023724</v>
      </c>
      <c r="X48" s="167">
        <f t="shared" ca="1" si="10"/>
        <v>797.17983981023724</v>
      </c>
      <c r="Y48" s="167">
        <f t="shared" ca="1" si="10"/>
        <v>797.17983981023724</v>
      </c>
      <c r="Z48" s="167">
        <f t="shared" ca="1" si="10"/>
        <v>797.17983981023724</v>
      </c>
      <c r="AA48" s="167">
        <f t="shared" ca="1" si="10"/>
        <v>797.17983981023724</v>
      </c>
    </row>
    <row r="49" spans="2:27">
      <c r="B49" s="150">
        <v>1</v>
      </c>
      <c r="C49" s="170" t="s">
        <v>401</v>
      </c>
      <c r="D49" s="167">
        <f t="shared" ref="D49:D62" si="11">SUM(F49:AA49)</f>
        <v>11509.161178353001</v>
      </c>
      <c r="E49" s="168" t="s">
        <v>106</v>
      </c>
      <c r="F49" s="149"/>
      <c r="G49" s="149"/>
      <c r="H49" s="171">
        <f t="shared" ref="H49:AA49" si="12">SUM(H50:H56)</f>
        <v>409.82322356705902</v>
      </c>
      <c r="I49" s="171">
        <f t="shared" si="12"/>
        <v>409.82322356705902</v>
      </c>
      <c r="J49" s="171">
        <f t="shared" si="12"/>
        <v>409.82322356705902</v>
      </c>
      <c r="K49" s="171">
        <f t="shared" si="12"/>
        <v>409.82322356705902</v>
      </c>
      <c r="L49" s="171">
        <f t="shared" si="12"/>
        <v>409.82322356705902</v>
      </c>
      <c r="M49" s="172">
        <f t="shared" si="12"/>
        <v>520.24644713411897</v>
      </c>
      <c r="N49" s="171">
        <f t="shared" si="12"/>
        <v>520.24644713411897</v>
      </c>
      <c r="O49" s="171">
        <f t="shared" si="12"/>
        <v>520.24644713411897</v>
      </c>
      <c r="P49" s="171">
        <f t="shared" si="12"/>
        <v>520.24644713411897</v>
      </c>
      <c r="Q49" s="171">
        <f t="shared" si="12"/>
        <v>520.24644713411897</v>
      </c>
      <c r="R49" s="171">
        <f t="shared" si="12"/>
        <v>630.66967070117801</v>
      </c>
      <c r="S49" s="171">
        <f t="shared" si="12"/>
        <v>630.66967070117801</v>
      </c>
      <c r="T49" s="171">
        <f t="shared" si="12"/>
        <v>630.66967070117801</v>
      </c>
      <c r="U49" s="171">
        <f t="shared" si="12"/>
        <v>630.66967070117801</v>
      </c>
      <c r="V49" s="171">
        <f t="shared" si="12"/>
        <v>630.66967070117801</v>
      </c>
      <c r="W49" s="171">
        <f t="shared" si="12"/>
        <v>741.09289426823796</v>
      </c>
      <c r="X49" s="171">
        <f t="shared" si="12"/>
        <v>741.09289426823796</v>
      </c>
      <c r="Y49" s="171">
        <f t="shared" si="12"/>
        <v>741.09289426823796</v>
      </c>
      <c r="Z49" s="171">
        <f t="shared" si="12"/>
        <v>741.09289426823796</v>
      </c>
      <c r="AA49" s="171">
        <f t="shared" si="12"/>
        <v>741.09289426823796</v>
      </c>
    </row>
    <row r="50" spans="2:27">
      <c r="B50" s="153">
        <v>1.1000000000000001</v>
      </c>
      <c r="C50" s="173" t="s">
        <v>154</v>
      </c>
      <c r="D50" s="96">
        <f t="shared" si="11"/>
        <v>1800</v>
      </c>
      <c r="E50" s="168" t="s">
        <v>106</v>
      </c>
      <c r="F50" s="168"/>
      <c r="G50" s="168"/>
      <c r="H50" s="96">
        <f>H31</f>
        <v>90</v>
      </c>
      <c r="I50" s="96">
        <f t="shared" ref="I50:AA50" si="13">I31</f>
        <v>90</v>
      </c>
      <c r="J50" s="96">
        <f t="shared" si="13"/>
        <v>90</v>
      </c>
      <c r="K50" s="96">
        <f t="shared" si="13"/>
        <v>90</v>
      </c>
      <c r="L50" s="96">
        <f t="shared" si="13"/>
        <v>90</v>
      </c>
      <c r="M50" s="96">
        <f t="shared" si="13"/>
        <v>90</v>
      </c>
      <c r="N50" s="96">
        <f t="shared" si="13"/>
        <v>90</v>
      </c>
      <c r="O50" s="96">
        <f t="shared" si="13"/>
        <v>90</v>
      </c>
      <c r="P50" s="96">
        <f t="shared" si="13"/>
        <v>90</v>
      </c>
      <c r="Q50" s="96">
        <f t="shared" si="13"/>
        <v>90</v>
      </c>
      <c r="R50" s="96">
        <f t="shared" si="13"/>
        <v>90</v>
      </c>
      <c r="S50" s="96">
        <f t="shared" si="13"/>
        <v>90</v>
      </c>
      <c r="T50" s="96">
        <f t="shared" si="13"/>
        <v>90</v>
      </c>
      <c r="U50" s="96">
        <f t="shared" si="13"/>
        <v>90</v>
      </c>
      <c r="V50" s="96">
        <f t="shared" si="13"/>
        <v>90</v>
      </c>
      <c r="W50" s="96">
        <f t="shared" si="13"/>
        <v>90</v>
      </c>
      <c r="X50" s="96">
        <f t="shared" si="13"/>
        <v>90</v>
      </c>
      <c r="Y50" s="96">
        <f t="shared" si="13"/>
        <v>90</v>
      </c>
      <c r="Z50" s="96">
        <f t="shared" si="13"/>
        <v>90</v>
      </c>
      <c r="AA50" s="96">
        <f t="shared" si="13"/>
        <v>90</v>
      </c>
    </row>
    <row r="51" spans="2:27">
      <c r="B51" s="153">
        <v>1.2</v>
      </c>
      <c r="C51" s="173" t="s">
        <v>165</v>
      </c>
      <c r="D51" s="96">
        <f t="shared" si="11"/>
        <v>5521.1611783529697</v>
      </c>
      <c r="E51" s="168" t="s">
        <v>106</v>
      </c>
      <c r="F51" s="168"/>
      <c r="G51" s="168"/>
      <c r="H51" s="96">
        <f>H32</f>
        <v>110.423223567059</v>
      </c>
      <c r="I51" s="96">
        <f t="shared" ref="I51:AA51" si="14">I32</f>
        <v>110.423223567059</v>
      </c>
      <c r="J51" s="96">
        <f t="shared" si="14"/>
        <v>110.423223567059</v>
      </c>
      <c r="K51" s="96">
        <f t="shared" si="14"/>
        <v>110.423223567059</v>
      </c>
      <c r="L51" s="96">
        <f t="shared" si="14"/>
        <v>110.423223567059</v>
      </c>
      <c r="M51" s="96">
        <f t="shared" si="14"/>
        <v>220.84644713411899</v>
      </c>
      <c r="N51" s="96">
        <f t="shared" si="14"/>
        <v>220.84644713411899</v>
      </c>
      <c r="O51" s="96">
        <f t="shared" si="14"/>
        <v>220.84644713411899</v>
      </c>
      <c r="P51" s="96">
        <f t="shared" si="14"/>
        <v>220.84644713411899</v>
      </c>
      <c r="Q51" s="96">
        <f t="shared" si="14"/>
        <v>220.84644713411899</v>
      </c>
      <c r="R51" s="96">
        <f t="shared" si="14"/>
        <v>331.26967070117797</v>
      </c>
      <c r="S51" s="96">
        <f t="shared" si="14"/>
        <v>331.26967070117797</v>
      </c>
      <c r="T51" s="96">
        <f t="shared" si="14"/>
        <v>331.26967070117797</v>
      </c>
      <c r="U51" s="96">
        <f t="shared" si="14"/>
        <v>331.26967070117797</v>
      </c>
      <c r="V51" s="96">
        <f t="shared" si="14"/>
        <v>331.26967070117797</v>
      </c>
      <c r="W51" s="96">
        <f t="shared" si="14"/>
        <v>441.69289426823798</v>
      </c>
      <c r="X51" s="96">
        <f t="shared" si="14"/>
        <v>441.69289426823798</v>
      </c>
      <c r="Y51" s="96">
        <f t="shared" si="14"/>
        <v>441.69289426823798</v>
      </c>
      <c r="Z51" s="96">
        <f t="shared" si="14"/>
        <v>441.69289426823798</v>
      </c>
      <c r="AA51" s="96">
        <f t="shared" si="14"/>
        <v>441.69289426823798</v>
      </c>
    </row>
    <row r="52" spans="2:27">
      <c r="B52" s="153">
        <v>1.3</v>
      </c>
      <c r="C52" s="143" t="s">
        <v>176</v>
      </c>
      <c r="D52" s="96">
        <f t="shared" si="11"/>
        <v>2688</v>
      </c>
      <c r="E52" s="168" t="s">
        <v>106</v>
      </c>
      <c r="F52" s="168"/>
      <c r="G52" s="168"/>
      <c r="H52" s="96">
        <f>H33</f>
        <v>134.4</v>
      </c>
      <c r="I52" s="96">
        <f t="shared" ref="I52:AA52" si="15">I33</f>
        <v>134.4</v>
      </c>
      <c r="J52" s="96">
        <f t="shared" si="15"/>
        <v>134.4</v>
      </c>
      <c r="K52" s="96">
        <f t="shared" si="15"/>
        <v>134.4</v>
      </c>
      <c r="L52" s="96">
        <f t="shared" si="15"/>
        <v>134.4</v>
      </c>
      <c r="M52" s="96">
        <f t="shared" si="15"/>
        <v>134.4</v>
      </c>
      <c r="N52" s="96">
        <f t="shared" si="15"/>
        <v>134.4</v>
      </c>
      <c r="O52" s="96">
        <f t="shared" si="15"/>
        <v>134.4</v>
      </c>
      <c r="P52" s="96">
        <f t="shared" si="15"/>
        <v>134.4</v>
      </c>
      <c r="Q52" s="96">
        <f t="shared" si="15"/>
        <v>134.4</v>
      </c>
      <c r="R52" s="96">
        <f t="shared" si="15"/>
        <v>134.4</v>
      </c>
      <c r="S52" s="96">
        <f t="shared" si="15"/>
        <v>134.4</v>
      </c>
      <c r="T52" s="96">
        <f t="shared" si="15"/>
        <v>134.4</v>
      </c>
      <c r="U52" s="96">
        <f t="shared" si="15"/>
        <v>134.4</v>
      </c>
      <c r="V52" s="96">
        <f t="shared" si="15"/>
        <v>134.4</v>
      </c>
      <c r="W52" s="96">
        <f t="shared" si="15"/>
        <v>134.4</v>
      </c>
      <c r="X52" s="96">
        <f t="shared" si="15"/>
        <v>134.4</v>
      </c>
      <c r="Y52" s="96">
        <f t="shared" si="15"/>
        <v>134.4</v>
      </c>
      <c r="Z52" s="96">
        <f t="shared" si="15"/>
        <v>134.4</v>
      </c>
      <c r="AA52" s="96">
        <f t="shared" si="15"/>
        <v>134.4</v>
      </c>
    </row>
    <row r="53" spans="2:27">
      <c r="B53" s="153">
        <v>1.4</v>
      </c>
      <c r="C53" s="143" t="s">
        <v>402</v>
      </c>
      <c r="D53" s="96">
        <f t="shared" si="11"/>
        <v>0</v>
      </c>
      <c r="E53" s="168" t="s">
        <v>106</v>
      </c>
      <c r="F53" s="168"/>
      <c r="G53" s="168"/>
      <c r="H53" s="96">
        <f>H34</f>
        <v>0</v>
      </c>
      <c r="I53" s="96">
        <f t="shared" ref="I53:AA53" si="16">I34</f>
        <v>0</v>
      </c>
      <c r="J53" s="96">
        <f t="shared" si="16"/>
        <v>0</v>
      </c>
      <c r="K53" s="96">
        <f t="shared" si="16"/>
        <v>0</v>
      </c>
      <c r="L53" s="96">
        <f t="shared" si="16"/>
        <v>0</v>
      </c>
      <c r="M53" s="96">
        <f t="shared" si="16"/>
        <v>0</v>
      </c>
      <c r="N53" s="96">
        <f t="shared" si="16"/>
        <v>0</v>
      </c>
      <c r="O53" s="96">
        <f t="shared" si="16"/>
        <v>0</v>
      </c>
      <c r="P53" s="96">
        <f t="shared" si="16"/>
        <v>0</v>
      </c>
      <c r="Q53" s="96">
        <f t="shared" si="16"/>
        <v>0</v>
      </c>
      <c r="R53" s="96">
        <f t="shared" si="16"/>
        <v>0</v>
      </c>
      <c r="S53" s="96">
        <f t="shared" si="16"/>
        <v>0</v>
      </c>
      <c r="T53" s="96">
        <f t="shared" si="16"/>
        <v>0</v>
      </c>
      <c r="U53" s="96">
        <f t="shared" si="16"/>
        <v>0</v>
      </c>
      <c r="V53" s="96">
        <f t="shared" si="16"/>
        <v>0</v>
      </c>
      <c r="W53" s="96">
        <f t="shared" si="16"/>
        <v>0</v>
      </c>
      <c r="X53" s="96">
        <f t="shared" si="16"/>
        <v>0</v>
      </c>
      <c r="Y53" s="96">
        <f t="shared" si="16"/>
        <v>0</v>
      </c>
      <c r="Z53" s="96">
        <f t="shared" si="16"/>
        <v>0</v>
      </c>
      <c r="AA53" s="96">
        <f t="shared" si="16"/>
        <v>0</v>
      </c>
    </row>
    <row r="54" spans="2:27">
      <c r="B54" s="153">
        <v>1.5</v>
      </c>
      <c r="C54" s="143" t="s">
        <v>21</v>
      </c>
      <c r="D54" s="96">
        <f t="shared" si="11"/>
        <v>1500</v>
      </c>
      <c r="E54" s="168" t="s">
        <v>106</v>
      </c>
      <c r="F54" s="168"/>
      <c r="G54" s="168"/>
      <c r="H54" s="96">
        <f>H36</f>
        <v>75</v>
      </c>
      <c r="I54" s="96">
        <f t="shared" ref="I54:AA54" si="17">I36</f>
        <v>75</v>
      </c>
      <c r="J54" s="96">
        <f t="shared" si="17"/>
        <v>75</v>
      </c>
      <c r="K54" s="96">
        <f t="shared" si="17"/>
        <v>75</v>
      </c>
      <c r="L54" s="96">
        <f t="shared" si="17"/>
        <v>75</v>
      </c>
      <c r="M54" s="96">
        <f t="shared" si="17"/>
        <v>75</v>
      </c>
      <c r="N54" s="96">
        <f t="shared" si="17"/>
        <v>75</v>
      </c>
      <c r="O54" s="96">
        <f t="shared" si="17"/>
        <v>75</v>
      </c>
      <c r="P54" s="96">
        <f t="shared" si="17"/>
        <v>75</v>
      </c>
      <c r="Q54" s="96">
        <f t="shared" si="17"/>
        <v>75</v>
      </c>
      <c r="R54" s="96">
        <f t="shared" si="17"/>
        <v>75</v>
      </c>
      <c r="S54" s="96">
        <f t="shared" si="17"/>
        <v>75</v>
      </c>
      <c r="T54" s="96">
        <f t="shared" si="17"/>
        <v>75</v>
      </c>
      <c r="U54" s="96">
        <f t="shared" si="17"/>
        <v>75</v>
      </c>
      <c r="V54" s="96">
        <f t="shared" si="17"/>
        <v>75</v>
      </c>
      <c r="W54" s="96">
        <f t="shared" si="17"/>
        <v>75</v>
      </c>
      <c r="X54" s="96">
        <f t="shared" si="17"/>
        <v>75</v>
      </c>
      <c r="Y54" s="96">
        <f t="shared" si="17"/>
        <v>75</v>
      </c>
      <c r="Z54" s="96">
        <f t="shared" si="17"/>
        <v>75</v>
      </c>
      <c r="AA54" s="96">
        <f t="shared" si="17"/>
        <v>75</v>
      </c>
    </row>
    <row r="55" spans="2:27">
      <c r="B55" s="153">
        <v>1.6</v>
      </c>
      <c r="C55" s="143" t="s">
        <v>200</v>
      </c>
      <c r="D55" s="96">
        <f t="shared" si="11"/>
        <v>0</v>
      </c>
      <c r="E55" s="168" t="s">
        <v>106</v>
      </c>
      <c r="F55" s="168"/>
      <c r="G55" s="168"/>
      <c r="H55" s="96">
        <f>H37</f>
        <v>0</v>
      </c>
      <c r="I55" s="96">
        <f t="shared" ref="I55:AA55" si="18">I37</f>
        <v>0</v>
      </c>
      <c r="J55" s="96">
        <f t="shared" si="18"/>
        <v>0</v>
      </c>
      <c r="K55" s="96">
        <f t="shared" si="18"/>
        <v>0</v>
      </c>
      <c r="L55" s="96">
        <f t="shared" si="18"/>
        <v>0</v>
      </c>
      <c r="M55" s="96">
        <f t="shared" si="18"/>
        <v>0</v>
      </c>
      <c r="N55" s="96">
        <f t="shared" si="18"/>
        <v>0</v>
      </c>
      <c r="O55" s="96">
        <f t="shared" si="18"/>
        <v>0</v>
      </c>
      <c r="P55" s="96">
        <f t="shared" si="18"/>
        <v>0</v>
      </c>
      <c r="Q55" s="96">
        <f t="shared" si="18"/>
        <v>0</v>
      </c>
      <c r="R55" s="96">
        <f t="shared" si="18"/>
        <v>0</v>
      </c>
      <c r="S55" s="96">
        <f t="shared" si="18"/>
        <v>0</v>
      </c>
      <c r="T55" s="96">
        <f t="shared" si="18"/>
        <v>0</v>
      </c>
      <c r="U55" s="96">
        <f t="shared" si="18"/>
        <v>0</v>
      </c>
      <c r="V55" s="96">
        <f t="shared" si="18"/>
        <v>0</v>
      </c>
      <c r="W55" s="96">
        <f t="shared" si="18"/>
        <v>0</v>
      </c>
      <c r="X55" s="96">
        <f t="shared" si="18"/>
        <v>0</v>
      </c>
      <c r="Y55" s="96">
        <f t="shared" si="18"/>
        <v>0</v>
      </c>
      <c r="Z55" s="96">
        <f t="shared" si="18"/>
        <v>0</v>
      </c>
      <c r="AA55" s="96">
        <f t="shared" si="18"/>
        <v>0</v>
      </c>
    </row>
    <row r="56" spans="2:27">
      <c r="B56" s="153">
        <v>1.7</v>
      </c>
      <c r="C56" s="143" t="s">
        <v>193</v>
      </c>
      <c r="D56" s="96">
        <f t="shared" si="11"/>
        <v>0</v>
      </c>
      <c r="E56" s="168" t="s">
        <v>106</v>
      </c>
      <c r="F56" s="168"/>
      <c r="G56" s="168"/>
      <c r="H56" s="96">
        <f>H38</f>
        <v>0</v>
      </c>
      <c r="I56" s="96">
        <f t="shared" ref="I56:AA56" si="19">I38</f>
        <v>0</v>
      </c>
      <c r="J56" s="96">
        <f t="shared" si="19"/>
        <v>0</v>
      </c>
      <c r="K56" s="96">
        <f t="shared" si="19"/>
        <v>0</v>
      </c>
      <c r="L56" s="96">
        <f t="shared" si="19"/>
        <v>0</v>
      </c>
      <c r="M56" s="96">
        <f t="shared" si="19"/>
        <v>0</v>
      </c>
      <c r="N56" s="96">
        <f t="shared" si="19"/>
        <v>0</v>
      </c>
      <c r="O56" s="96">
        <f t="shared" si="19"/>
        <v>0</v>
      </c>
      <c r="P56" s="96">
        <f t="shared" si="19"/>
        <v>0</v>
      </c>
      <c r="Q56" s="96">
        <f t="shared" si="19"/>
        <v>0</v>
      </c>
      <c r="R56" s="96">
        <f t="shared" si="19"/>
        <v>0</v>
      </c>
      <c r="S56" s="96">
        <f t="shared" si="19"/>
        <v>0</v>
      </c>
      <c r="T56" s="96">
        <f t="shared" si="19"/>
        <v>0</v>
      </c>
      <c r="U56" s="96">
        <f t="shared" si="19"/>
        <v>0</v>
      </c>
      <c r="V56" s="96">
        <f t="shared" si="19"/>
        <v>0</v>
      </c>
      <c r="W56" s="96">
        <f t="shared" si="19"/>
        <v>0</v>
      </c>
      <c r="X56" s="96">
        <f t="shared" si="19"/>
        <v>0</v>
      </c>
      <c r="Y56" s="96">
        <f t="shared" si="19"/>
        <v>0</v>
      </c>
      <c r="Z56" s="96">
        <f t="shared" si="19"/>
        <v>0</v>
      </c>
      <c r="AA56" s="96">
        <f t="shared" si="19"/>
        <v>0</v>
      </c>
    </row>
    <row r="57" spans="2:27">
      <c r="B57" s="150">
        <v>2</v>
      </c>
      <c r="C57" s="170" t="s">
        <v>403</v>
      </c>
      <c r="D57" s="167">
        <f t="shared" si="11"/>
        <v>0</v>
      </c>
      <c r="E57" s="168" t="s">
        <v>106</v>
      </c>
      <c r="F57" s="96"/>
      <c r="G57" s="96"/>
      <c r="H57" s="167">
        <v>0</v>
      </c>
      <c r="I57" s="167">
        <v>0</v>
      </c>
      <c r="J57" s="167">
        <v>0</v>
      </c>
      <c r="K57" s="167">
        <v>0</v>
      </c>
      <c r="L57" s="167">
        <v>0</v>
      </c>
      <c r="M57" s="169">
        <v>0</v>
      </c>
      <c r="N57" s="167">
        <v>0</v>
      </c>
      <c r="O57" s="167">
        <v>0</v>
      </c>
      <c r="P57" s="167">
        <v>0</v>
      </c>
      <c r="Q57" s="167">
        <v>0</v>
      </c>
      <c r="R57" s="167">
        <v>0</v>
      </c>
      <c r="S57" s="167">
        <v>0</v>
      </c>
      <c r="T57" s="167">
        <v>0</v>
      </c>
      <c r="U57" s="167">
        <v>0</v>
      </c>
      <c r="V57" s="167">
        <v>0</v>
      </c>
      <c r="W57" s="167">
        <v>0</v>
      </c>
      <c r="X57" s="167">
        <v>0</v>
      </c>
      <c r="Y57" s="167">
        <v>0</v>
      </c>
      <c r="Z57" s="167">
        <v>0</v>
      </c>
      <c r="AA57" s="167">
        <v>0</v>
      </c>
    </row>
    <row r="58" spans="2:27">
      <c r="B58" s="150">
        <v>3</v>
      </c>
      <c r="C58" s="170" t="s">
        <v>404</v>
      </c>
      <c r="D58" s="167">
        <f t="shared" ca="1" si="11"/>
        <v>1121.7389108399855</v>
      </c>
      <c r="E58" s="168" t="s">
        <v>106</v>
      </c>
      <c r="F58" s="96"/>
      <c r="G58" s="96"/>
      <c r="H58" s="167">
        <f ca="1">SUM(H59:H60)</f>
        <v>56.086945541999256</v>
      </c>
      <c r="I58" s="167">
        <f t="shared" ref="I58:AA58" ca="1" si="20">SUM(I59:I60)</f>
        <v>56.086945541999256</v>
      </c>
      <c r="J58" s="167">
        <f t="shared" ca="1" si="20"/>
        <v>56.086945541999256</v>
      </c>
      <c r="K58" s="167">
        <f t="shared" ca="1" si="20"/>
        <v>56.086945541999256</v>
      </c>
      <c r="L58" s="167">
        <f t="shared" ca="1" si="20"/>
        <v>56.086945541999256</v>
      </c>
      <c r="M58" s="169">
        <f t="shared" ca="1" si="20"/>
        <v>56.086945541999256</v>
      </c>
      <c r="N58" s="167">
        <f t="shared" ca="1" si="20"/>
        <v>56.086945541999256</v>
      </c>
      <c r="O58" s="167">
        <f t="shared" ca="1" si="20"/>
        <v>56.086945541999256</v>
      </c>
      <c r="P58" s="167">
        <f t="shared" ca="1" si="20"/>
        <v>56.086945541999256</v>
      </c>
      <c r="Q58" s="167">
        <f t="shared" ca="1" si="20"/>
        <v>56.086945541999256</v>
      </c>
      <c r="R58" s="167">
        <f t="shared" ca="1" si="20"/>
        <v>56.086945541999256</v>
      </c>
      <c r="S58" s="167">
        <f t="shared" ca="1" si="20"/>
        <v>56.086945541999256</v>
      </c>
      <c r="T58" s="167">
        <f t="shared" ca="1" si="20"/>
        <v>56.086945541999256</v>
      </c>
      <c r="U58" s="167">
        <f t="shared" ca="1" si="20"/>
        <v>56.086945541999256</v>
      </c>
      <c r="V58" s="167">
        <f t="shared" ca="1" si="20"/>
        <v>56.086945541999256</v>
      </c>
      <c r="W58" s="167">
        <f t="shared" ca="1" si="20"/>
        <v>56.086945541999256</v>
      </c>
      <c r="X58" s="167">
        <f t="shared" ca="1" si="20"/>
        <v>56.086945541999256</v>
      </c>
      <c r="Y58" s="167">
        <f t="shared" ca="1" si="20"/>
        <v>56.086945541999256</v>
      </c>
      <c r="Z58" s="167">
        <f t="shared" ca="1" si="20"/>
        <v>56.086945541999256</v>
      </c>
      <c r="AA58" s="167">
        <f t="shared" ca="1" si="20"/>
        <v>56.086945541999256</v>
      </c>
    </row>
    <row r="59" spans="2:27">
      <c r="B59" s="153">
        <v>3.1</v>
      </c>
      <c r="C59" s="143" t="s">
        <v>392</v>
      </c>
      <c r="D59" s="96">
        <f t="shared" ca="1" si="11"/>
        <v>1121.7389108399855</v>
      </c>
      <c r="E59" s="168" t="s">
        <v>106</v>
      </c>
      <c r="F59" s="96"/>
      <c r="G59" s="96"/>
      <c r="H59" s="96">
        <f ca="1">H41</f>
        <v>56.086945541999256</v>
      </c>
      <c r="I59" s="96">
        <f t="shared" ref="I59:AA59" ca="1" si="21">I41</f>
        <v>56.086945541999256</v>
      </c>
      <c r="J59" s="96">
        <f t="shared" ca="1" si="21"/>
        <v>56.086945541999256</v>
      </c>
      <c r="K59" s="96">
        <f t="shared" ca="1" si="21"/>
        <v>56.086945541999256</v>
      </c>
      <c r="L59" s="96">
        <f t="shared" ca="1" si="21"/>
        <v>56.086945541999256</v>
      </c>
      <c r="M59" s="96">
        <f t="shared" ca="1" si="21"/>
        <v>56.086945541999256</v>
      </c>
      <c r="N59" s="96">
        <f t="shared" ca="1" si="21"/>
        <v>56.086945541999256</v>
      </c>
      <c r="O59" s="96">
        <f t="shared" ca="1" si="21"/>
        <v>56.086945541999256</v>
      </c>
      <c r="P59" s="96">
        <f t="shared" ca="1" si="21"/>
        <v>56.086945541999256</v>
      </c>
      <c r="Q59" s="96">
        <f t="shared" ca="1" si="21"/>
        <v>56.086945541999256</v>
      </c>
      <c r="R59" s="96">
        <f t="shared" ca="1" si="21"/>
        <v>56.086945541999256</v>
      </c>
      <c r="S59" s="96">
        <f t="shared" ca="1" si="21"/>
        <v>56.086945541999256</v>
      </c>
      <c r="T59" s="96">
        <f t="shared" ca="1" si="21"/>
        <v>56.086945541999256</v>
      </c>
      <c r="U59" s="96">
        <f t="shared" ca="1" si="21"/>
        <v>56.086945541999256</v>
      </c>
      <c r="V59" s="96">
        <f t="shared" ca="1" si="21"/>
        <v>56.086945541999256</v>
      </c>
      <c r="W59" s="96">
        <f t="shared" ca="1" si="21"/>
        <v>56.086945541999256</v>
      </c>
      <c r="X59" s="96">
        <f t="shared" ca="1" si="21"/>
        <v>56.086945541999256</v>
      </c>
      <c r="Y59" s="96">
        <f t="shared" ca="1" si="21"/>
        <v>56.086945541999256</v>
      </c>
      <c r="Z59" s="96">
        <f t="shared" ca="1" si="21"/>
        <v>56.086945541999256</v>
      </c>
      <c r="AA59" s="96">
        <f t="shared" ca="1" si="21"/>
        <v>56.086945541999256</v>
      </c>
    </row>
    <row r="60" spans="2:27">
      <c r="B60" s="153">
        <v>3.2</v>
      </c>
      <c r="C60" s="143" t="s">
        <v>198</v>
      </c>
      <c r="D60" s="96">
        <f t="shared" ca="1" si="11"/>
        <v>0</v>
      </c>
      <c r="E60" s="168" t="s">
        <v>106</v>
      </c>
      <c r="F60" s="96"/>
      <c r="G60" s="96"/>
      <c r="H60" s="96">
        <v>0</v>
      </c>
      <c r="I60" s="96">
        <v>0</v>
      </c>
      <c r="J60" s="96">
        <v>0</v>
      </c>
      <c r="K60" s="96">
        <v>0</v>
      </c>
      <c r="L60" s="96">
        <v>0</v>
      </c>
      <c r="M60" s="174">
        <v>0</v>
      </c>
      <c r="N60" s="96">
        <v>0</v>
      </c>
      <c r="O60" s="96">
        <v>0</v>
      </c>
      <c r="P60" s="96">
        <v>0</v>
      </c>
      <c r="Q60" s="96">
        <v>0</v>
      </c>
      <c r="R60" s="96">
        <v>0</v>
      </c>
      <c r="S60" s="96">
        <v>0</v>
      </c>
      <c r="T60" s="96">
        <v>0</v>
      </c>
      <c r="U60" s="96">
        <v>0</v>
      </c>
      <c r="V60" s="96">
        <v>0</v>
      </c>
      <c r="W60" s="96">
        <v>0</v>
      </c>
      <c r="X60" s="96">
        <v>0</v>
      </c>
      <c r="Y60" s="96">
        <v>0</v>
      </c>
      <c r="Z60" s="96">
        <v>0</v>
      </c>
      <c r="AA60" s="96">
        <f ca="1">参数输入表!H143*参数输入表!H142</f>
        <v>0</v>
      </c>
    </row>
    <row r="61" spans="2:27">
      <c r="B61" s="150">
        <v>4</v>
      </c>
      <c r="C61" s="170" t="s">
        <v>405</v>
      </c>
      <c r="D61" s="167">
        <f t="shared" si="11"/>
        <v>0</v>
      </c>
      <c r="E61" s="168" t="s">
        <v>106</v>
      </c>
      <c r="F61" s="96"/>
      <c r="G61" s="96"/>
      <c r="H61" s="167">
        <v>0</v>
      </c>
      <c r="I61" s="167">
        <v>0</v>
      </c>
      <c r="J61" s="167">
        <v>0</v>
      </c>
      <c r="K61" s="167">
        <v>0</v>
      </c>
      <c r="L61" s="167">
        <v>0</v>
      </c>
      <c r="M61" s="169">
        <v>0</v>
      </c>
      <c r="N61" s="167">
        <v>0</v>
      </c>
      <c r="O61" s="167">
        <v>0</v>
      </c>
      <c r="P61" s="167">
        <v>0</v>
      </c>
      <c r="Q61" s="167">
        <v>0</v>
      </c>
      <c r="R61" s="167">
        <v>0</v>
      </c>
      <c r="S61" s="167">
        <v>0</v>
      </c>
      <c r="T61" s="167">
        <v>0</v>
      </c>
      <c r="U61" s="167">
        <v>0</v>
      </c>
      <c r="V61" s="167">
        <v>0</v>
      </c>
      <c r="W61" s="167">
        <v>0</v>
      </c>
      <c r="X61" s="167">
        <v>0</v>
      </c>
      <c r="Y61" s="167">
        <v>0</v>
      </c>
      <c r="Z61" s="167">
        <v>0</v>
      </c>
      <c r="AA61" s="167">
        <v>0</v>
      </c>
    </row>
    <row r="62" spans="2:27">
      <c r="B62" s="149" t="s">
        <v>342</v>
      </c>
      <c r="C62" s="151" t="s">
        <v>406</v>
      </c>
      <c r="D62" s="167">
        <f t="shared" si="11"/>
        <v>0</v>
      </c>
      <c r="E62" s="168" t="s">
        <v>106</v>
      </c>
      <c r="F62" s="96"/>
      <c r="G62" s="96"/>
      <c r="H62" s="167">
        <f>H44</f>
        <v>0</v>
      </c>
      <c r="I62" s="167">
        <f t="shared" ref="I62:AA62" si="22">I44</f>
        <v>0</v>
      </c>
      <c r="J62" s="167">
        <f t="shared" si="22"/>
        <v>0</v>
      </c>
      <c r="K62" s="167">
        <f t="shared" si="22"/>
        <v>0</v>
      </c>
      <c r="L62" s="167">
        <f t="shared" si="22"/>
        <v>0</v>
      </c>
      <c r="M62" s="167">
        <f t="shared" si="22"/>
        <v>0</v>
      </c>
      <c r="N62" s="167">
        <f t="shared" si="22"/>
        <v>0</v>
      </c>
      <c r="O62" s="167">
        <f t="shared" si="22"/>
        <v>0</v>
      </c>
      <c r="P62" s="167">
        <f t="shared" si="22"/>
        <v>0</v>
      </c>
      <c r="Q62" s="167">
        <f t="shared" si="22"/>
        <v>0</v>
      </c>
      <c r="R62" s="167">
        <f t="shared" si="22"/>
        <v>0</v>
      </c>
      <c r="S62" s="167">
        <f t="shared" si="22"/>
        <v>0</v>
      </c>
      <c r="T62" s="167">
        <f t="shared" si="22"/>
        <v>0</v>
      </c>
      <c r="U62" s="167">
        <f t="shared" si="22"/>
        <v>0</v>
      </c>
      <c r="V62" s="167">
        <f t="shared" si="22"/>
        <v>0</v>
      </c>
      <c r="W62" s="167">
        <f t="shared" si="22"/>
        <v>0</v>
      </c>
      <c r="X62" s="167">
        <f t="shared" si="22"/>
        <v>0</v>
      </c>
      <c r="Y62" s="167">
        <f t="shared" si="22"/>
        <v>0</v>
      </c>
      <c r="Z62" s="167">
        <f t="shared" si="22"/>
        <v>0</v>
      </c>
      <c r="AA62" s="167">
        <f t="shared" si="22"/>
        <v>0</v>
      </c>
    </row>
    <row r="63" spans="2:27">
      <c r="B63" s="161"/>
      <c r="C63" s="175"/>
      <c r="D63" s="163"/>
      <c r="E63" s="164"/>
    </row>
    <row r="65" spans="3:5">
      <c r="C65" s="99"/>
      <c r="D65" s="40"/>
      <c r="E65" s="40"/>
    </row>
    <row r="66" spans="3:5">
      <c r="C66" s="99"/>
      <c r="D66" s="40"/>
      <c r="E66" s="40"/>
    </row>
    <row r="68" spans="3:5">
      <c r="C68" s="99"/>
    </row>
  </sheetData>
  <mergeCells count="12">
    <mergeCell ref="F3:G3"/>
    <mergeCell ref="H3:AA3"/>
    <mergeCell ref="F27:G27"/>
    <mergeCell ref="H27:AA27"/>
    <mergeCell ref="B3:B4"/>
    <mergeCell ref="B27:B28"/>
    <mergeCell ref="C3:C4"/>
    <mergeCell ref="C27:C28"/>
    <mergeCell ref="D3:D4"/>
    <mergeCell ref="D27:D28"/>
    <mergeCell ref="E3:E4"/>
    <mergeCell ref="E27:E28"/>
  </mergeCells>
  <phoneticPr fontId="60" type="noConversion"/>
  <pageMargins left="0.7" right="0.7" top="0.75" bottom="0.75" header="0.3" footer="0.3"/>
  <pageSetup paperSize="9"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71"/>
  <sheetViews>
    <sheetView showGridLines="0" topLeftCell="C1" zoomScale="90" zoomScaleNormal="90" workbookViewId="0">
      <selection activeCell="H13" sqref="H13"/>
    </sheetView>
  </sheetViews>
  <sheetFormatPr defaultColWidth="8.81640625" defaultRowHeight="16.5"/>
  <cols>
    <col min="1" max="1" width="2.81640625" style="40" customWidth="1"/>
    <col min="2" max="2" width="8.81640625" style="40"/>
    <col min="3" max="3" width="31.08984375" style="40" customWidth="1"/>
    <col min="4" max="4" width="14.81640625" style="40" customWidth="1"/>
    <col min="5" max="5" width="8.81640625" style="40"/>
    <col min="6" max="6" width="13.08984375" style="40" customWidth="1"/>
    <col min="7" max="7" width="11.81640625" style="40" customWidth="1"/>
    <col min="8" max="27" width="13" style="40" customWidth="1"/>
    <col min="28" max="16384" width="8.81640625" style="40"/>
  </cols>
  <sheetData>
    <row r="1" spans="2:27" ht="6.5" customHeight="1"/>
    <row r="2" spans="2:27" ht="21.65" customHeight="1">
      <c r="B2" s="41" t="s">
        <v>407</v>
      </c>
    </row>
    <row r="3" spans="2:27">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c r="B5" s="80">
        <v>1</v>
      </c>
      <c r="C5" s="81" t="s">
        <v>242</v>
      </c>
      <c r="D5" s="126">
        <f t="shared" ref="D5:D9" si="0">SUM(F5:AA5)</f>
        <v>55978.052107398202</v>
      </c>
      <c r="E5" s="47" t="s">
        <v>106</v>
      </c>
      <c r="F5" s="44"/>
      <c r="G5" s="44"/>
      <c r="H5" s="109">
        <f>H6+H16</f>
        <v>2781.8166170265499</v>
      </c>
      <c r="I5" s="109">
        <f t="shared" ref="I5:AA5" si="1">I6+I16</f>
        <v>2781.8166170265499</v>
      </c>
      <c r="J5" s="109">
        <f t="shared" si="1"/>
        <v>2781.8166170265499</v>
      </c>
      <c r="K5" s="109">
        <f t="shared" si="1"/>
        <v>2781.8166170265499</v>
      </c>
      <c r="L5" s="109">
        <f t="shared" si="1"/>
        <v>2781.8166170265499</v>
      </c>
      <c r="M5" s="109">
        <f t="shared" si="1"/>
        <v>2804.5979348177002</v>
      </c>
      <c r="N5" s="109">
        <f t="shared" si="1"/>
        <v>2804.5979348177002</v>
      </c>
      <c r="O5" s="109">
        <f t="shared" si="1"/>
        <v>2804.5979348177002</v>
      </c>
      <c r="P5" s="109">
        <f t="shared" si="1"/>
        <v>2804.5979348177002</v>
      </c>
      <c r="Q5" s="109">
        <f t="shared" si="1"/>
        <v>2804.5979348177002</v>
      </c>
      <c r="R5" s="109">
        <f t="shared" si="1"/>
        <v>2804.5979348177002</v>
      </c>
      <c r="S5" s="109">
        <f t="shared" si="1"/>
        <v>2804.5979348177002</v>
      </c>
      <c r="T5" s="109">
        <f t="shared" si="1"/>
        <v>2804.5979348177002</v>
      </c>
      <c r="U5" s="109">
        <f t="shared" si="1"/>
        <v>2804.5979348177002</v>
      </c>
      <c r="V5" s="109">
        <f t="shared" si="1"/>
        <v>2804.5979348177002</v>
      </c>
      <c r="W5" s="109">
        <f t="shared" si="1"/>
        <v>2804.5979348177002</v>
      </c>
      <c r="X5" s="109">
        <f t="shared" si="1"/>
        <v>2804.5979348177002</v>
      </c>
      <c r="Y5" s="109">
        <f t="shared" si="1"/>
        <v>2804.5979348177002</v>
      </c>
      <c r="Z5" s="109">
        <f t="shared" si="1"/>
        <v>2804.5979348177002</v>
      </c>
      <c r="AA5" s="109">
        <f t="shared" si="1"/>
        <v>2804.5979348177002</v>
      </c>
    </row>
    <row r="6" spans="2:27">
      <c r="B6" s="69">
        <v>1.1000000000000001</v>
      </c>
      <c r="C6" s="127" t="s">
        <v>243</v>
      </c>
      <c r="D6" s="126">
        <f t="shared" si="0"/>
        <v>55978.052107398202</v>
      </c>
      <c r="E6" s="47" t="s">
        <v>106</v>
      </c>
      <c r="F6" s="50"/>
      <c r="G6" s="50"/>
      <c r="H6" s="46">
        <f>(H9*H10-H11-H12)/(1+参数输入表!$H$233)+(H14*H15)/(1+参数输入表!$H$237)</f>
        <v>2781.8166170265499</v>
      </c>
      <c r="I6" s="46">
        <f>(I9*I10-I11-I12)/(1+参数输入表!$H$233)+(I14*I15)/(1+参数输入表!$H$237)</f>
        <v>2781.8166170265499</v>
      </c>
      <c r="J6" s="46">
        <f>(J9*J10-J11-J12)/(1+参数输入表!$H$233)+(J14*J15)/(1+参数输入表!$H$237)</f>
        <v>2781.8166170265499</v>
      </c>
      <c r="K6" s="46">
        <f>(K9*K10-K11-K12)/(1+参数输入表!$H$233)+(K14*K15)/(1+参数输入表!$H$237)</f>
        <v>2781.8166170265499</v>
      </c>
      <c r="L6" s="46">
        <f>(L9*L10-L11-L12)/(1+参数输入表!$H$233)+(L14*L15)/(1+参数输入表!$H$237)</f>
        <v>2781.8166170265499</v>
      </c>
      <c r="M6" s="46">
        <f>(M9*M10-M11-M12)/(1+参数输入表!$H$233)+(M14*M15)/(1+参数输入表!$H$237)</f>
        <v>2804.5979348177002</v>
      </c>
      <c r="N6" s="46">
        <f>(N9*N10-N11-N12)/(1+参数输入表!$H$233)+(N14*N15)/(1+参数输入表!$H$237)</f>
        <v>2804.5979348177002</v>
      </c>
      <c r="O6" s="46">
        <f>(O9*O10-O11-O12)/(1+参数输入表!$H$233)+(O14*O15)/(1+参数输入表!$H$237)</f>
        <v>2804.5979348177002</v>
      </c>
      <c r="P6" s="46">
        <f>(P9*P10-P11-P12)/(1+参数输入表!$H$233)+(P14*P15)/(1+参数输入表!$H$237)</f>
        <v>2804.5979348177002</v>
      </c>
      <c r="Q6" s="46">
        <f>(Q9*Q10-Q11-Q12)/(1+参数输入表!$H$233)+(Q14*Q15)/(1+参数输入表!$H$237)</f>
        <v>2804.5979348177002</v>
      </c>
      <c r="R6" s="46">
        <f>(R9*R10-R11-R12)/(1+参数输入表!$H$233)+(R14*R15)/(1+参数输入表!$H$237)</f>
        <v>2804.5979348177002</v>
      </c>
      <c r="S6" s="46">
        <f>(S9*S10-S11-S12)/(1+参数输入表!$H$233)+(S14*S15)/(1+参数输入表!$H$237)</f>
        <v>2804.5979348177002</v>
      </c>
      <c r="T6" s="46">
        <f>(T9*T10-T11-T12)/(1+参数输入表!$H$233)+(T14*T15)/(1+参数输入表!$H$237)</f>
        <v>2804.5979348177002</v>
      </c>
      <c r="U6" s="46">
        <f>(U9*U10-U11-U12)/(1+参数输入表!$H$233)+(U14*U15)/(1+参数输入表!$H$237)</f>
        <v>2804.5979348177002</v>
      </c>
      <c r="V6" s="46">
        <f>(V9*V10-V11-V12)/(1+参数输入表!$H$233)+(V14*V15)/(1+参数输入表!$H$237)</f>
        <v>2804.5979348177002</v>
      </c>
      <c r="W6" s="46">
        <f>(W9*W10-W11-W12)/(1+参数输入表!$H$233)+(W14*W15)/(1+参数输入表!$H$237)</f>
        <v>2804.5979348177002</v>
      </c>
      <c r="X6" s="46">
        <f>(X9*X10-X11-X12)/(1+参数输入表!$H$233)+(X14*X15)/(1+参数输入表!$H$237)</f>
        <v>2804.5979348177002</v>
      </c>
      <c r="Y6" s="46">
        <f>(Y9*Y10-Y11-Y12)/(1+参数输入表!$H$233)+(Y14*Y15)/(1+参数输入表!$H$237)</f>
        <v>2804.5979348177002</v>
      </c>
      <c r="Z6" s="46">
        <f>(Z9*Z10-Z11-Z12)/(1+参数输入表!$H$233)+(Z14*Z15)/(1+参数输入表!$H$237)</f>
        <v>2804.5979348177002</v>
      </c>
      <c r="AA6" s="46">
        <f>(AA9*AA10-AA11-AA12)/(1+参数输入表!$H$233)+(AA14*AA15)/(1+参数输入表!$H$237)</f>
        <v>2804.5979348177002</v>
      </c>
    </row>
    <row r="7" spans="2:27" s="123" customFormat="1">
      <c r="B7" s="128"/>
      <c r="C7" s="129" t="s">
        <v>71</v>
      </c>
      <c r="D7" s="130">
        <f t="shared" si="0"/>
        <v>213854</v>
      </c>
      <c r="E7" s="131" t="s">
        <v>408</v>
      </c>
      <c r="F7" s="130"/>
      <c r="G7" s="130"/>
      <c r="H7" s="132">
        <f>参数输入表!H17/10</f>
        <v>10692.7</v>
      </c>
      <c r="I7" s="132">
        <f>H7</f>
        <v>10692.7</v>
      </c>
      <c r="J7" s="132">
        <f t="shared" ref="J7:AA7" si="2">I7</f>
        <v>10692.7</v>
      </c>
      <c r="K7" s="132">
        <f t="shared" si="2"/>
        <v>10692.7</v>
      </c>
      <c r="L7" s="132">
        <f t="shared" si="2"/>
        <v>10692.7</v>
      </c>
      <c r="M7" s="132">
        <f t="shared" si="2"/>
        <v>10692.7</v>
      </c>
      <c r="N7" s="132">
        <f t="shared" si="2"/>
        <v>10692.7</v>
      </c>
      <c r="O7" s="132">
        <f t="shared" si="2"/>
        <v>10692.7</v>
      </c>
      <c r="P7" s="132">
        <f t="shared" si="2"/>
        <v>10692.7</v>
      </c>
      <c r="Q7" s="132">
        <f t="shared" si="2"/>
        <v>10692.7</v>
      </c>
      <c r="R7" s="132">
        <f t="shared" si="2"/>
        <v>10692.7</v>
      </c>
      <c r="S7" s="132">
        <f t="shared" si="2"/>
        <v>10692.7</v>
      </c>
      <c r="T7" s="132">
        <f t="shared" si="2"/>
        <v>10692.7</v>
      </c>
      <c r="U7" s="132">
        <f t="shared" si="2"/>
        <v>10692.7</v>
      </c>
      <c r="V7" s="132">
        <f t="shared" si="2"/>
        <v>10692.7</v>
      </c>
      <c r="W7" s="132">
        <f t="shared" si="2"/>
        <v>10692.7</v>
      </c>
      <c r="X7" s="132">
        <f t="shared" si="2"/>
        <v>10692.7</v>
      </c>
      <c r="Y7" s="132">
        <f t="shared" si="2"/>
        <v>10692.7</v>
      </c>
      <c r="Z7" s="132">
        <f t="shared" si="2"/>
        <v>10692.7</v>
      </c>
      <c r="AA7" s="132">
        <f t="shared" si="2"/>
        <v>10692.7</v>
      </c>
    </row>
    <row r="8" spans="2:27" s="123" customFormat="1">
      <c r="B8" s="128"/>
      <c r="C8" s="129" t="s">
        <v>245</v>
      </c>
      <c r="D8" s="132">
        <f t="shared" si="0"/>
        <v>19074.043257840702</v>
      </c>
      <c r="E8" s="131" t="s">
        <v>106</v>
      </c>
      <c r="F8" s="130"/>
      <c r="G8" s="130"/>
      <c r="H8" s="132">
        <f>H9*H10/1.13</f>
        <v>1362.4316612743401</v>
      </c>
      <c r="I8" s="132">
        <f t="shared" ref="I8:AA8" si="3">I9*I10/1.13</f>
        <v>1362.4316612743401</v>
      </c>
      <c r="J8" s="132">
        <f t="shared" si="3"/>
        <v>1362.4316612743401</v>
      </c>
      <c r="K8" s="132">
        <f t="shared" si="3"/>
        <v>1362.4316612743401</v>
      </c>
      <c r="L8" s="132">
        <f t="shared" si="3"/>
        <v>1362.4316612743401</v>
      </c>
      <c r="M8" s="132">
        <f t="shared" si="3"/>
        <v>817.45899676460203</v>
      </c>
      <c r="N8" s="132">
        <f t="shared" si="3"/>
        <v>817.45899676460203</v>
      </c>
      <c r="O8" s="132">
        <f t="shared" si="3"/>
        <v>817.45899676460203</v>
      </c>
      <c r="P8" s="132">
        <f t="shared" si="3"/>
        <v>817.45899676460203</v>
      </c>
      <c r="Q8" s="132">
        <f t="shared" si="3"/>
        <v>817.45899676460203</v>
      </c>
      <c r="R8" s="132">
        <f t="shared" si="3"/>
        <v>817.45899676460203</v>
      </c>
      <c r="S8" s="132">
        <f t="shared" si="3"/>
        <v>817.45899676460203</v>
      </c>
      <c r="T8" s="132">
        <f t="shared" si="3"/>
        <v>817.45899676460203</v>
      </c>
      <c r="U8" s="132">
        <f t="shared" si="3"/>
        <v>817.45899676460203</v>
      </c>
      <c r="V8" s="132">
        <f t="shared" si="3"/>
        <v>817.45899676460203</v>
      </c>
      <c r="W8" s="132">
        <f t="shared" si="3"/>
        <v>817.45899676460203</v>
      </c>
      <c r="X8" s="132">
        <f t="shared" si="3"/>
        <v>817.45899676460203</v>
      </c>
      <c r="Y8" s="132">
        <f t="shared" si="3"/>
        <v>817.45899676460203</v>
      </c>
      <c r="Z8" s="132">
        <f t="shared" si="3"/>
        <v>817.45899676460203</v>
      </c>
      <c r="AA8" s="132">
        <f t="shared" si="3"/>
        <v>817.45899676460203</v>
      </c>
    </row>
    <row r="9" spans="2:27" s="124" customFormat="1">
      <c r="B9" s="133"/>
      <c r="C9" s="134" t="s">
        <v>75</v>
      </c>
      <c r="D9" s="135">
        <f t="shared" si="0"/>
        <v>70807.0594000001</v>
      </c>
      <c r="E9" s="133" t="s">
        <v>408</v>
      </c>
      <c r="F9" s="135"/>
      <c r="G9" s="135"/>
      <c r="H9" s="135">
        <f>参数输入表!H19/10</f>
        <v>5057.6471000000001</v>
      </c>
      <c r="I9" s="135">
        <f>参数输入表!H20/10</f>
        <v>5057.6471000000001</v>
      </c>
      <c r="J9" s="135">
        <f>参数输入表!H21/10</f>
        <v>5057.6471000000001</v>
      </c>
      <c r="K9" s="135">
        <f>参数输入表!H22/10</f>
        <v>5057.6471000000001</v>
      </c>
      <c r="L9" s="135">
        <f>参数输入表!H23/10</f>
        <v>5057.6471000000001</v>
      </c>
      <c r="M9" s="135">
        <f>参数输入表!H24/10</f>
        <v>3034.58826</v>
      </c>
      <c r="N9" s="135">
        <f>参数输入表!H25/10</f>
        <v>3034.58826</v>
      </c>
      <c r="O9" s="135">
        <f>参数输入表!H26/10</f>
        <v>3034.58826</v>
      </c>
      <c r="P9" s="135">
        <f>参数输入表!H27/10</f>
        <v>3034.58826</v>
      </c>
      <c r="Q9" s="135">
        <f>参数输入表!H28/10</f>
        <v>3034.58826</v>
      </c>
      <c r="R9" s="135">
        <f>参数输入表!H29/10</f>
        <v>3034.58826</v>
      </c>
      <c r="S9" s="135">
        <f>参数输入表!H30/10</f>
        <v>3034.58826</v>
      </c>
      <c r="T9" s="135">
        <f>参数输入表!H31/10</f>
        <v>3034.58826</v>
      </c>
      <c r="U9" s="135">
        <f>参数输入表!H32/10</f>
        <v>3034.58826</v>
      </c>
      <c r="V9" s="135">
        <f>参数输入表!H33/10</f>
        <v>3034.58826</v>
      </c>
      <c r="W9" s="135">
        <f>参数输入表!H34/10</f>
        <v>3034.58826</v>
      </c>
      <c r="X9" s="135">
        <f>参数输入表!H35/10</f>
        <v>3034.58826</v>
      </c>
      <c r="Y9" s="135">
        <f>参数输入表!H36/10</f>
        <v>3034.58826</v>
      </c>
      <c r="Z9" s="135">
        <f>参数输入表!H37/10</f>
        <v>3034.58826</v>
      </c>
      <c r="AA9" s="135">
        <f>参数输入表!H38/10</f>
        <v>3034.58826</v>
      </c>
    </row>
    <row r="10" spans="2:27" s="125" customFormat="1">
      <c r="B10" s="131"/>
      <c r="C10" s="136" t="s">
        <v>409</v>
      </c>
      <c r="D10" s="130"/>
      <c r="E10" s="131" t="s">
        <v>410</v>
      </c>
      <c r="F10" s="130"/>
      <c r="G10" s="130"/>
      <c r="H10" s="137">
        <f>参数输入表!$H$40</f>
        <v>0.3044</v>
      </c>
      <c r="I10" s="137">
        <f>参数输入表!$H$40</f>
        <v>0.3044</v>
      </c>
      <c r="J10" s="137">
        <f>参数输入表!$H$40</f>
        <v>0.3044</v>
      </c>
      <c r="K10" s="137">
        <f>参数输入表!$H$40</f>
        <v>0.3044</v>
      </c>
      <c r="L10" s="137">
        <f>参数输入表!$H$40</f>
        <v>0.3044</v>
      </c>
      <c r="M10" s="137">
        <f>参数输入表!$H$40</f>
        <v>0.3044</v>
      </c>
      <c r="N10" s="137">
        <f>参数输入表!$H$40</f>
        <v>0.3044</v>
      </c>
      <c r="O10" s="137">
        <f>参数输入表!$H$40</f>
        <v>0.3044</v>
      </c>
      <c r="P10" s="137">
        <f>参数输入表!$H$40</f>
        <v>0.3044</v>
      </c>
      <c r="Q10" s="137">
        <f>参数输入表!$H$40</f>
        <v>0.3044</v>
      </c>
      <c r="R10" s="137">
        <f>参数输入表!$H$40</f>
        <v>0.3044</v>
      </c>
      <c r="S10" s="137">
        <f>参数输入表!$H$40</f>
        <v>0.3044</v>
      </c>
      <c r="T10" s="137">
        <f>参数输入表!$H$40</f>
        <v>0.3044</v>
      </c>
      <c r="U10" s="137">
        <f>参数输入表!$H$40</f>
        <v>0.3044</v>
      </c>
      <c r="V10" s="137">
        <f>参数输入表!$H$40</f>
        <v>0.3044</v>
      </c>
      <c r="W10" s="137">
        <f>参数输入表!$H$40</f>
        <v>0.3044</v>
      </c>
      <c r="X10" s="137">
        <f>参数输入表!$H$40</f>
        <v>0.3044</v>
      </c>
      <c r="Y10" s="137">
        <f>参数输入表!$H$40</f>
        <v>0.3044</v>
      </c>
      <c r="Z10" s="137">
        <f>参数输入表!$H$40</f>
        <v>0.3044</v>
      </c>
      <c r="AA10" s="137">
        <f>参数输入表!$H$40</f>
        <v>0.3044</v>
      </c>
    </row>
    <row r="11" spans="2:27">
      <c r="B11" s="47"/>
      <c r="C11" s="138" t="s">
        <v>250</v>
      </c>
      <c r="D11" s="50">
        <f>SUM(F11:AA11)</f>
        <v>0</v>
      </c>
      <c r="E11" s="47" t="s">
        <v>106</v>
      </c>
      <c r="F11" s="50"/>
      <c r="G11" s="50"/>
      <c r="H11" s="50">
        <f>H9*参数输入表!$H$226</f>
        <v>0</v>
      </c>
      <c r="I11" s="50">
        <f>I9*参数输入表!$H$226</f>
        <v>0</v>
      </c>
      <c r="J11" s="50">
        <f>J9*参数输入表!$H$226</f>
        <v>0</v>
      </c>
      <c r="K11" s="50">
        <f>K9*参数输入表!$H$226</f>
        <v>0</v>
      </c>
      <c r="L11" s="50">
        <f>L9*参数输入表!$H$226</f>
        <v>0</v>
      </c>
      <c r="M11" s="50">
        <f>M9*参数输入表!$H$226</f>
        <v>0</v>
      </c>
      <c r="N11" s="50">
        <f>N9*参数输入表!$H$226</f>
        <v>0</v>
      </c>
      <c r="O11" s="50">
        <f>O9*参数输入表!$H$226</f>
        <v>0</v>
      </c>
      <c r="P11" s="50">
        <f>P9*参数输入表!$H$226</f>
        <v>0</v>
      </c>
      <c r="Q11" s="50">
        <f>Q9*参数输入表!$H$226</f>
        <v>0</v>
      </c>
      <c r="R11" s="50">
        <f>R9*参数输入表!$H$226</f>
        <v>0</v>
      </c>
      <c r="S11" s="50">
        <f>S9*参数输入表!$H$226</f>
        <v>0</v>
      </c>
      <c r="T11" s="50">
        <f>T9*参数输入表!$H$226</f>
        <v>0</v>
      </c>
      <c r="U11" s="50">
        <f>U9*参数输入表!$H$226</f>
        <v>0</v>
      </c>
      <c r="V11" s="50">
        <f>V9*参数输入表!$H$226</f>
        <v>0</v>
      </c>
      <c r="W11" s="50">
        <f>W9*参数输入表!$H$226</f>
        <v>0</v>
      </c>
      <c r="X11" s="50">
        <f>X9*参数输入表!$H$226</f>
        <v>0</v>
      </c>
      <c r="Y11" s="50">
        <f>Y9*参数输入表!$H$226</f>
        <v>0</v>
      </c>
      <c r="Z11" s="50">
        <f>Z9*参数输入表!$H$226</f>
        <v>0</v>
      </c>
      <c r="AA11" s="50">
        <f>AA9*参数输入表!$H$226</f>
        <v>0</v>
      </c>
    </row>
    <row r="12" spans="2:27">
      <c r="B12" s="47"/>
      <c r="C12" s="138" t="s">
        <v>253</v>
      </c>
      <c r="D12" s="50">
        <f>SUM(F12:AA12)</f>
        <v>0</v>
      </c>
      <c r="E12" s="47" t="s">
        <v>106</v>
      </c>
      <c r="F12" s="50"/>
      <c r="G12" s="50"/>
      <c r="H12" s="50">
        <f>H9*参数输入表!$H$230</f>
        <v>0</v>
      </c>
      <c r="I12" s="50">
        <f>I9*参数输入表!$H$230</f>
        <v>0</v>
      </c>
      <c r="J12" s="50">
        <f>J9*参数输入表!$H$230</f>
        <v>0</v>
      </c>
      <c r="K12" s="50">
        <f>K9*参数输入表!$H$230</f>
        <v>0</v>
      </c>
      <c r="L12" s="50">
        <f>L9*参数输入表!$H$230</f>
        <v>0</v>
      </c>
      <c r="M12" s="50">
        <f>M9*参数输入表!$H$230</f>
        <v>0</v>
      </c>
      <c r="N12" s="50">
        <f>N9*参数输入表!$H$230</f>
        <v>0</v>
      </c>
      <c r="O12" s="50">
        <f>O9*参数输入表!$H$230</f>
        <v>0</v>
      </c>
      <c r="P12" s="50">
        <f>P9*参数输入表!$H$230</f>
        <v>0</v>
      </c>
      <c r="Q12" s="50">
        <f>Q9*参数输入表!$H$230</f>
        <v>0</v>
      </c>
      <c r="R12" s="50">
        <f>R9*参数输入表!$H$230</f>
        <v>0</v>
      </c>
      <c r="S12" s="50">
        <f>S9*参数输入表!$H$230</f>
        <v>0</v>
      </c>
      <c r="T12" s="50">
        <f>T9*参数输入表!$H$230</f>
        <v>0</v>
      </c>
      <c r="U12" s="50">
        <f>U9*参数输入表!$H$230</f>
        <v>0</v>
      </c>
      <c r="V12" s="50">
        <f>V9*参数输入表!$H$230</f>
        <v>0</v>
      </c>
      <c r="W12" s="50">
        <f>W9*参数输入表!$H$230</f>
        <v>0</v>
      </c>
      <c r="X12" s="50">
        <f>X9*参数输入表!$H$230</f>
        <v>0</v>
      </c>
      <c r="Y12" s="50">
        <f>Y9*参数输入表!$H$230</f>
        <v>0</v>
      </c>
      <c r="Z12" s="50">
        <f>Z9*参数输入表!$H$230</f>
        <v>0</v>
      </c>
      <c r="AA12" s="50">
        <f>AA9*参数输入表!$H$230</f>
        <v>0</v>
      </c>
    </row>
    <row r="13" spans="2:27" s="123" customFormat="1">
      <c r="B13" s="131"/>
      <c r="C13" s="139" t="s">
        <v>411</v>
      </c>
      <c r="D13" s="130">
        <f>SUM(H13:AA13)</f>
        <v>36904.008849557496</v>
      </c>
      <c r="E13" s="131"/>
      <c r="F13" s="130"/>
      <c r="G13" s="130"/>
      <c r="H13" s="130">
        <f>H14*H15/1.13</f>
        <v>1419.3849557522101</v>
      </c>
      <c r="I13" s="130">
        <f t="shared" ref="I13:AA13" si="4">I14*I15/1.13</f>
        <v>1419.3849557522101</v>
      </c>
      <c r="J13" s="130">
        <f t="shared" si="4"/>
        <v>1419.3849557522101</v>
      </c>
      <c r="K13" s="130">
        <f t="shared" si="4"/>
        <v>1419.3849557522101</v>
      </c>
      <c r="L13" s="130">
        <f t="shared" si="4"/>
        <v>1419.3849557522101</v>
      </c>
      <c r="M13" s="130">
        <f t="shared" si="4"/>
        <v>1987.1389380531</v>
      </c>
      <c r="N13" s="130">
        <f t="shared" si="4"/>
        <v>1987.1389380531</v>
      </c>
      <c r="O13" s="130">
        <f t="shared" si="4"/>
        <v>1987.1389380531</v>
      </c>
      <c r="P13" s="130">
        <f t="shared" si="4"/>
        <v>1987.1389380531</v>
      </c>
      <c r="Q13" s="130">
        <f t="shared" si="4"/>
        <v>1987.1389380531</v>
      </c>
      <c r="R13" s="130">
        <f t="shared" si="4"/>
        <v>1987.1389380531</v>
      </c>
      <c r="S13" s="130">
        <f t="shared" si="4"/>
        <v>1987.1389380531</v>
      </c>
      <c r="T13" s="130">
        <f t="shared" si="4"/>
        <v>1987.1389380531</v>
      </c>
      <c r="U13" s="130">
        <f t="shared" si="4"/>
        <v>1987.1389380531</v>
      </c>
      <c r="V13" s="130">
        <f t="shared" si="4"/>
        <v>1987.1389380531</v>
      </c>
      <c r="W13" s="130">
        <f t="shared" si="4"/>
        <v>1987.1389380531</v>
      </c>
      <c r="X13" s="130">
        <f t="shared" si="4"/>
        <v>1987.1389380531</v>
      </c>
      <c r="Y13" s="130">
        <f t="shared" si="4"/>
        <v>1987.1389380531</v>
      </c>
      <c r="Z13" s="130">
        <f t="shared" si="4"/>
        <v>1987.1389380531</v>
      </c>
      <c r="AA13" s="130">
        <f t="shared" si="4"/>
        <v>1987.1389380531</v>
      </c>
    </row>
    <row r="14" spans="2:27" s="124" customFormat="1">
      <c r="B14" s="133"/>
      <c r="C14" s="134" t="s">
        <v>257</v>
      </c>
      <c r="D14" s="135">
        <f>SUM(F14:AA14)</f>
        <v>139005.1</v>
      </c>
      <c r="E14" s="133" t="s">
        <v>408</v>
      </c>
      <c r="F14" s="135"/>
      <c r="G14" s="135"/>
      <c r="H14" s="135">
        <f>参数输入表!H45*参数输入表!$H$17/10</f>
        <v>5346.35</v>
      </c>
      <c r="I14" s="135">
        <f>参数输入表!H46*参数输入表!$H$17/10</f>
        <v>5346.35</v>
      </c>
      <c r="J14" s="135">
        <f>参数输入表!H47*参数输入表!$H$17/10</f>
        <v>5346.35</v>
      </c>
      <c r="K14" s="135">
        <f>参数输入表!H48*参数输入表!$H$17/10</f>
        <v>5346.35</v>
      </c>
      <c r="L14" s="135">
        <f>参数输入表!H49*参数输入表!$H$17/10</f>
        <v>5346.35</v>
      </c>
      <c r="M14" s="135">
        <f>参数输入表!H50*参数输入表!$H$17/10</f>
        <v>7484.89</v>
      </c>
      <c r="N14" s="135">
        <f>参数输入表!H51*参数输入表!$H$17/10</f>
        <v>7484.89</v>
      </c>
      <c r="O14" s="135">
        <f>参数输入表!H52*参数输入表!$H$17/10</f>
        <v>7484.89</v>
      </c>
      <c r="P14" s="135">
        <f>参数输入表!H53*参数输入表!$H$17/10</f>
        <v>7484.89</v>
      </c>
      <c r="Q14" s="135">
        <f>参数输入表!H54*参数输入表!$H$17/10</f>
        <v>7484.89</v>
      </c>
      <c r="R14" s="135">
        <f>参数输入表!H55*参数输入表!$H$17/10</f>
        <v>7484.89</v>
      </c>
      <c r="S14" s="135">
        <f>参数输入表!H56*参数输入表!$H$17/10</f>
        <v>7484.89</v>
      </c>
      <c r="T14" s="135">
        <f>参数输入表!H57*参数输入表!$H$17/10</f>
        <v>7484.89</v>
      </c>
      <c r="U14" s="135">
        <f>参数输入表!H58*参数输入表!$H$17/10</f>
        <v>7484.89</v>
      </c>
      <c r="V14" s="135">
        <f>参数输入表!H59*参数输入表!$H$17/10</f>
        <v>7484.89</v>
      </c>
      <c r="W14" s="135">
        <f>参数输入表!H60*参数输入表!$H$17/10</f>
        <v>7484.89</v>
      </c>
      <c r="X14" s="135">
        <f>参数输入表!H61*参数输入表!$H$17/10</f>
        <v>7484.89</v>
      </c>
      <c r="Y14" s="135">
        <f>参数输入表!H62*参数输入表!$H$17/10</f>
        <v>7484.89</v>
      </c>
      <c r="Z14" s="135">
        <f>参数输入表!H63*参数输入表!$H$17/10</f>
        <v>7484.89</v>
      </c>
      <c r="AA14" s="135">
        <f>参数输入表!H64*参数输入表!$H$17/10</f>
        <v>7484.89</v>
      </c>
    </row>
    <row r="15" spans="2:27" s="125" customFormat="1">
      <c r="B15" s="131"/>
      <c r="C15" s="136" t="s">
        <v>412</v>
      </c>
      <c r="D15" s="130"/>
      <c r="E15" s="131" t="s">
        <v>410</v>
      </c>
      <c r="F15" s="130"/>
      <c r="G15" s="130"/>
      <c r="H15" s="137">
        <f>参数输入表!H66</f>
        <v>0.3</v>
      </c>
      <c r="I15" s="130">
        <f>H15</f>
        <v>0.3</v>
      </c>
      <c r="J15" s="130">
        <f t="shared" ref="J15:AA15" si="5">I15</f>
        <v>0.3</v>
      </c>
      <c r="K15" s="130">
        <f t="shared" si="5"/>
        <v>0.3</v>
      </c>
      <c r="L15" s="130">
        <f t="shared" si="5"/>
        <v>0.3</v>
      </c>
      <c r="M15" s="130">
        <f t="shared" si="5"/>
        <v>0.3</v>
      </c>
      <c r="N15" s="130">
        <f t="shared" si="5"/>
        <v>0.3</v>
      </c>
      <c r="O15" s="130">
        <f t="shared" si="5"/>
        <v>0.3</v>
      </c>
      <c r="P15" s="130">
        <f t="shared" si="5"/>
        <v>0.3</v>
      </c>
      <c r="Q15" s="130">
        <f t="shared" si="5"/>
        <v>0.3</v>
      </c>
      <c r="R15" s="130">
        <f t="shared" si="5"/>
        <v>0.3</v>
      </c>
      <c r="S15" s="130">
        <f t="shared" si="5"/>
        <v>0.3</v>
      </c>
      <c r="T15" s="130">
        <f t="shared" si="5"/>
        <v>0.3</v>
      </c>
      <c r="U15" s="130">
        <f t="shared" si="5"/>
        <v>0.3</v>
      </c>
      <c r="V15" s="130">
        <f t="shared" si="5"/>
        <v>0.3</v>
      </c>
      <c r="W15" s="130">
        <f t="shared" si="5"/>
        <v>0.3</v>
      </c>
      <c r="X15" s="130">
        <f t="shared" si="5"/>
        <v>0.3</v>
      </c>
      <c r="Y15" s="130">
        <f t="shared" si="5"/>
        <v>0.3</v>
      </c>
      <c r="Z15" s="130">
        <f t="shared" si="5"/>
        <v>0.3</v>
      </c>
      <c r="AA15" s="130">
        <f t="shared" si="5"/>
        <v>0.3</v>
      </c>
    </row>
    <row r="16" spans="2:27">
      <c r="B16" s="69">
        <v>2</v>
      </c>
      <c r="C16" s="127" t="s">
        <v>259</v>
      </c>
      <c r="D16" s="126">
        <f t="shared" ref="D16:D44" si="6">SUM(F16:AA16)</f>
        <v>0</v>
      </c>
      <c r="E16" s="47" t="s">
        <v>106</v>
      </c>
      <c r="F16" s="50"/>
      <c r="G16" s="50"/>
      <c r="H16" s="46">
        <f>(参数输入表!$H$239*参数输入表!$H$240)/(1+参数输入表!$H$241)</f>
        <v>0</v>
      </c>
      <c r="I16" s="46">
        <f>(参数输入表!$H$239*参数输入表!$H$240)/(1+参数输入表!$H$241)</f>
        <v>0</v>
      </c>
      <c r="J16" s="46">
        <f>(参数输入表!$H$239*参数输入表!$H$240)/(1+参数输入表!$H$241)</f>
        <v>0</v>
      </c>
      <c r="K16" s="46">
        <f>(参数输入表!$H$239*参数输入表!$H$240)/(1+参数输入表!$H$241)</f>
        <v>0</v>
      </c>
      <c r="L16" s="46">
        <f>(参数输入表!$H$239*参数输入表!$H$240)/(1+参数输入表!$H$241)</f>
        <v>0</v>
      </c>
      <c r="M16" s="46">
        <f>(参数输入表!$H$239*参数输入表!$H$240)/(1+参数输入表!$H$241)</f>
        <v>0</v>
      </c>
      <c r="N16" s="46">
        <f>(参数输入表!$H$239*参数输入表!$H$240)/(1+参数输入表!$H$241)</f>
        <v>0</v>
      </c>
      <c r="O16" s="46">
        <f>(参数输入表!$H$239*参数输入表!$H$240)/(1+参数输入表!$H$241)</f>
        <v>0</v>
      </c>
      <c r="P16" s="46">
        <f>(参数输入表!$H$239*参数输入表!$H$240)/(1+参数输入表!$H$241)</f>
        <v>0</v>
      </c>
      <c r="Q16" s="46">
        <f>(参数输入表!$H$239*参数输入表!$H$240)/(1+参数输入表!$H$241)</f>
        <v>0</v>
      </c>
      <c r="R16" s="46">
        <f>(参数输入表!$H$239*参数输入表!$H$240)/(1+参数输入表!$H$241)</f>
        <v>0</v>
      </c>
      <c r="S16" s="46">
        <f>(参数输入表!$H$239*参数输入表!$H$240)/(1+参数输入表!$H$241)</f>
        <v>0</v>
      </c>
      <c r="T16" s="46">
        <f>(参数输入表!$H$239*参数输入表!$H$240)/(1+参数输入表!$H$241)</f>
        <v>0</v>
      </c>
      <c r="U16" s="46">
        <f>(参数输入表!$H$239*参数输入表!$H$240)/(1+参数输入表!$H$241)</f>
        <v>0</v>
      </c>
      <c r="V16" s="46">
        <f>(参数输入表!$H$239*参数输入表!$H$240)/(1+参数输入表!$H$241)</f>
        <v>0</v>
      </c>
      <c r="W16" s="46">
        <f>(参数输入表!$H$239*参数输入表!$H$240)/(1+参数输入表!$H$241)</f>
        <v>0</v>
      </c>
      <c r="X16" s="46">
        <f>(参数输入表!$H$239*参数输入表!$H$240)/(1+参数输入表!$H$241)</f>
        <v>0</v>
      </c>
      <c r="Y16" s="46">
        <f>(参数输入表!$H$239*参数输入表!$H$240)/(1+参数输入表!$H$241)</f>
        <v>0</v>
      </c>
      <c r="Z16" s="46">
        <f>(参数输入表!$H$239*参数输入表!$H$240)/(1+参数输入表!$H$241)</f>
        <v>0</v>
      </c>
      <c r="AA16" s="46">
        <f>(参数输入表!$H$239*参数输入表!$H$240)/(1+参数输入表!$H$241)</f>
        <v>0</v>
      </c>
    </row>
    <row r="17" spans="2:27">
      <c r="B17" s="69">
        <v>3</v>
      </c>
      <c r="C17" s="127" t="s">
        <v>263</v>
      </c>
      <c r="D17" s="126">
        <f t="shared" ca="1" si="6"/>
        <v>2452.1051242178078</v>
      </c>
      <c r="E17" s="47" t="s">
        <v>106</v>
      </c>
      <c r="F17" s="50"/>
      <c r="G17" s="50"/>
      <c r="H17" s="46">
        <f ca="1">SUM(H18:H19)</f>
        <v>0</v>
      </c>
      <c r="I17" s="46">
        <f t="shared" ref="I17:AA17" ca="1" si="7">SUM(I18:I19)</f>
        <v>0</v>
      </c>
      <c r="J17" s="46">
        <f t="shared" ca="1" si="7"/>
        <v>0</v>
      </c>
      <c r="K17" s="46">
        <f t="shared" ca="1" si="7"/>
        <v>0</v>
      </c>
      <c r="L17" s="46">
        <f t="shared" ca="1" si="7"/>
        <v>0</v>
      </c>
      <c r="M17" s="46">
        <f t="shared" ca="1" si="7"/>
        <v>0</v>
      </c>
      <c r="N17" s="46">
        <f t="shared" ca="1" si="7"/>
        <v>109.83048876587841</v>
      </c>
      <c r="O17" s="46">
        <f t="shared" ca="1" si="7"/>
        <v>182.2988657631505</v>
      </c>
      <c r="P17" s="46">
        <f t="shared" ca="1" si="7"/>
        <v>182.2988657631505</v>
      </c>
      <c r="Q17" s="46">
        <f t="shared" ca="1" si="7"/>
        <v>182.2988657631505</v>
      </c>
      <c r="R17" s="46">
        <f t="shared" ca="1" si="7"/>
        <v>154.68824629412396</v>
      </c>
      <c r="S17" s="46">
        <f t="shared" ca="1" si="7"/>
        <v>182.2988657631505</v>
      </c>
      <c r="T17" s="46">
        <f t="shared" ca="1" si="7"/>
        <v>182.2988657631505</v>
      </c>
      <c r="U17" s="46">
        <f t="shared" ca="1" si="7"/>
        <v>182.2988657631505</v>
      </c>
      <c r="V17" s="46">
        <f t="shared" ca="1" si="7"/>
        <v>182.2988657631505</v>
      </c>
      <c r="W17" s="46">
        <f t="shared" ca="1" si="7"/>
        <v>182.2988657631505</v>
      </c>
      <c r="X17" s="46">
        <f t="shared" ca="1" si="7"/>
        <v>182.2988657631505</v>
      </c>
      <c r="Y17" s="46">
        <f t="shared" ca="1" si="7"/>
        <v>182.2988657631505</v>
      </c>
      <c r="Z17" s="46">
        <f t="shared" ca="1" si="7"/>
        <v>182.2988657631505</v>
      </c>
      <c r="AA17" s="46">
        <f t="shared" ca="1" si="7"/>
        <v>182.2988657631505</v>
      </c>
    </row>
    <row r="18" spans="2:27">
      <c r="B18" s="69">
        <v>3.1</v>
      </c>
      <c r="C18" s="140" t="s">
        <v>413</v>
      </c>
      <c r="D18" s="126">
        <f t="shared" si="6"/>
        <v>0</v>
      </c>
      <c r="E18" s="47" t="s">
        <v>106</v>
      </c>
      <c r="F18" s="50"/>
      <c r="G18" s="50"/>
      <c r="H18" s="46">
        <f>参数输入表!H244</f>
        <v>0</v>
      </c>
      <c r="I18" s="46"/>
      <c r="J18" s="46"/>
      <c r="K18" s="46"/>
      <c r="L18" s="46"/>
      <c r="M18" s="46"/>
      <c r="N18" s="46"/>
      <c r="O18" s="46"/>
      <c r="P18" s="46"/>
      <c r="Q18" s="46"/>
      <c r="R18" s="46"/>
      <c r="S18" s="46"/>
      <c r="T18" s="46"/>
      <c r="U18" s="46"/>
      <c r="V18" s="46"/>
      <c r="W18" s="46"/>
      <c r="X18" s="46"/>
      <c r="Y18" s="46"/>
      <c r="Z18" s="46"/>
      <c r="AA18" s="46"/>
    </row>
    <row r="19" spans="2:27">
      <c r="B19" s="69">
        <v>3.2</v>
      </c>
      <c r="C19" s="140" t="s">
        <v>414</v>
      </c>
      <c r="D19" s="126">
        <f t="shared" ca="1" si="6"/>
        <v>2452.1051242178078</v>
      </c>
      <c r="E19" s="47" t="s">
        <v>106</v>
      </c>
      <c r="F19" s="50"/>
      <c r="G19" s="50"/>
      <c r="H19" s="46">
        <f ca="1">H22*参数输入表!$H$267</f>
        <v>0</v>
      </c>
      <c r="I19" s="46">
        <f ca="1">I22*参数输入表!$H$267</f>
        <v>0</v>
      </c>
      <c r="J19" s="46">
        <f ca="1">J22*参数输入表!$H$267</f>
        <v>0</v>
      </c>
      <c r="K19" s="46">
        <f ca="1">K22*参数输入表!$H$267</f>
        <v>0</v>
      </c>
      <c r="L19" s="46">
        <f ca="1">L22*参数输入表!$H$267</f>
        <v>0</v>
      </c>
      <c r="M19" s="46">
        <f ca="1">M22*参数输入表!$H$267</f>
        <v>0</v>
      </c>
      <c r="N19" s="46">
        <f ca="1">N22*参数输入表!$H$267</f>
        <v>109.83048876587841</v>
      </c>
      <c r="O19" s="46">
        <f ca="1">O22*参数输入表!$H$267</f>
        <v>182.2988657631505</v>
      </c>
      <c r="P19" s="46">
        <f ca="1">P22*参数输入表!$H$267</f>
        <v>182.2988657631505</v>
      </c>
      <c r="Q19" s="46">
        <f ca="1">Q22*参数输入表!$H$267</f>
        <v>182.2988657631505</v>
      </c>
      <c r="R19" s="46">
        <f ca="1">R22*参数输入表!$H$267</f>
        <v>154.68824629412396</v>
      </c>
      <c r="S19" s="46">
        <f ca="1">S22*参数输入表!$H$267</f>
        <v>182.2988657631505</v>
      </c>
      <c r="T19" s="46">
        <f ca="1">T22*参数输入表!$H$267</f>
        <v>182.2988657631505</v>
      </c>
      <c r="U19" s="46">
        <f ca="1">U22*参数输入表!$H$267</f>
        <v>182.2988657631505</v>
      </c>
      <c r="V19" s="46">
        <f ca="1">V22*参数输入表!$H$267</f>
        <v>182.2988657631505</v>
      </c>
      <c r="W19" s="46">
        <f ca="1">W22*参数输入表!$H$267</f>
        <v>182.2988657631505</v>
      </c>
      <c r="X19" s="46">
        <f ca="1">X22*参数输入表!$H$267</f>
        <v>182.2988657631505</v>
      </c>
      <c r="Y19" s="46">
        <f ca="1">Y22*参数输入表!$H$267</f>
        <v>182.2988657631505</v>
      </c>
      <c r="Z19" s="46">
        <f ca="1">Z22*参数输入表!$H$267</f>
        <v>182.2988657631505</v>
      </c>
      <c r="AA19" s="46">
        <f ca="1">AA22*参数输入表!$H$267</f>
        <v>182.2988657631505</v>
      </c>
    </row>
    <row r="20" spans="2:27">
      <c r="B20" s="100"/>
      <c r="C20" s="141"/>
      <c r="D20" s="76"/>
      <c r="E20" s="100"/>
      <c r="F20" s="76"/>
      <c r="G20" s="76"/>
      <c r="H20" s="76"/>
      <c r="I20" s="76"/>
      <c r="J20" s="76"/>
      <c r="K20" s="76"/>
      <c r="L20" s="76"/>
      <c r="M20" s="76"/>
      <c r="N20" s="76"/>
      <c r="O20" s="76"/>
      <c r="P20" s="76"/>
      <c r="Q20" s="76"/>
      <c r="R20" s="76"/>
      <c r="S20" s="76"/>
      <c r="T20" s="76"/>
      <c r="U20" s="76"/>
      <c r="V20" s="76"/>
      <c r="W20" s="76"/>
      <c r="X20" s="76"/>
      <c r="Y20" s="76"/>
      <c r="Z20" s="76"/>
      <c r="AA20" s="76"/>
    </row>
    <row r="21" spans="2:27">
      <c r="B21" s="101" t="s">
        <v>415</v>
      </c>
      <c r="C21" s="141"/>
      <c r="D21" s="76"/>
      <c r="E21" s="100"/>
      <c r="F21" s="76"/>
      <c r="G21" s="76"/>
      <c r="H21" s="76"/>
      <c r="I21" s="76"/>
      <c r="J21" s="76"/>
      <c r="K21" s="76"/>
      <c r="L21" s="76"/>
      <c r="M21" s="76"/>
      <c r="N21" s="76"/>
      <c r="O21" s="76"/>
      <c r="P21" s="76"/>
      <c r="Q21" s="76"/>
      <c r="R21" s="76"/>
      <c r="S21" s="76"/>
      <c r="T21" s="76"/>
      <c r="U21" s="76"/>
      <c r="V21" s="76"/>
      <c r="W21" s="76"/>
      <c r="X21" s="76"/>
      <c r="Y21" s="76"/>
      <c r="Z21" s="76"/>
      <c r="AA21" s="76"/>
    </row>
    <row r="22" spans="2:27">
      <c r="B22" s="69">
        <v>1</v>
      </c>
      <c r="C22" s="127" t="s">
        <v>416</v>
      </c>
      <c r="D22" s="126">
        <f t="shared" ca="1" si="6"/>
        <v>4904.2102484356155</v>
      </c>
      <c r="E22" s="47" t="s">
        <v>106</v>
      </c>
      <c r="F22" s="46">
        <v>0</v>
      </c>
      <c r="G22" s="46">
        <f t="shared" ref="G22:H22" si="8">IF(G45&gt;0,0,G44-F45)</f>
        <v>0</v>
      </c>
      <c r="H22" s="46">
        <f t="shared" ca="1" si="8"/>
        <v>0</v>
      </c>
      <c r="I22" s="46">
        <f t="shared" ref="I22:AA22" ca="1" si="9">IF(I45&gt;0,0,I44-H45)</f>
        <v>0</v>
      </c>
      <c r="J22" s="46">
        <f t="shared" ca="1" si="9"/>
        <v>0</v>
      </c>
      <c r="K22" s="46">
        <f t="shared" ca="1" si="9"/>
        <v>0</v>
      </c>
      <c r="L22" s="46">
        <f t="shared" ca="1" si="9"/>
        <v>0</v>
      </c>
      <c r="M22" s="46">
        <f t="shared" ca="1" si="9"/>
        <v>0</v>
      </c>
      <c r="N22" s="46">
        <f t="shared" ca="1" si="9"/>
        <v>219.66097753175683</v>
      </c>
      <c r="O22" s="46">
        <f t="shared" ca="1" si="9"/>
        <v>364.597731526301</v>
      </c>
      <c r="P22" s="46">
        <f t="shared" ca="1" si="9"/>
        <v>364.597731526301</v>
      </c>
      <c r="Q22" s="46">
        <f t="shared" ca="1" si="9"/>
        <v>364.597731526301</v>
      </c>
      <c r="R22" s="46">
        <f t="shared" ca="1" si="9"/>
        <v>309.37649258824791</v>
      </c>
      <c r="S22" s="46">
        <f t="shared" ca="1" si="9"/>
        <v>364.597731526301</v>
      </c>
      <c r="T22" s="46">
        <f t="shared" ca="1" si="9"/>
        <v>364.597731526301</v>
      </c>
      <c r="U22" s="46">
        <f t="shared" ca="1" si="9"/>
        <v>364.597731526301</v>
      </c>
      <c r="V22" s="46">
        <f t="shared" ca="1" si="9"/>
        <v>364.597731526301</v>
      </c>
      <c r="W22" s="46">
        <f t="shared" ca="1" si="9"/>
        <v>364.597731526301</v>
      </c>
      <c r="X22" s="46">
        <f t="shared" ca="1" si="9"/>
        <v>364.597731526301</v>
      </c>
      <c r="Y22" s="46">
        <f t="shared" ca="1" si="9"/>
        <v>364.597731526301</v>
      </c>
      <c r="Z22" s="46">
        <f t="shared" ca="1" si="9"/>
        <v>364.597731526301</v>
      </c>
      <c r="AA22" s="46">
        <f t="shared" ca="1" si="9"/>
        <v>364.597731526301</v>
      </c>
    </row>
    <row r="23" spans="2:27">
      <c r="B23" s="69">
        <v>2</v>
      </c>
      <c r="C23" s="127" t="s">
        <v>417</v>
      </c>
      <c r="D23" s="126">
        <f t="shared" si="6"/>
        <v>7277.1467739617701</v>
      </c>
      <c r="E23" s="47" t="s">
        <v>106</v>
      </c>
      <c r="F23" s="46">
        <f t="shared" ref="F23:AA23" si="10">SUM(F24:F25)</f>
        <v>0</v>
      </c>
      <c r="G23" s="46">
        <f t="shared" si="10"/>
        <v>0</v>
      </c>
      <c r="H23" s="46">
        <f t="shared" si="10"/>
        <v>361.63616021345098</v>
      </c>
      <c r="I23" s="46">
        <f t="shared" si="10"/>
        <v>361.63616021345098</v>
      </c>
      <c r="J23" s="46">
        <f t="shared" si="10"/>
        <v>361.63616021345098</v>
      </c>
      <c r="K23" s="46">
        <f t="shared" si="10"/>
        <v>361.63616021345098</v>
      </c>
      <c r="L23" s="46">
        <f t="shared" si="10"/>
        <v>361.63616021345098</v>
      </c>
      <c r="M23" s="46">
        <f t="shared" si="10"/>
        <v>364.597731526301</v>
      </c>
      <c r="N23" s="46">
        <f t="shared" si="10"/>
        <v>364.597731526301</v>
      </c>
      <c r="O23" s="46">
        <f t="shared" si="10"/>
        <v>364.597731526301</v>
      </c>
      <c r="P23" s="46">
        <f t="shared" si="10"/>
        <v>364.597731526301</v>
      </c>
      <c r="Q23" s="46">
        <f t="shared" si="10"/>
        <v>364.597731526301</v>
      </c>
      <c r="R23" s="46">
        <f t="shared" si="10"/>
        <v>364.597731526301</v>
      </c>
      <c r="S23" s="46">
        <f t="shared" si="10"/>
        <v>364.597731526301</v>
      </c>
      <c r="T23" s="46">
        <f t="shared" si="10"/>
        <v>364.597731526301</v>
      </c>
      <c r="U23" s="46">
        <f t="shared" si="10"/>
        <v>364.597731526301</v>
      </c>
      <c r="V23" s="46">
        <f t="shared" si="10"/>
        <v>364.597731526301</v>
      </c>
      <c r="W23" s="46">
        <f t="shared" si="10"/>
        <v>364.597731526301</v>
      </c>
      <c r="X23" s="46">
        <f t="shared" si="10"/>
        <v>364.597731526301</v>
      </c>
      <c r="Y23" s="46">
        <f t="shared" si="10"/>
        <v>364.597731526301</v>
      </c>
      <c r="Z23" s="46">
        <f t="shared" si="10"/>
        <v>364.597731526301</v>
      </c>
      <c r="AA23" s="46">
        <f t="shared" si="10"/>
        <v>364.597731526301</v>
      </c>
    </row>
    <row r="24" spans="2:27">
      <c r="B24" s="47"/>
      <c r="C24" s="138" t="s">
        <v>418</v>
      </c>
      <c r="D24" s="50">
        <f t="shared" si="6"/>
        <v>7277.1467739617701</v>
      </c>
      <c r="E24" s="47" t="s">
        <v>106</v>
      </c>
      <c r="F24" s="50"/>
      <c r="G24" s="50"/>
      <c r="H24" s="50">
        <f>H6*参数输入表!$H$233</f>
        <v>361.63616021345098</v>
      </c>
      <c r="I24" s="50">
        <f>I6*参数输入表!$H$233</f>
        <v>361.63616021345098</v>
      </c>
      <c r="J24" s="50">
        <f>J6*参数输入表!$H$233</f>
        <v>361.63616021345098</v>
      </c>
      <c r="K24" s="50">
        <f>K6*参数输入表!$H$233</f>
        <v>361.63616021345098</v>
      </c>
      <c r="L24" s="50">
        <f>L6*参数输入表!$H$233</f>
        <v>361.63616021345098</v>
      </c>
      <c r="M24" s="50">
        <f>M6*参数输入表!$H$233</f>
        <v>364.597731526301</v>
      </c>
      <c r="N24" s="50">
        <f>N6*参数输入表!$H$233</f>
        <v>364.597731526301</v>
      </c>
      <c r="O24" s="50">
        <f>O6*参数输入表!$H$233</f>
        <v>364.597731526301</v>
      </c>
      <c r="P24" s="50">
        <f>P6*参数输入表!$H$233</f>
        <v>364.597731526301</v>
      </c>
      <c r="Q24" s="50">
        <f>Q6*参数输入表!$H$233</f>
        <v>364.597731526301</v>
      </c>
      <c r="R24" s="50">
        <f>R6*参数输入表!$H$233</f>
        <v>364.597731526301</v>
      </c>
      <c r="S24" s="50">
        <f>S6*参数输入表!$H$233</f>
        <v>364.597731526301</v>
      </c>
      <c r="T24" s="50">
        <f>T6*参数输入表!$H$233</f>
        <v>364.597731526301</v>
      </c>
      <c r="U24" s="50">
        <f>U6*参数输入表!$H$233</f>
        <v>364.597731526301</v>
      </c>
      <c r="V24" s="50">
        <f>V6*参数输入表!$H$233</f>
        <v>364.597731526301</v>
      </c>
      <c r="W24" s="50">
        <f>W6*参数输入表!$H$233</f>
        <v>364.597731526301</v>
      </c>
      <c r="X24" s="50">
        <f>X6*参数输入表!$H$233</f>
        <v>364.597731526301</v>
      </c>
      <c r="Y24" s="50">
        <f>Y6*参数输入表!$H$233</f>
        <v>364.597731526301</v>
      </c>
      <c r="Z24" s="50">
        <f>Z6*参数输入表!$H$233</f>
        <v>364.597731526301</v>
      </c>
      <c r="AA24" s="50">
        <f>AA6*参数输入表!$H$233</f>
        <v>364.597731526301</v>
      </c>
    </row>
    <row r="25" spans="2:27">
      <c r="B25" s="47"/>
      <c r="C25" s="138" t="s">
        <v>419</v>
      </c>
      <c r="D25" s="50">
        <f t="shared" si="6"/>
        <v>0</v>
      </c>
      <c r="E25" s="47" t="s">
        <v>106</v>
      </c>
      <c r="F25" s="50"/>
      <c r="G25" s="50"/>
      <c r="H25" s="50">
        <f>H16*参数输入表!$H$241</f>
        <v>0</v>
      </c>
      <c r="I25" s="50">
        <f>I16*参数输入表!$H$241</f>
        <v>0</v>
      </c>
      <c r="J25" s="50">
        <f>J16*参数输入表!$H$241</f>
        <v>0</v>
      </c>
      <c r="K25" s="50">
        <f>K16*参数输入表!$H$241</f>
        <v>0</v>
      </c>
      <c r="L25" s="50">
        <f>L16*参数输入表!$H$241</f>
        <v>0</v>
      </c>
      <c r="M25" s="50">
        <f>M16*参数输入表!$H$241</f>
        <v>0</v>
      </c>
      <c r="N25" s="50">
        <f>N16*参数输入表!$H$241</f>
        <v>0</v>
      </c>
      <c r="O25" s="50">
        <f>O16*参数输入表!$H$241</f>
        <v>0</v>
      </c>
      <c r="P25" s="50">
        <f>P16*参数输入表!$H$241</f>
        <v>0</v>
      </c>
      <c r="Q25" s="50">
        <f>Q16*参数输入表!$H$241</f>
        <v>0</v>
      </c>
      <c r="R25" s="50">
        <f>R16*参数输入表!$H$241</f>
        <v>0</v>
      </c>
      <c r="S25" s="50">
        <f>S16*参数输入表!$H$241</f>
        <v>0</v>
      </c>
      <c r="T25" s="50">
        <f>T16*参数输入表!$H$241</f>
        <v>0</v>
      </c>
      <c r="U25" s="50">
        <f>U16*参数输入表!$H$241</f>
        <v>0</v>
      </c>
      <c r="V25" s="50">
        <f>V16*参数输入表!$H$241</f>
        <v>0</v>
      </c>
      <c r="W25" s="50">
        <f>W16*参数输入表!$H$241</f>
        <v>0</v>
      </c>
      <c r="X25" s="50">
        <f>X16*参数输入表!$H$241</f>
        <v>0</v>
      </c>
      <c r="Y25" s="50">
        <f>Y16*参数输入表!$H$241</f>
        <v>0</v>
      </c>
      <c r="Z25" s="50">
        <f>Z16*参数输入表!$H$241</f>
        <v>0</v>
      </c>
      <c r="AA25" s="50">
        <f>AA16*参数输入表!$H$241</f>
        <v>0</v>
      </c>
    </row>
    <row r="26" spans="2:27">
      <c r="B26" s="69">
        <v>3</v>
      </c>
      <c r="C26" s="127" t="s">
        <v>236</v>
      </c>
      <c r="D26" s="126">
        <f t="shared" ca="1" si="6"/>
        <v>2372.9365255261528</v>
      </c>
      <c r="E26" s="47" t="s">
        <v>106</v>
      </c>
      <c r="F26" s="46">
        <f>F27+F28+F42+F43</f>
        <v>2317.7152865880998</v>
      </c>
      <c r="G26" s="46">
        <f t="shared" ref="G26:AA26" si="11">G27+G28+G42+G43</f>
        <v>0</v>
      </c>
      <c r="H26" s="46">
        <f t="shared" ca="1" si="11"/>
        <v>0</v>
      </c>
      <c r="I26" s="46">
        <f t="shared" ca="1" si="11"/>
        <v>0</v>
      </c>
      <c r="J26" s="46">
        <f t="shared" ca="1" si="11"/>
        <v>0</v>
      </c>
      <c r="K26" s="46">
        <f t="shared" ca="1" si="11"/>
        <v>0</v>
      </c>
      <c r="L26" s="46">
        <f t="shared" ca="1" si="11"/>
        <v>0</v>
      </c>
      <c r="M26" s="46">
        <f t="shared" ca="1" si="11"/>
        <v>0</v>
      </c>
      <c r="N26" s="46">
        <f t="shared" ca="1" si="11"/>
        <v>0</v>
      </c>
      <c r="O26" s="46">
        <f t="shared" ca="1" si="11"/>
        <v>0</v>
      </c>
      <c r="P26" s="46">
        <f t="shared" ca="1" si="11"/>
        <v>0</v>
      </c>
      <c r="Q26" s="46">
        <f t="shared" ca="1" si="11"/>
        <v>0</v>
      </c>
      <c r="R26" s="46">
        <f t="shared" ca="1" si="11"/>
        <v>55.221238938053098</v>
      </c>
      <c r="S26" s="46">
        <f t="shared" ca="1" si="11"/>
        <v>0</v>
      </c>
      <c r="T26" s="46">
        <f t="shared" ca="1" si="11"/>
        <v>0</v>
      </c>
      <c r="U26" s="46">
        <f t="shared" ca="1" si="11"/>
        <v>0</v>
      </c>
      <c r="V26" s="46">
        <f t="shared" ca="1" si="11"/>
        <v>0</v>
      </c>
      <c r="W26" s="46">
        <f t="shared" ca="1" si="11"/>
        <v>0</v>
      </c>
      <c r="X26" s="46">
        <f t="shared" ca="1" si="11"/>
        <v>0</v>
      </c>
      <c r="Y26" s="46">
        <f t="shared" ca="1" si="11"/>
        <v>0</v>
      </c>
      <c r="Z26" s="46">
        <f t="shared" ca="1" si="11"/>
        <v>0</v>
      </c>
      <c r="AA26" s="46">
        <f t="shared" ca="1" si="11"/>
        <v>0</v>
      </c>
    </row>
    <row r="27" spans="2:27">
      <c r="B27" s="44">
        <v>3.1</v>
      </c>
      <c r="C27" s="142" t="s">
        <v>420</v>
      </c>
      <c r="D27" s="46">
        <f t="shared" si="6"/>
        <v>2317.7152865880998</v>
      </c>
      <c r="E27" s="47" t="s">
        <v>106</v>
      </c>
      <c r="F27" s="46">
        <f>参数输入表!H83*参数输入表!H7</f>
        <v>2317.7152865880998</v>
      </c>
      <c r="G27" s="46">
        <f>参数输入表!H83*参数输入表!H8</f>
        <v>0</v>
      </c>
      <c r="H27" s="46"/>
      <c r="I27" s="46"/>
      <c r="J27" s="46"/>
      <c r="K27" s="46"/>
      <c r="L27" s="46"/>
      <c r="M27" s="46"/>
      <c r="N27" s="46"/>
      <c r="O27" s="46"/>
      <c r="P27" s="46"/>
      <c r="Q27" s="46"/>
      <c r="R27" s="46"/>
      <c r="S27" s="46"/>
      <c r="T27" s="46"/>
      <c r="U27" s="46"/>
      <c r="V27" s="46"/>
      <c r="W27" s="46"/>
      <c r="X27" s="46"/>
      <c r="Y27" s="46"/>
      <c r="Z27" s="46"/>
      <c r="AA27" s="46"/>
    </row>
    <row r="28" spans="2:27">
      <c r="B28" s="44">
        <v>3.2</v>
      </c>
      <c r="C28" s="142" t="s">
        <v>421</v>
      </c>
      <c r="D28" s="46">
        <f t="shared" ca="1" si="6"/>
        <v>0</v>
      </c>
      <c r="E28" s="47" t="s">
        <v>106</v>
      </c>
      <c r="F28" s="46">
        <f>F29+F37+F38+F41</f>
        <v>0</v>
      </c>
      <c r="G28" s="46">
        <f>G29+G37+G38+G41</f>
        <v>0</v>
      </c>
      <c r="H28" s="46">
        <f ca="1">H29+H37+H38+H41</f>
        <v>0</v>
      </c>
      <c r="I28" s="46">
        <f t="shared" ref="I28:AA28" ca="1" si="12">I29+I37+I38+I41</f>
        <v>0</v>
      </c>
      <c r="J28" s="46">
        <f t="shared" ca="1" si="12"/>
        <v>0</v>
      </c>
      <c r="K28" s="46">
        <f t="shared" ca="1" si="12"/>
        <v>0</v>
      </c>
      <c r="L28" s="46">
        <f t="shared" ca="1" si="12"/>
        <v>0</v>
      </c>
      <c r="M28" s="46">
        <f t="shared" ca="1" si="12"/>
        <v>0</v>
      </c>
      <c r="N28" s="46">
        <f t="shared" ca="1" si="12"/>
        <v>0</v>
      </c>
      <c r="O28" s="46">
        <f t="shared" ca="1" si="12"/>
        <v>0</v>
      </c>
      <c r="P28" s="46">
        <f t="shared" ca="1" si="12"/>
        <v>0</v>
      </c>
      <c r="Q28" s="46">
        <f t="shared" ca="1" si="12"/>
        <v>0</v>
      </c>
      <c r="R28" s="46">
        <f t="shared" ca="1" si="12"/>
        <v>0</v>
      </c>
      <c r="S28" s="46">
        <f t="shared" ca="1" si="12"/>
        <v>0</v>
      </c>
      <c r="T28" s="46">
        <f t="shared" ca="1" si="12"/>
        <v>0</v>
      </c>
      <c r="U28" s="46">
        <f t="shared" ca="1" si="12"/>
        <v>0</v>
      </c>
      <c r="V28" s="46">
        <f t="shared" ca="1" si="12"/>
        <v>0</v>
      </c>
      <c r="W28" s="46">
        <f t="shared" ca="1" si="12"/>
        <v>0</v>
      </c>
      <c r="X28" s="46">
        <f t="shared" ca="1" si="12"/>
        <v>0</v>
      </c>
      <c r="Y28" s="46">
        <f t="shared" ca="1" si="12"/>
        <v>0</v>
      </c>
      <c r="Z28" s="46">
        <f t="shared" ca="1" si="12"/>
        <v>0</v>
      </c>
      <c r="AA28" s="46">
        <f t="shared" ca="1" si="12"/>
        <v>0</v>
      </c>
    </row>
    <row r="29" spans="2:27">
      <c r="B29" s="47" t="s">
        <v>422</v>
      </c>
      <c r="C29" s="143" t="s">
        <v>423</v>
      </c>
      <c r="D29" s="50">
        <f t="shared" si="6"/>
        <v>0</v>
      </c>
      <c r="E29" s="47" t="s">
        <v>106</v>
      </c>
      <c r="F29" s="50"/>
      <c r="G29" s="50"/>
      <c r="H29" s="50">
        <f>SUM(H30:H36)</f>
        <v>0</v>
      </c>
      <c r="I29" s="50">
        <f t="shared" ref="I29:AA29" si="13">SUM(I30:I36)</f>
        <v>0</v>
      </c>
      <c r="J29" s="50">
        <f t="shared" si="13"/>
        <v>0</v>
      </c>
      <c r="K29" s="50">
        <f t="shared" si="13"/>
        <v>0</v>
      </c>
      <c r="L29" s="50">
        <f t="shared" si="13"/>
        <v>0</v>
      </c>
      <c r="M29" s="50">
        <f t="shared" si="13"/>
        <v>0</v>
      </c>
      <c r="N29" s="50">
        <f t="shared" si="13"/>
        <v>0</v>
      </c>
      <c r="O29" s="50">
        <f t="shared" si="13"/>
        <v>0</v>
      </c>
      <c r="P29" s="50">
        <f t="shared" si="13"/>
        <v>0</v>
      </c>
      <c r="Q29" s="50">
        <f t="shared" si="13"/>
        <v>0</v>
      </c>
      <c r="R29" s="50">
        <f t="shared" si="13"/>
        <v>0</v>
      </c>
      <c r="S29" s="50">
        <f t="shared" si="13"/>
        <v>0</v>
      </c>
      <c r="T29" s="50">
        <f t="shared" si="13"/>
        <v>0</v>
      </c>
      <c r="U29" s="50">
        <f t="shared" si="13"/>
        <v>0</v>
      </c>
      <c r="V29" s="50">
        <f t="shared" si="13"/>
        <v>0</v>
      </c>
      <c r="W29" s="50">
        <f t="shared" si="13"/>
        <v>0</v>
      </c>
      <c r="X29" s="50">
        <f t="shared" si="13"/>
        <v>0</v>
      </c>
      <c r="Y29" s="50">
        <f t="shared" si="13"/>
        <v>0</v>
      </c>
      <c r="Z29" s="50">
        <f t="shared" si="13"/>
        <v>0</v>
      </c>
      <c r="AA29" s="50">
        <f t="shared" si="13"/>
        <v>0</v>
      </c>
    </row>
    <row r="30" spans="2:27">
      <c r="B30" s="47"/>
      <c r="C30" s="144" t="s">
        <v>154</v>
      </c>
      <c r="D30" s="50">
        <f t="shared" si="6"/>
        <v>0</v>
      </c>
      <c r="E30" s="47" t="s">
        <v>106</v>
      </c>
      <c r="F30" s="50"/>
      <c r="G30" s="50"/>
      <c r="H30" s="50">
        <f>'表3-成本费用表'!H50/(1+参数输入表!$H$108)*参数输入表!$H$108</f>
        <v>0</v>
      </c>
      <c r="I30" s="50">
        <f>'表3-成本费用表'!I50/(1+参数输入表!$H$108)*参数输入表!$H$108</f>
        <v>0</v>
      </c>
      <c r="J30" s="50">
        <f>'表3-成本费用表'!J50/(1+参数输入表!$H$108)*参数输入表!$H$108</f>
        <v>0</v>
      </c>
      <c r="K30" s="50">
        <f>'表3-成本费用表'!K50/(1+参数输入表!$H$108)*参数输入表!$H$108</f>
        <v>0</v>
      </c>
      <c r="L30" s="50">
        <f>'表3-成本费用表'!L50/(1+参数输入表!$H$108)*参数输入表!$H$108</f>
        <v>0</v>
      </c>
      <c r="M30" s="50">
        <f>'表3-成本费用表'!M50/(1+参数输入表!$H$108)*参数输入表!$H$108</f>
        <v>0</v>
      </c>
      <c r="N30" s="50">
        <f>'表3-成本费用表'!N50/(1+参数输入表!$H$108)*参数输入表!$H$108</f>
        <v>0</v>
      </c>
      <c r="O30" s="50">
        <f>'表3-成本费用表'!O50/(1+参数输入表!$H$108)*参数输入表!$H$108</f>
        <v>0</v>
      </c>
      <c r="P30" s="50">
        <f>'表3-成本费用表'!P50/(1+参数输入表!$H$108)*参数输入表!$H$108</f>
        <v>0</v>
      </c>
      <c r="Q30" s="50">
        <f>'表3-成本费用表'!Q50/(1+参数输入表!$H$108)*参数输入表!$H$108</f>
        <v>0</v>
      </c>
      <c r="R30" s="50">
        <f>'表3-成本费用表'!R50/(1+参数输入表!$H$108)*参数输入表!$H$108</f>
        <v>0</v>
      </c>
      <c r="S30" s="50">
        <f>'表3-成本费用表'!S50/(1+参数输入表!$H$108)*参数输入表!$H$108</f>
        <v>0</v>
      </c>
      <c r="T30" s="50">
        <f>'表3-成本费用表'!T50/(1+参数输入表!$H$108)*参数输入表!$H$108</f>
        <v>0</v>
      </c>
      <c r="U30" s="50">
        <f>'表3-成本费用表'!U50/(1+参数输入表!$H$108)*参数输入表!$H$108</f>
        <v>0</v>
      </c>
      <c r="V30" s="50">
        <f>'表3-成本费用表'!V50/(1+参数输入表!$H$108)*参数输入表!$H$108</f>
        <v>0</v>
      </c>
      <c r="W30" s="50">
        <f>'表3-成本费用表'!W50/(1+参数输入表!$H$108)*参数输入表!$H$108</f>
        <v>0</v>
      </c>
      <c r="X30" s="50">
        <f>'表3-成本费用表'!X50/(1+参数输入表!$H$108)*参数输入表!$H$108</f>
        <v>0</v>
      </c>
      <c r="Y30" s="50">
        <f>'表3-成本费用表'!Y50/(1+参数输入表!$H$108)*参数输入表!$H$108</f>
        <v>0</v>
      </c>
      <c r="Z30" s="50">
        <f>'表3-成本费用表'!Z50/(1+参数输入表!$H$108)*参数输入表!$H$108</f>
        <v>0</v>
      </c>
      <c r="AA30" s="50">
        <f>'表3-成本费用表'!AA50/(1+参数输入表!$H$108)*参数输入表!$H$108</f>
        <v>0</v>
      </c>
    </row>
    <row r="31" spans="2:27">
      <c r="B31" s="47"/>
      <c r="C31" s="144" t="s">
        <v>165</v>
      </c>
      <c r="D31" s="50">
        <f t="shared" si="6"/>
        <v>0</v>
      </c>
      <c r="E31" s="47" t="s">
        <v>106</v>
      </c>
      <c r="F31" s="50"/>
      <c r="G31" s="50"/>
      <c r="H31" s="50">
        <f>'表3-成本费用表'!H51/(1+参数输入表!$H$116)*参数输入表!$H$116</f>
        <v>0</v>
      </c>
      <c r="I31" s="50">
        <f>'表3-成本费用表'!I51/(1+参数输入表!$H$116)*参数输入表!$H$116</f>
        <v>0</v>
      </c>
      <c r="J31" s="50">
        <f>'表3-成本费用表'!J51/(1+参数输入表!$H$116)*参数输入表!$H$116</f>
        <v>0</v>
      </c>
      <c r="K31" s="50">
        <f>'表3-成本费用表'!K51/(1+参数输入表!$H$116)*参数输入表!$H$116</f>
        <v>0</v>
      </c>
      <c r="L31" s="50">
        <f>'表3-成本费用表'!L51/(1+参数输入表!$H$116)*参数输入表!$H$116</f>
        <v>0</v>
      </c>
      <c r="M31" s="50">
        <f>'表3-成本费用表'!M51/(1+参数输入表!$H$116)*参数输入表!$H$116</f>
        <v>0</v>
      </c>
      <c r="N31" s="50">
        <f>'表3-成本费用表'!N51/(1+参数输入表!$H$116)*参数输入表!$H$116</f>
        <v>0</v>
      </c>
      <c r="O31" s="50">
        <f>'表3-成本费用表'!O51/(1+参数输入表!$H$116)*参数输入表!$H$116</f>
        <v>0</v>
      </c>
      <c r="P31" s="50">
        <f>'表3-成本费用表'!P51/(1+参数输入表!$H$116)*参数输入表!$H$116</f>
        <v>0</v>
      </c>
      <c r="Q31" s="50">
        <f>'表3-成本费用表'!Q51/(1+参数输入表!$H$116)*参数输入表!$H$116</f>
        <v>0</v>
      </c>
      <c r="R31" s="50">
        <f>'表3-成本费用表'!R51/(1+参数输入表!$H$116)*参数输入表!$H$116</f>
        <v>0</v>
      </c>
      <c r="S31" s="50">
        <f>'表3-成本费用表'!S51/(1+参数输入表!$H$116)*参数输入表!$H$116</f>
        <v>0</v>
      </c>
      <c r="T31" s="50">
        <f>'表3-成本费用表'!T51/(1+参数输入表!$H$116)*参数输入表!$H$116</f>
        <v>0</v>
      </c>
      <c r="U31" s="50">
        <f>'表3-成本费用表'!U51/(1+参数输入表!$H$116)*参数输入表!$H$116</f>
        <v>0</v>
      </c>
      <c r="V31" s="50">
        <f>'表3-成本费用表'!V51/(1+参数输入表!$H$116)*参数输入表!$H$116</f>
        <v>0</v>
      </c>
      <c r="W31" s="50">
        <f>'表3-成本费用表'!W51/(1+参数输入表!$H$116)*参数输入表!$H$116</f>
        <v>0</v>
      </c>
      <c r="X31" s="50">
        <f>'表3-成本费用表'!X51/(1+参数输入表!$H$116)*参数输入表!$H$116</f>
        <v>0</v>
      </c>
      <c r="Y31" s="50">
        <f>'表3-成本费用表'!Y51/(1+参数输入表!$H$116)*参数输入表!$H$116</f>
        <v>0</v>
      </c>
      <c r="Z31" s="50">
        <f>'表3-成本费用表'!Z51/(1+参数输入表!$H$116)*参数输入表!$H$116</f>
        <v>0</v>
      </c>
      <c r="AA31" s="50">
        <f>'表3-成本费用表'!AA51/(1+参数输入表!$H$116)*参数输入表!$H$116</f>
        <v>0</v>
      </c>
    </row>
    <row r="32" spans="2:27">
      <c r="B32" s="47"/>
      <c r="C32" s="144" t="s">
        <v>176</v>
      </c>
      <c r="D32" s="50">
        <f t="shared" si="6"/>
        <v>0</v>
      </c>
      <c r="E32" s="47" t="s">
        <v>106</v>
      </c>
      <c r="F32" s="50"/>
      <c r="G32" s="50"/>
      <c r="H32" s="50">
        <f>'表3-成本费用表'!H52/(1+参数输入表!$H$134)*参数输入表!$H$134</f>
        <v>0</v>
      </c>
      <c r="I32" s="50">
        <f>'表3-成本费用表'!I52/(1+参数输入表!$H$134)*参数输入表!$H$134</f>
        <v>0</v>
      </c>
      <c r="J32" s="50">
        <f>'表3-成本费用表'!J52/(1+参数输入表!$H$134)*参数输入表!$H$134</f>
        <v>0</v>
      </c>
      <c r="K32" s="50">
        <f>'表3-成本费用表'!K52/(1+参数输入表!$H$134)*参数输入表!$H$134</f>
        <v>0</v>
      </c>
      <c r="L32" s="50">
        <f>'表3-成本费用表'!L52/(1+参数输入表!$H$134)*参数输入表!$H$134</f>
        <v>0</v>
      </c>
      <c r="M32" s="50">
        <f>'表3-成本费用表'!M52/(1+参数输入表!$H$134)*参数输入表!$H$134</f>
        <v>0</v>
      </c>
      <c r="N32" s="50">
        <f>'表3-成本费用表'!N52/(1+参数输入表!$H$134)*参数输入表!$H$134</f>
        <v>0</v>
      </c>
      <c r="O32" s="50">
        <f>'表3-成本费用表'!O52/(1+参数输入表!$H$134)*参数输入表!$H$134</f>
        <v>0</v>
      </c>
      <c r="P32" s="50">
        <f>'表3-成本费用表'!P52/(1+参数输入表!$H$134)*参数输入表!$H$134</f>
        <v>0</v>
      </c>
      <c r="Q32" s="50">
        <f>'表3-成本费用表'!Q52/(1+参数输入表!$H$134)*参数输入表!$H$134</f>
        <v>0</v>
      </c>
      <c r="R32" s="50">
        <f>'表3-成本费用表'!R52/(1+参数输入表!$H$134)*参数输入表!$H$134</f>
        <v>0</v>
      </c>
      <c r="S32" s="50">
        <f>'表3-成本费用表'!S52/(1+参数输入表!$H$134)*参数输入表!$H$134</f>
        <v>0</v>
      </c>
      <c r="T32" s="50">
        <f>'表3-成本费用表'!T52/(1+参数输入表!$H$134)*参数输入表!$H$134</f>
        <v>0</v>
      </c>
      <c r="U32" s="50">
        <f>'表3-成本费用表'!U52/(1+参数输入表!$H$134)*参数输入表!$H$134</f>
        <v>0</v>
      </c>
      <c r="V32" s="50">
        <f>'表3-成本费用表'!V52/(1+参数输入表!$H$134)*参数输入表!$H$134</f>
        <v>0</v>
      </c>
      <c r="W32" s="50">
        <f>'表3-成本费用表'!W52/(1+参数输入表!$H$134)*参数输入表!$H$134</f>
        <v>0</v>
      </c>
      <c r="X32" s="50">
        <f>'表3-成本费用表'!X52/(1+参数输入表!$H$134)*参数输入表!$H$134</f>
        <v>0</v>
      </c>
      <c r="Y32" s="50">
        <f>'表3-成本费用表'!Y52/(1+参数输入表!$H$134)*参数输入表!$H$134</f>
        <v>0</v>
      </c>
      <c r="Z32" s="50">
        <f>'表3-成本费用表'!Z52/(1+参数输入表!$H$134)*参数输入表!$H$134</f>
        <v>0</v>
      </c>
      <c r="AA32" s="50">
        <f>'表3-成本费用表'!AA52/(1+参数输入表!$H$134)*参数输入表!$H$134</f>
        <v>0</v>
      </c>
    </row>
    <row r="33" spans="2:27">
      <c r="B33" s="47"/>
      <c r="C33" s="144" t="s">
        <v>21</v>
      </c>
      <c r="D33" s="50">
        <f t="shared" si="6"/>
        <v>0</v>
      </c>
      <c r="E33" s="47" t="s">
        <v>106</v>
      </c>
      <c r="F33" s="50"/>
      <c r="G33" s="50"/>
      <c r="H33" s="50">
        <f>'表3-成本费用表'!H54/(1+参数输入表!$H$136)*参数输入表!$H$136</f>
        <v>0</v>
      </c>
      <c r="I33" s="50">
        <f>'表3-成本费用表'!I54/(1+参数输入表!$H$136)*参数输入表!$H$136</f>
        <v>0</v>
      </c>
      <c r="J33" s="50">
        <f>'表3-成本费用表'!J54/(1+参数输入表!$H$136)*参数输入表!$H$136</f>
        <v>0</v>
      </c>
      <c r="K33" s="50">
        <f>'表3-成本费用表'!K54/(1+参数输入表!$H$136)*参数输入表!$H$136</f>
        <v>0</v>
      </c>
      <c r="L33" s="50">
        <f>'表3-成本费用表'!L54/(1+参数输入表!$H$136)*参数输入表!$H$136</f>
        <v>0</v>
      </c>
      <c r="M33" s="50">
        <f>'表3-成本费用表'!M54/(1+参数输入表!$H$136)*参数输入表!$H$136</f>
        <v>0</v>
      </c>
      <c r="N33" s="50">
        <f>'表3-成本费用表'!N54/(1+参数输入表!$H$136)*参数输入表!$H$136</f>
        <v>0</v>
      </c>
      <c r="O33" s="50">
        <f>'表3-成本费用表'!O54/(1+参数输入表!$H$136)*参数输入表!$H$136</f>
        <v>0</v>
      </c>
      <c r="P33" s="50">
        <f>'表3-成本费用表'!P54/(1+参数输入表!$H$136)*参数输入表!$H$136</f>
        <v>0</v>
      </c>
      <c r="Q33" s="50">
        <f>'表3-成本费用表'!Q54/(1+参数输入表!$H$136)*参数输入表!$H$136</f>
        <v>0</v>
      </c>
      <c r="R33" s="50">
        <f>'表3-成本费用表'!R54/(1+参数输入表!$H$136)*参数输入表!$H$136</f>
        <v>0</v>
      </c>
      <c r="S33" s="50">
        <f>'表3-成本费用表'!S54/(1+参数输入表!$H$136)*参数输入表!$H$136</f>
        <v>0</v>
      </c>
      <c r="T33" s="50">
        <f>'表3-成本费用表'!T54/(1+参数输入表!$H$136)*参数输入表!$H$136</f>
        <v>0</v>
      </c>
      <c r="U33" s="50">
        <f>'表3-成本费用表'!U54/(1+参数输入表!$H$136)*参数输入表!$H$136</f>
        <v>0</v>
      </c>
      <c r="V33" s="50">
        <f>'表3-成本费用表'!V54/(1+参数输入表!$H$136)*参数输入表!$H$136</f>
        <v>0</v>
      </c>
      <c r="W33" s="50">
        <f>'表3-成本费用表'!W54/(1+参数输入表!$H$136)*参数输入表!$H$136</f>
        <v>0</v>
      </c>
      <c r="X33" s="50">
        <f>'表3-成本费用表'!X54/(1+参数输入表!$H$136)*参数输入表!$H$136</f>
        <v>0</v>
      </c>
      <c r="Y33" s="50">
        <f>'表3-成本费用表'!Y54/(1+参数输入表!$H$136)*参数输入表!$H$136</f>
        <v>0</v>
      </c>
      <c r="Z33" s="50">
        <f>'表3-成本费用表'!Z54/(1+参数输入表!$H$136)*参数输入表!$H$136</f>
        <v>0</v>
      </c>
      <c r="AA33" s="50">
        <f>'表3-成本费用表'!AA54/(1+参数输入表!$H$136)*参数输入表!$H$136</f>
        <v>0</v>
      </c>
    </row>
    <row r="34" spans="2:27">
      <c r="B34" s="47"/>
      <c r="C34" s="144" t="s">
        <v>200</v>
      </c>
      <c r="D34" s="50">
        <f t="shared" si="6"/>
        <v>0</v>
      </c>
      <c r="E34" s="47" t="s">
        <v>106</v>
      </c>
      <c r="F34" s="50"/>
      <c r="G34" s="50"/>
      <c r="H34" s="50">
        <f>'表3-成本费用表'!H55/(1+参数输入表!$H$146)*参数输入表!$H$146</f>
        <v>0</v>
      </c>
      <c r="I34" s="50">
        <f>'表3-成本费用表'!I55/(1+参数输入表!$H$146)*参数输入表!$H$146</f>
        <v>0</v>
      </c>
      <c r="J34" s="50">
        <f>'表3-成本费用表'!J55/(1+参数输入表!$H$146)*参数输入表!$H$146</f>
        <v>0</v>
      </c>
      <c r="K34" s="50">
        <f>'表3-成本费用表'!K55/(1+参数输入表!$H$146)*参数输入表!$H$146</f>
        <v>0</v>
      </c>
      <c r="L34" s="50">
        <f>'表3-成本费用表'!L55/(1+参数输入表!$H$146)*参数输入表!$H$146</f>
        <v>0</v>
      </c>
      <c r="M34" s="50">
        <f>'表3-成本费用表'!M55/(1+参数输入表!$H$146)*参数输入表!$H$146</f>
        <v>0</v>
      </c>
      <c r="N34" s="50">
        <f>'表3-成本费用表'!N55/(1+参数输入表!$H$146)*参数输入表!$H$146</f>
        <v>0</v>
      </c>
      <c r="O34" s="50">
        <f>'表3-成本费用表'!O55/(1+参数输入表!$H$146)*参数输入表!$H$146</f>
        <v>0</v>
      </c>
      <c r="P34" s="50">
        <f>'表3-成本费用表'!P55/(1+参数输入表!$H$146)*参数输入表!$H$146</f>
        <v>0</v>
      </c>
      <c r="Q34" s="50">
        <f>'表3-成本费用表'!Q55/(1+参数输入表!$H$146)*参数输入表!$H$146</f>
        <v>0</v>
      </c>
      <c r="R34" s="50">
        <f>'表3-成本费用表'!R55/(1+参数输入表!$H$146)*参数输入表!$H$146</f>
        <v>0</v>
      </c>
      <c r="S34" s="50">
        <f>'表3-成本费用表'!S55/(1+参数输入表!$H$146)*参数输入表!$H$146</f>
        <v>0</v>
      </c>
      <c r="T34" s="50">
        <f>'表3-成本费用表'!T55/(1+参数输入表!$H$146)*参数输入表!$H$146</f>
        <v>0</v>
      </c>
      <c r="U34" s="50">
        <f>'表3-成本费用表'!U55/(1+参数输入表!$H$146)*参数输入表!$H$146</f>
        <v>0</v>
      </c>
      <c r="V34" s="50">
        <f>'表3-成本费用表'!V55/(1+参数输入表!$H$146)*参数输入表!$H$146</f>
        <v>0</v>
      </c>
      <c r="W34" s="50">
        <f>'表3-成本费用表'!W55/(1+参数输入表!$H$146)*参数输入表!$H$146</f>
        <v>0</v>
      </c>
      <c r="X34" s="50">
        <f>'表3-成本费用表'!X55/(1+参数输入表!$H$146)*参数输入表!$H$146</f>
        <v>0</v>
      </c>
      <c r="Y34" s="50">
        <f>'表3-成本费用表'!Y55/(1+参数输入表!$H$146)*参数输入表!$H$146</f>
        <v>0</v>
      </c>
      <c r="Z34" s="50">
        <f>'表3-成本费用表'!Z55/(1+参数输入表!$H$146)*参数输入表!$H$146</f>
        <v>0</v>
      </c>
      <c r="AA34" s="50">
        <f>'表3-成本费用表'!AA55/(1+参数输入表!$H$146)*参数输入表!$H$146</f>
        <v>0</v>
      </c>
    </row>
    <row r="35" spans="2:27">
      <c r="B35" s="47"/>
      <c r="C35" s="144" t="s">
        <v>193</v>
      </c>
      <c r="D35" s="50">
        <f t="shared" si="6"/>
        <v>0</v>
      </c>
      <c r="E35" s="47" t="s">
        <v>106</v>
      </c>
      <c r="F35" s="50"/>
      <c r="G35" s="50"/>
      <c r="H35" s="50">
        <f>'表3-成本费用表'!H56/(1+参数输入表!$H$140)*参数输入表!$H$140</f>
        <v>0</v>
      </c>
      <c r="I35" s="50">
        <f>'表3-成本费用表'!I56/(1+参数输入表!$H$140)*参数输入表!$H$140</f>
        <v>0</v>
      </c>
      <c r="J35" s="50">
        <f>'表3-成本费用表'!J56/(1+参数输入表!$H$140)*参数输入表!$H$140</f>
        <v>0</v>
      </c>
      <c r="K35" s="50">
        <f>'表3-成本费用表'!K56/(1+参数输入表!$H$140)*参数输入表!$H$140</f>
        <v>0</v>
      </c>
      <c r="L35" s="50">
        <f>'表3-成本费用表'!L56/(1+参数输入表!$H$140)*参数输入表!$H$140</f>
        <v>0</v>
      </c>
      <c r="M35" s="50">
        <f>'表3-成本费用表'!M56/(1+参数输入表!$H$140)*参数输入表!$H$140</f>
        <v>0</v>
      </c>
      <c r="N35" s="50">
        <f>'表3-成本费用表'!N56/(1+参数输入表!$H$140)*参数输入表!$H$140</f>
        <v>0</v>
      </c>
      <c r="O35" s="50">
        <f>'表3-成本费用表'!O56/(1+参数输入表!$H$140)*参数输入表!$H$140</f>
        <v>0</v>
      </c>
      <c r="P35" s="50">
        <f>'表3-成本费用表'!P56/(1+参数输入表!$H$140)*参数输入表!$H$140</f>
        <v>0</v>
      </c>
      <c r="Q35" s="50">
        <f>'表3-成本费用表'!Q56/(1+参数输入表!$H$140)*参数输入表!$H$140</f>
        <v>0</v>
      </c>
      <c r="R35" s="50">
        <f>'表3-成本费用表'!R56/(1+参数输入表!$H$140)*参数输入表!$H$140</f>
        <v>0</v>
      </c>
      <c r="S35" s="50">
        <f>'表3-成本费用表'!S56/(1+参数输入表!$H$140)*参数输入表!$H$140</f>
        <v>0</v>
      </c>
      <c r="T35" s="50">
        <f>'表3-成本费用表'!T56/(1+参数输入表!$H$140)*参数输入表!$H$140</f>
        <v>0</v>
      </c>
      <c r="U35" s="50">
        <f>'表3-成本费用表'!U56/(1+参数输入表!$H$140)*参数输入表!$H$140</f>
        <v>0</v>
      </c>
      <c r="V35" s="50">
        <f>'表3-成本费用表'!V56/(1+参数输入表!$H$140)*参数输入表!$H$140</f>
        <v>0</v>
      </c>
      <c r="W35" s="50">
        <f>'表3-成本费用表'!W56/(1+参数输入表!$H$140)*参数输入表!$H$140</f>
        <v>0</v>
      </c>
      <c r="X35" s="50">
        <f>'表3-成本费用表'!X56/(1+参数输入表!$H$140)*参数输入表!$H$140</f>
        <v>0</v>
      </c>
      <c r="Y35" s="50">
        <f>'表3-成本费用表'!Y56/(1+参数输入表!$H$140)*参数输入表!$H$140</f>
        <v>0</v>
      </c>
      <c r="Z35" s="50">
        <f>'表3-成本费用表'!Z56/(1+参数输入表!$H$140)*参数输入表!$H$140</f>
        <v>0</v>
      </c>
      <c r="AA35" s="50">
        <f>'表3-成本费用表'!AA56/(1+参数输入表!$H$140)*参数输入表!$H$140</f>
        <v>0</v>
      </c>
    </row>
    <row r="36" spans="2:27">
      <c r="B36" s="47"/>
      <c r="C36" s="144" t="s">
        <v>424</v>
      </c>
      <c r="D36" s="50">
        <f t="shared" si="6"/>
        <v>0</v>
      </c>
      <c r="E36" s="47" t="s">
        <v>106</v>
      </c>
      <c r="F36" s="50"/>
      <c r="G36" s="50"/>
      <c r="H36" s="50">
        <f>'表3-成本费用表'!H53/(1+参数输入表!$H$182)*参数输入表!$H$182</f>
        <v>0</v>
      </c>
      <c r="I36" s="50">
        <f>'表3-成本费用表'!I53/(1+参数输入表!$H$182)*参数输入表!$H$182</f>
        <v>0</v>
      </c>
      <c r="J36" s="50">
        <f>'表3-成本费用表'!J53/(1+参数输入表!$H$182)*参数输入表!$H$182</f>
        <v>0</v>
      </c>
      <c r="K36" s="50">
        <f>'表3-成本费用表'!K53/(1+参数输入表!$H$182)*参数输入表!$H$182</f>
        <v>0</v>
      </c>
      <c r="L36" s="50">
        <f>'表3-成本费用表'!L53/(1+参数输入表!$H$182)*参数输入表!$H$182</f>
        <v>0</v>
      </c>
      <c r="M36" s="50">
        <f>'表3-成本费用表'!M53/(1+参数输入表!$H$182)*参数输入表!$H$182</f>
        <v>0</v>
      </c>
      <c r="N36" s="50">
        <f>'表3-成本费用表'!N53/(1+参数输入表!$H$182)*参数输入表!$H$182</f>
        <v>0</v>
      </c>
      <c r="O36" s="50">
        <f>'表3-成本费用表'!O53/(1+参数输入表!$H$182)*参数输入表!$H$182</f>
        <v>0</v>
      </c>
      <c r="P36" s="50">
        <f>'表3-成本费用表'!P53/(1+参数输入表!$H$182)*参数输入表!$H$182</f>
        <v>0</v>
      </c>
      <c r="Q36" s="50">
        <f>'表3-成本费用表'!Q53/(1+参数输入表!$H$182)*参数输入表!$H$182</f>
        <v>0</v>
      </c>
      <c r="R36" s="50">
        <f>'表3-成本费用表'!R53/(1+参数输入表!$H$182)*参数输入表!$H$182</f>
        <v>0</v>
      </c>
      <c r="S36" s="50">
        <f>'表3-成本费用表'!S53/(1+参数输入表!$H$182)*参数输入表!$H$182</f>
        <v>0</v>
      </c>
      <c r="T36" s="50">
        <f>'表3-成本费用表'!T53/(1+参数输入表!$H$182)*参数输入表!$H$182</f>
        <v>0</v>
      </c>
      <c r="U36" s="50">
        <f>'表3-成本费用表'!U53/(1+参数输入表!$H$182)*参数输入表!$H$182</f>
        <v>0</v>
      </c>
      <c r="V36" s="50">
        <f>'表3-成本费用表'!V53/(1+参数输入表!$H$182)*参数输入表!$H$182</f>
        <v>0</v>
      </c>
      <c r="W36" s="50">
        <f>'表3-成本费用表'!W53/(1+参数输入表!$H$182)*参数输入表!$H$182</f>
        <v>0</v>
      </c>
      <c r="X36" s="50">
        <f>'表3-成本费用表'!X53/(1+参数输入表!$H$182)*参数输入表!$H$182</f>
        <v>0</v>
      </c>
      <c r="Y36" s="50">
        <f>'表3-成本费用表'!Y53/(1+参数输入表!$H$182)*参数输入表!$H$182</f>
        <v>0</v>
      </c>
      <c r="Z36" s="50">
        <f>'表3-成本费用表'!Z53/(1+参数输入表!$H$182)*参数输入表!$H$182</f>
        <v>0</v>
      </c>
      <c r="AA36" s="50">
        <f>'表3-成本费用表'!AA53/(1+参数输入表!$H$182)*参数输入表!$H$182</f>
        <v>0</v>
      </c>
    </row>
    <row r="37" spans="2:27">
      <c r="B37" s="47" t="s">
        <v>425</v>
      </c>
      <c r="C37" s="143" t="s">
        <v>426</v>
      </c>
      <c r="D37" s="50">
        <f t="shared" si="6"/>
        <v>0</v>
      </c>
      <c r="E37" s="47" t="s">
        <v>106</v>
      </c>
      <c r="F37" s="50"/>
      <c r="G37" s="50"/>
      <c r="H37" s="50">
        <v>0</v>
      </c>
      <c r="I37" s="50">
        <v>0</v>
      </c>
      <c r="J37" s="50">
        <v>0</v>
      </c>
      <c r="K37" s="50">
        <v>0</v>
      </c>
      <c r="L37" s="50">
        <v>0</v>
      </c>
      <c r="M37" s="50">
        <v>0</v>
      </c>
      <c r="N37" s="50">
        <v>0</v>
      </c>
      <c r="O37" s="50">
        <v>0</v>
      </c>
      <c r="P37" s="50">
        <v>0</v>
      </c>
      <c r="Q37" s="50">
        <v>0</v>
      </c>
      <c r="R37" s="50">
        <v>0</v>
      </c>
      <c r="S37" s="50">
        <v>0</v>
      </c>
      <c r="T37" s="50">
        <v>0</v>
      </c>
      <c r="U37" s="50">
        <v>0</v>
      </c>
      <c r="V37" s="50">
        <v>0</v>
      </c>
      <c r="W37" s="50">
        <v>0</v>
      </c>
      <c r="X37" s="50">
        <v>0</v>
      </c>
      <c r="Y37" s="50">
        <v>0</v>
      </c>
      <c r="Z37" s="50">
        <v>0</v>
      </c>
      <c r="AA37" s="50">
        <v>0</v>
      </c>
    </row>
    <row r="38" spans="2:27">
      <c r="B38" s="47" t="s">
        <v>427</v>
      </c>
      <c r="C38" s="143" t="s">
        <v>428</v>
      </c>
      <c r="D38" s="50">
        <f t="shared" ca="1" si="6"/>
        <v>0</v>
      </c>
      <c r="E38" s="47" t="s">
        <v>106</v>
      </c>
      <c r="F38" s="50"/>
      <c r="G38" s="50"/>
      <c r="H38" s="50">
        <f t="shared" ref="H38:AA38" ca="1" si="14">SUM(H39:H40)</f>
        <v>0</v>
      </c>
      <c r="I38" s="50">
        <f t="shared" ca="1" si="14"/>
        <v>0</v>
      </c>
      <c r="J38" s="50">
        <f t="shared" ca="1" si="14"/>
        <v>0</v>
      </c>
      <c r="K38" s="50">
        <f t="shared" ca="1" si="14"/>
        <v>0</v>
      </c>
      <c r="L38" s="50">
        <f t="shared" ca="1" si="14"/>
        <v>0</v>
      </c>
      <c r="M38" s="50">
        <f t="shared" ca="1" si="14"/>
        <v>0</v>
      </c>
      <c r="N38" s="50">
        <f t="shared" ca="1" si="14"/>
        <v>0</v>
      </c>
      <c r="O38" s="50">
        <f t="shared" ca="1" si="14"/>
        <v>0</v>
      </c>
      <c r="P38" s="50">
        <f t="shared" ca="1" si="14"/>
        <v>0</v>
      </c>
      <c r="Q38" s="50">
        <f t="shared" ca="1" si="14"/>
        <v>0</v>
      </c>
      <c r="R38" s="50">
        <f t="shared" ca="1" si="14"/>
        <v>0</v>
      </c>
      <c r="S38" s="50">
        <f t="shared" ca="1" si="14"/>
        <v>0</v>
      </c>
      <c r="T38" s="50">
        <f t="shared" ca="1" si="14"/>
        <v>0</v>
      </c>
      <c r="U38" s="50">
        <f t="shared" ca="1" si="14"/>
        <v>0</v>
      </c>
      <c r="V38" s="50">
        <f t="shared" ca="1" si="14"/>
        <v>0</v>
      </c>
      <c r="W38" s="50">
        <f t="shared" ca="1" si="14"/>
        <v>0</v>
      </c>
      <c r="X38" s="50">
        <f t="shared" ca="1" si="14"/>
        <v>0</v>
      </c>
      <c r="Y38" s="50">
        <f t="shared" ca="1" si="14"/>
        <v>0</v>
      </c>
      <c r="Z38" s="50">
        <f t="shared" ca="1" si="14"/>
        <v>0</v>
      </c>
      <c r="AA38" s="50">
        <f t="shared" ca="1" si="14"/>
        <v>0</v>
      </c>
    </row>
    <row r="39" spans="2:27">
      <c r="B39" s="47"/>
      <c r="C39" s="144" t="s">
        <v>392</v>
      </c>
      <c r="D39" s="50">
        <f t="shared" ca="1" si="6"/>
        <v>0</v>
      </c>
      <c r="E39" s="47" t="s">
        <v>106</v>
      </c>
      <c r="F39" s="50"/>
      <c r="G39" s="50"/>
      <c r="H39" s="50">
        <f ca="1">'表3-成本费用表'!H17/(1+参数输入表!$H$124)*参数输入表!$H$124</f>
        <v>0</v>
      </c>
      <c r="I39" s="50">
        <f ca="1">'表3-成本费用表'!I17/(1+参数输入表!$H$124)*参数输入表!$H$124</f>
        <v>0</v>
      </c>
      <c r="J39" s="50">
        <f ca="1">'表3-成本费用表'!J17/(1+参数输入表!$H$124)*参数输入表!$H$124</f>
        <v>0</v>
      </c>
      <c r="K39" s="50">
        <f ca="1">'表3-成本费用表'!K17/(1+参数输入表!$H$124)*参数输入表!$H$124</f>
        <v>0</v>
      </c>
      <c r="L39" s="50">
        <f ca="1">'表3-成本费用表'!L17/(1+参数输入表!$H$124)*参数输入表!$H$124</f>
        <v>0</v>
      </c>
      <c r="M39" s="50">
        <f ca="1">'表3-成本费用表'!M17/(1+参数输入表!$H$124)*参数输入表!$H$124</f>
        <v>0</v>
      </c>
      <c r="N39" s="50">
        <f ca="1">'表3-成本费用表'!N17/(1+参数输入表!$H$124)*参数输入表!$H$124</f>
        <v>0</v>
      </c>
      <c r="O39" s="50">
        <f ca="1">'表3-成本费用表'!O17/(1+参数输入表!$H$124)*参数输入表!$H$124</f>
        <v>0</v>
      </c>
      <c r="P39" s="50">
        <f ca="1">'表3-成本费用表'!P17/(1+参数输入表!$H$124)*参数输入表!$H$124</f>
        <v>0</v>
      </c>
      <c r="Q39" s="50">
        <f ca="1">'表3-成本费用表'!Q17/(1+参数输入表!$H$124)*参数输入表!$H$124</f>
        <v>0</v>
      </c>
      <c r="R39" s="50">
        <f ca="1">'表3-成本费用表'!R17/(1+参数输入表!$H$124)*参数输入表!$H$124</f>
        <v>0</v>
      </c>
      <c r="S39" s="50">
        <f ca="1">'表3-成本费用表'!S17/(1+参数输入表!$H$124)*参数输入表!$H$124</f>
        <v>0</v>
      </c>
      <c r="T39" s="50">
        <f ca="1">'表3-成本费用表'!T17/(1+参数输入表!$H$124)*参数输入表!$H$124</f>
        <v>0</v>
      </c>
      <c r="U39" s="50">
        <f ca="1">'表3-成本费用表'!U17/(1+参数输入表!$H$124)*参数输入表!$H$124</f>
        <v>0</v>
      </c>
      <c r="V39" s="50">
        <f ca="1">'表3-成本费用表'!V17/(1+参数输入表!$H$124)*参数输入表!$H$124</f>
        <v>0</v>
      </c>
      <c r="W39" s="50">
        <f ca="1">'表3-成本费用表'!W17/(1+参数输入表!$H$124)*参数输入表!$H$124</f>
        <v>0</v>
      </c>
      <c r="X39" s="50">
        <f ca="1">'表3-成本费用表'!X17/(1+参数输入表!$H$124)*参数输入表!$H$124</f>
        <v>0</v>
      </c>
      <c r="Y39" s="50">
        <f ca="1">'表3-成本费用表'!Y17/(1+参数输入表!$H$124)*参数输入表!$H$124</f>
        <v>0</v>
      </c>
      <c r="Z39" s="50">
        <f ca="1">'表3-成本费用表'!Z17/(1+参数输入表!$H$124)*参数输入表!$H$124</f>
        <v>0</v>
      </c>
      <c r="AA39" s="50">
        <f ca="1">'表3-成本费用表'!AA17/(1+参数输入表!$H$124)*参数输入表!$H$124</f>
        <v>0</v>
      </c>
    </row>
    <row r="40" spans="2:27">
      <c r="B40" s="47"/>
      <c r="C40" s="144" t="s">
        <v>198</v>
      </c>
      <c r="D40" s="50">
        <f t="shared" ca="1" si="6"/>
        <v>0</v>
      </c>
      <c r="E40" s="47" t="s">
        <v>106</v>
      </c>
      <c r="F40" s="50"/>
      <c r="G40" s="50"/>
      <c r="H40" s="50">
        <f>'表3-成本费用表'!H18/(1+参数输入表!$H$144)*参数输入表!$H$144</f>
        <v>0</v>
      </c>
      <c r="I40" s="50">
        <f>'表3-成本费用表'!I18/(1+参数输入表!$H$144)*参数输入表!$H$144</f>
        <v>0</v>
      </c>
      <c r="J40" s="50">
        <f>'表3-成本费用表'!J18/(1+参数输入表!$H$144)*参数输入表!$H$144</f>
        <v>0</v>
      </c>
      <c r="K40" s="50">
        <f>'表3-成本费用表'!K18/(1+参数输入表!$H$144)*参数输入表!$H$144</f>
        <v>0</v>
      </c>
      <c r="L40" s="50">
        <f>'表3-成本费用表'!L18/(1+参数输入表!$H$144)*参数输入表!$H$144</f>
        <v>0</v>
      </c>
      <c r="M40" s="50">
        <f>'表3-成本费用表'!M18/(1+参数输入表!$H$144)*参数输入表!$H$144</f>
        <v>0</v>
      </c>
      <c r="N40" s="50">
        <f>'表3-成本费用表'!N18/(1+参数输入表!$H$144)*参数输入表!$H$144</f>
        <v>0</v>
      </c>
      <c r="O40" s="50">
        <f>'表3-成本费用表'!O18/(1+参数输入表!$H$144)*参数输入表!$H$144</f>
        <v>0</v>
      </c>
      <c r="P40" s="50">
        <f>'表3-成本费用表'!P18/(1+参数输入表!$H$144)*参数输入表!$H$144</f>
        <v>0</v>
      </c>
      <c r="Q40" s="50">
        <f>'表3-成本费用表'!Q18/(1+参数输入表!$H$144)*参数输入表!$H$144</f>
        <v>0</v>
      </c>
      <c r="R40" s="50">
        <f>'表3-成本费用表'!R18/(1+参数输入表!$H$144)*参数输入表!$H$144</f>
        <v>0</v>
      </c>
      <c r="S40" s="50">
        <f>'表3-成本费用表'!S18/(1+参数输入表!$H$144)*参数输入表!$H$144</f>
        <v>0</v>
      </c>
      <c r="T40" s="50">
        <f>'表3-成本费用表'!T18/(1+参数输入表!$H$144)*参数输入表!$H$144</f>
        <v>0</v>
      </c>
      <c r="U40" s="50">
        <f>'表3-成本费用表'!U18/(1+参数输入表!$H$144)*参数输入表!$H$144</f>
        <v>0</v>
      </c>
      <c r="V40" s="50">
        <f>'表3-成本费用表'!V18/(1+参数输入表!$H$144)*参数输入表!$H$144</f>
        <v>0</v>
      </c>
      <c r="W40" s="50">
        <f>'表3-成本费用表'!W18/(1+参数输入表!$H$144)*参数输入表!$H$144</f>
        <v>0</v>
      </c>
      <c r="X40" s="50">
        <f>'表3-成本费用表'!X18/(1+参数输入表!$H$144)*参数输入表!$H$144</f>
        <v>0</v>
      </c>
      <c r="Y40" s="50">
        <f>'表3-成本费用表'!Y18/(1+参数输入表!$H$144)*参数输入表!$H$144</f>
        <v>0</v>
      </c>
      <c r="Z40" s="50">
        <f>'表3-成本费用表'!Z18/(1+参数输入表!$H$144)*参数输入表!$H$144</f>
        <v>0</v>
      </c>
      <c r="AA40" s="50">
        <f ca="1">'表3-成本费用表'!AA18/(1+参数输入表!$H$144)*参数输入表!$H$144</f>
        <v>0</v>
      </c>
    </row>
    <row r="41" spans="2:27">
      <c r="B41" s="47" t="s">
        <v>429</v>
      </c>
      <c r="C41" s="143" t="s">
        <v>430</v>
      </c>
      <c r="D41" s="50">
        <f t="shared" si="6"/>
        <v>0</v>
      </c>
      <c r="E41" s="47" t="s">
        <v>106</v>
      </c>
      <c r="F41" s="50"/>
      <c r="G41" s="50"/>
      <c r="H41" s="50">
        <v>0</v>
      </c>
      <c r="I41" s="50">
        <v>0</v>
      </c>
      <c r="J41" s="50">
        <v>0</v>
      </c>
      <c r="K41" s="50">
        <v>0</v>
      </c>
      <c r="L41" s="50">
        <v>0</v>
      </c>
      <c r="M41" s="50">
        <v>0</v>
      </c>
      <c r="N41" s="50">
        <v>0</v>
      </c>
      <c r="O41" s="50">
        <v>0</v>
      </c>
      <c r="P41" s="50">
        <v>0</v>
      </c>
      <c r="Q41" s="50">
        <v>0</v>
      </c>
      <c r="R41" s="50">
        <v>0</v>
      </c>
      <c r="S41" s="50">
        <v>0</v>
      </c>
      <c r="T41" s="50">
        <v>0</v>
      </c>
      <c r="U41" s="50">
        <v>0</v>
      </c>
      <c r="V41" s="50">
        <v>0</v>
      </c>
      <c r="W41" s="50">
        <v>0</v>
      </c>
      <c r="X41" s="50">
        <v>0</v>
      </c>
      <c r="Y41" s="50">
        <v>0</v>
      </c>
      <c r="Z41" s="50">
        <v>0</v>
      </c>
      <c r="AA41" s="50">
        <v>0</v>
      </c>
    </row>
    <row r="42" spans="2:27">
      <c r="B42" s="44">
        <v>3.3</v>
      </c>
      <c r="C42" s="142" t="s">
        <v>431</v>
      </c>
      <c r="D42" s="50">
        <f t="shared" si="6"/>
        <v>0</v>
      </c>
      <c r="E42" s="47" t="s">
        <v>106</v>
      </c>
      <c r="F42" s="50"/>
      <c r="G42" s="50"/>
      <c r="H42" s="46">
        <f>'表3-成本费用表'!H62/(1+参数输入表!$H$215)*参数输入表!$H$215</f>
        <v>0</v>
      </c>
      <c r="I42" s="46">
        <f>'表3-成本费用表'!I62/(1+参数输入表!$H$215)*参数输入表!$H$215</f>
        <v>0</v>
      </c>
      <c r="J42" s="46">
        <f>'表3-成本费用表'!J62/(1+参数输入表!$H$215)*参数输入表!$H$215</f>
        <v>0</v>
      </c>
      <c r="K42" s="46">
        <f>'表3-成本费用表'!K62/(1+参数输入表!$H$215)*参数输入表!$H$215</f>
        <v>0</v>
      </c>
      <c r="L42" s="46">
        <f>'表3-成本费用表'!L62/(1+参数输入表!$H$215)*参数输入表!$H$215</f>
        <v>0</v>
      </c>
      <c r="M42" s="46">
        <f>'表3-成本费用表'!M62/(1+参数输入表!$H$215)*参数输入表!$H$215</f>
        <v>0</v>
      </c>
      <c r="N42" s="46">
        <f>'表3-成本费用表'!N62/(1+参数输入表!$H$215)*参数输入表!$H$215</f>
        <v>0</v>
      </c>
      <c r="O42" s="46">
        <f>'表3-成本费用表'!O62/(1+参数输入表!$H$215)*参数输入表!$H$215</f>
        <v>0</v>
      </c>
      <c r="P42" s="46">
        <f>'表3-成本费用表'!P62/(1+参数输入表!$H$215)*参数输入表!$H$215</f>
        <v>0</v>
      </c>
      <c r="Q42" s="46">
        <f>'表3-成本费用表'!Q62/(1+参数输入表!$H$215)*参数输入表!$H$215</f>
        <v>0</v>
      </c>
      <c r="R42" s="46">
        <f>'表3-成本费用表'!R62/(1+参数输入表!$H$215)*参数输入表!$H$215</f>
        <v>0</v>
      </c>
      <c r="S42" s="46">
        <f>'表3-成本费用表'!S62/(1+参数输入表!$H$215)*参数输入表!$H$215</f>
        <v>0</v>
      </c>
      <c r="T42" s="46">
        <f>'表3-成本费用表'!T62/(1+参数输入表!$H$215)*参数输入表!$H$215</f>
        <v>0</v>
      </c>
      <c r="U42" s="46">
        <f>'表3-成本费用表'!U62/(1+参数输入表!$H$215)*参数输入表!$H$215</f>
        <v>0</v>
      </c>
      <c r="V42" s="46">
        <f>'表3-成本费用表'!V62/(1+参数输入表!$H$215)*参数输入表!$H$215</f>
        <v>0</v>
      </c>
      <c r="W42" s="46">
        <f>'表3-成本费用表'!W62/(1+参数输入表!$H$215)*参数输入表!$H$215</f>
        <v>0</v>
      </c>
      <c r="X42" s="46">
        <f>'表3-成本费用表'!X62/(1+参数输入表!$H$215)*参数输入表!$H$215</f>
        <v>0</v>
      </c>
      <c r="Y42" s="46">
        <f>'表3-成本费用表'!Y62/(1+参数输入表!$H$215)*参数输入表!$H$215</f>
        <v>0</v>
      </c>
      <c r="Z42" s="46">
        <f>'表3-成本费用表'!Z62/(1+参数输入表!$H$215)*参数输入表!$H$215</f>
        <v>0</v>
      </c>
      <c r="AA42" s="46">
        <f>'表3-成本费用表'!AA62/(1+参数输入表!$H$215)*参数输入表!$H$215</f>
        <v>0</v>
      </c>
    </row>
    <row r="43" spans="2:27">
      <c r="B43" s="44">
        <v>3.4</v>
      </c>
      <c r="C43" s="142" t="s">
        <v>432</v>
      </c>
      <c r="D43" s="46">
        <f t="shared" si="6"/>
        <v>55.221238938053098</v>
      </c>
      <c r="E43" s="47" t="s">
        <v>106</v>
      </c>
      <c r="F43" s="46"/>
      <c r="G43" s="46"/>
      <c r="H43" s="46">
        <f>参数输入表!H185/(1+参数输入表!$H$208)*参数输入表!$H$208</f>
        <v>0</v>
      </c>
      <c r="I43" s="46">
        <f>参数输入表!H186/(1+参数输入表!$H$208)*参数输入表!$H$208</f>
        <v>0</v>
      </c>
      <c r="J43" s="46">
        <f>参数输入表!H187/(1+参数输入表!$H$208)*参数输入表!$H$208</f>
        <v>0</v>
      </c>
      <c r="K43" s="46">
        <f>参数输入表!H188/(1+参数输入表!$H$208)*参数输入表!$H$208</f>
        <v>0</v>
      </c>
      <c r="L43" s="46">
        <f>参数输入表!H189/(1+参数输入表!$H$208)*参数输入表!$H$208</f>
        <v>0</v>
      </c>
      <c r="M43" s="46">
        <f>参数输入表!H190/(1+参数输入表!$H$208)*参数输入表!$H$208</f>
        <v>0</v>
      </c>
      <c r="N43" s="46">
        <f>参数输入表!H191/(1+参数输入表!$H$208)*参数输入表!$H$208</f>
        <v>0</v>
      </c>
      <c r="O43" s="46">
        <f>参数输入表!H192/(1+参数输入表!$H$208)*参数输入表!$H$208</f>
        <v>0</v>
      </c>
      <c r="P43" s="46">
        <f>参数输入表!H193/(1+参数输入表!$H$208)*参数输入表!$H$208</f>
        <v>0</v>
      </c>
      <c r="Q43" s="46">
        <f>参数输入表!H194/(1+参数输入表!$H$208)*参数输入表!$H$208</f>
        <v>0</v>
      </c>
      <c r="R43" s="46">
        <f>参数输入表!H195/(1+参数输入表!$H$208)*参数输入表!$H$208</f>
        <v>55.221238938053098</v>
      </c>
      <c r="S43" s="46">
        <f>参数输入表!H196/(1+参数输入表!$H$208)*参数输入表!$H$208</f>
        <v>0</v>
      </c>
      <c r="T43" s="46">
        <f>参数输入表!H197/(1+参数输入表!$H$208)*参数输入表!$H$208</f>
        <v>0</v>
      </c>
      <c r="U43" s="46">
        <f>参数输入表!H198/(1+参数输入表!$H$208)*参数输入表!$H$208</f>
        <v>0</v>
      </c>
      <c r="V43" s="46">
        <f>参数输入表!H199/(1+参数输入表!$H$208)*参数输入表!$H$208</f>
        <v>0</v>
      </c>
      <c r="W43" s="46">
        <f>参数输入表!H200/(1+参数输入表!$H$208)*参数输入表!$H$208</f>
        <v>0</v>
      </c>
      <c r="X43" s="46">
        <f>参数输入表!H201/(1+参数输入表!$H$208)*参数输入表!$H$208</f>
        <v>0</v>
      </c>
      <c r="Y43" s="46">
        <f>参数输入表!H202/(1+参数输入表!$H$208)*参数输入表!$H$208</f>
        <v>0</v>
      </c>
      <c r="Z43" s="46">
        <f>参数输入表!H203/(1+参数输入表!$H$208)*参数输入表!$H$208</f>
        <v>0</v>
      </c>
      <c r="AA43" s="46">
        <f>参数输入表!H204/(1+参数输入表!$H$208)*参数输入表!$H$208</f>
        <v>0</v>
      </c>
    </row>
    <row r="44" spans="2:27">
      <c r="B44" s="69">
        <v>4</v>
      </c>
      <c r="C44" s="127" t="s">
        <v>433</v>
      </c>
      <c r="D44" s="126">
        <f t="shared" ca="1" si="6"/>
        <v>4904.2102484356155</v>
      </c>
      <c r="E44" s="47" t="s">
        <v>106</v>
      </c>
      <c r="F44" s="46">
        <f>F23-F26</f>
        <v>-2317.7152865880998</v>
      </c>
      <c r="G44" s="46">
        <f t="shared" ref="G44:AA44" si="15">G23-G26</f>
        <v>0</v>
      </c>
      <c r="H44" s="46">
        <f t="shared" ca="1" si="15"/>
        <v>361.63616021345098</v>
      </c>
      <c r="I44" s="46">
        <f t="shared" ca="1" si="15"/>
        <v>361.63616021345098</v>
      </c>
      <c r="J44" s="46">
        <f t="shared" ca="1" si="15"/>
        <v>361.63616021345098</v>
      </c>
      <c r="K44" s="46">
        <f t="shared" ca="1" si="15"/>
        <v>361.63616021345098</v>
      </c>
      <c r="L44" s="46">
        <f t="shared" ca="1" si="15"/>
        <v>361.63616021345098</v>
      </c>
      <c r="M44" s="46">
        <f t="shared" ca="1" si="15"/>
        <v>364.597731526301</v>
      </c>
      <c r="N44" s="46">
        <f t="shared" ca="1" si="15"/>
        <v>364.597731526301</v>
      </c>
      <c r="O44" s="46">
        <f t="shared" ca="1" si="15"/>
        <v>364.597731526301</v>
      </c>
      <c r="P44" s="46">
        <f t="shared" ca="1" si="15"/>
        <v>364.597731526301</v>
      </c>
      <c r="Q44" s="46">
        <f t="shared" ca="1" si="15"/>
        <v>364.597731526301</v>
      </c>
      <c r="R44" s="46">
        <f t="shared" ca="1" si="15"/>
        <v>309.37649258824791</v>
      </c>
      <c r="S44" s="46">
        <f t="shared" ca="1" si="15"/>
        <v>364.597731526301</v>
      </c>
      <c r="T44" s="46">
        <f t="shared" ca="1" si="15"/>
        <v>364.597731526301</v>
      </c>
      <c r="U44" s="46">
        <f t="shared" ca="1" si="15"/>
        <v>364.597731526301</v>
      </c>
      <c r="V44" s="46">
        <f t="shared" ca="1" si="15"/>
        <v>364.597731526301</v>
      </c>
      <c r="W44" s="46">
        <f t="shared" ca="1" si="15"/>
        <v>364.597731526301</v>
      </c>
      <c r="X44" s="46">
        <f t="shared" ca="1" si="15"/>
        <v>364.597731526301</v>
      </c>
      <c r="Y44" s="46">
        <f t="shared" ca="1" si="15"/>
        <v>364.597731526301</v>
      </c>
      <c r="Z44" s="46">
        <f t="shared" ca="1" si="15"/>
        <v>364.597731526301</v>
      </c>
      <c r="AA44" s="46">
        <f t="shared" ca="1" si="15"/>
        <v>364.597731526301</v>
      </c>
    </row>
    <row r="45" spans="2:27">
      <c r="B45" s="88">
        <v>5</v>
      </c>
      <c r="C45" s="145" t="s">
        <v>434</v>
      </c>
      <c r="D45" s="146"/>
      <c r="E45" s="47" t="s">
        <v>106</v>
      </c>
      <c r="F45" s="50">
        <f>IF(F44&lt;0,-F44,0)</f>
        <v>2317.7152865880998</v>
      </c>
      <c r="G45" s="50">
        <f>IF(F45-G44&gt;0,F45-G44,0)</f>
        <v>2317.7152865880998</v>
      </c>
      <c r="H45" s="50">
        <f ca="1">IF(G45-H44&gt;0,G45-H44,0)</f>
        <v>1956.0791263746489</v>
      </c>
      <c r="I45" s="50">
        <f t="shared" ref="I45:AA45" ca="1" si="16">IF(H45-I44&gt;0,H45-I44,0)</f>
        <v>1594.442966161198</v>
      </c>
      <c r="J45" s="50">
        <f t="shared" ca="1" si="16"/>
        <v>1232.8068059477471</v>
      </c>
      <c r="K45" s="50">
        <f t="shared" ca="1" si="16"/>
        <v>871.17064573429616</v>
      </c>
      <c r="L45" s="50">
        <f t="shared" ca="1" si="16"/>
        <v>509.53448552084518</v>
      </c>
      <c r="M45" s="50">
        <f t="shared" ca="1" si="16"/>
        <v>144.93675399454418</v>
      </c>
      <c r="N45" s="50">
        <f t="shared" ca="1" si="16"/>
        <v>0</v>
      </c>
      <c r="O45" s="50">
        <f t="shared" ca="1" si="16"/>
        <v>0</v>
      </c>
      <c r="P45" s="50">
        <f t="shared" ca="1" si="16"/>
        <v>0</v>
      </c>
      <c r="Q45" s="50">
        <f t="shared" ca="1" si="16"/>
        <v>0</v>
      </c>
      <c r="R45" s="50">
        <f t="shared" ca="1" si="16"/>
        <v>0</v>
      </c>
      <c r="S45" s="50">
        <f t="shared" ca="1" si="16"/>
        <v>0</v>
      </c>
      <c r="T45" s="50">
        <f t="shared" ca="1" si="16"/>
        <v>0</v>
      </c>
      <c r="U45" s="50">
        <f t="shared" ca="1" si="16"/>
        <v>0</v>
      </c>
      <c r="V45" s="50">
        <f t="shared" ca="1" si="16"/>
        <v>0</v>
      </c>
      <c r="W45" s="50">
        <f t="shared" ca="1" si="16"/>
        <v>0</v>
      </c>
      <c r="X45" s="50">
        <f t="shared" ca="1" si="16"/>
        <v>0</v>
      </c>
      <c r="Y45" s="50">
        <f t="shared" ca="1" si="16"/>
        <v>0</v>
      </c>
      <c r="Z45" s="50">
        <f t="shared" ca="1" si="16"/>
        <v>0</v>
      </c>
      <c r="AA45" s="50">
        <f t="shared" ca="1" si="16"/>
        <v>0</v>
      </c>
    </row>
    <row r="46" spans="2:27">
      <c r="B46" s="69">
        <v>6</v>
      </c>
      <c r="C46" s="127" t="s">
        <v>435</v>
      </c>
      <c r="D46" s="126">
        <f ca="1">SUM(F46:AA46)</f>
        <v>588.50522981227414</v>
      </c>
      <c r="E46" s="47" t="s">
        <v>106</v>
      </c>
      <c r="F46" s="46"/>
      <c r="G46" s="46"/>
      <c r="H46" s="46">
        <f ca="1">SUM(H47:H49)</f>
        <v>0</v>
      </c>
      <c r="I46" s="46">
        <f t="shared" ref="I46:AA46" ca="1" si="17">SUM(I47:I49)</f>
        <v>0</v>
      </c>
      <c r="J46" s="46">
        <f t="shared" ca="1" si="17"/>
        <v>0</v>
      </c>
      <c r="K46" s="46">
        <f t="shared" ca="1" si="17"/>
        <v>0</v>
      </c>
      <c r="L46" s="46">
        <f t="shared" ca="1" si="17"/>
        <v>0</v>
      </c>
      <c r="M46" s="46">
        <f t="shared" ca="1" si="17"/>
        <v>0</v>
      </c>
      <c r="N46" s="46">
        <f t="shared" ca="1" si="17"/>
        <v>26.359317303810823</v>
      </c>
      <c r="O46" s="46">
        <f t="shared" ca="1" si="17"/>
        <v>43.751727783156127</v>
      </c>
      <c r="P46" s="46">
        <f t="shared" ca="1" si="17"/>
        <v>43.751727783156127</v>
      </c>
      <c r="Q46" s="46">
        <f t="shared" ca="1" si="17"/>
        <v>43.751727783156127</v>
      </c>
      <c r="R46" s="46">
        <f t="shared" ca="1" si="17"/>
        <v>37.125179110589748</v>
      </c>
      <c r="S46" s="46">
        <f t="shared" ca="1" si="17"/>
        <v>43.751727783156127</v>
      </c>
      <c r="T46" s="46">
        <f t="shared" ca="1" si="17"/>
        <v>43.751727783156127</v>
      </c>
      <c r="U46" s="46">
        <f t="shared" ca="1" si="17"/>
        <v>43.751727783156127</v>
      </c>
      <c r="V46" s="46">
        <f t="shared" ca="1" si="17"/>
        <v>43.751727783156127</v>
      </c>
      <c r="W46" s="46">
        <f t="shared" ca="1" si="17"/>
        <v>43.751727783156127</v>
      </c>
      <c r="X46" s="46">
        <f t="shared" ca="1" si="17"/>
        <v>43.751727783156127</v>
      </c>
      <c r="Y46" s="46">
        <f t="shared" ca="1" si="17"/>
        <v>43.751727783156127</v>
      </c>
      <c r="Z46" s="46">
        <f t="shared" ca="1" si="17"/>
        <v>43.751727783156127</v>
      </c>
      <c r="AA46" s="46">
        <f t="shared" ca="1" si="17"/>
        <v>43.751727783156127</v>
      </c>
    </row>
    <row r="47" spans="2:27">
      <c r="B47" s="88">
        <v>6.1</v>
      </c>
      <c r="C47" s="147" t="s">
        <v>436</v>
      </c>
      <c r="D47" s="146">
        <f ca="1">SUM(F47:AA47)</f>
        <v>343.29471739049336</v>
      </c>
      <c r="E47" s="47" t="s">
        <v>106</v>
      </c>
      <c r="F47" s="50"/>
      <c r="G47" s="50"/>
      <c r="H47" s="50">
        <f ca="1">H22*参数输入表!$H$273</f>
        <v>0</v>
      </c>
      <c r="I47" s="50">
        <f ca="1">I22*参数输入表!$H$273</f>
        <v>0</v>
      </c>
      <c r="J47" s="50">
        <f ca="1">J22*参数输入表!$H$273</f>
        <v>0</v>
      </c>
      <c r="K47" s="50">
        <f ca="1">K22*参数输入表!$H$273</f>
        <v>0</v>
      </c>
      <c r="L47" s="50">
        <f ca="1">L22*参数输入表!$H$273</f>
        <v>0</v>
      </c>
      <c r="M47" s="50">
        <f ca="1">M22*参数输入表!$H$273</f>
        <v>0</v>
      </c>
      <c r="N47" s="50">
        <f ca="1">N22*参数输入表!$H$273</f>
        <v>15.37626842722298</v>
      </c>
      <c r="O47" s="50">
        <f ca="1">O22*参数输入表!$H$273</f>
        <v>25.521841206841074</v>
      </c>
      <c r="P47" s="50">
        <f ca="1">P22*参数输入表!$H$273</f>
        <v>25.521841206841074</v>
      </c>
      <c r="Q47" s="50">
        <f ca="1">Q22*参数输入表!$H$273</f>
        <v>25.521841206841074</v>
      </c>
      <c r="R47" s="50">
        <f ca="1">R22*参数输入表!$H$273</f>
        <v>21.656354481177356</v>
      </c>
      <c r="S47" s="50">
        <f ca="1">S22*参数输入表!$H$273</f>
        <v>25.521841206841074</v>
      </c>
      <c r="T47" s="50">
        <f ca="1">T22*参数输入表!$H$273</f>
        <v>25.521841206841074</v>
      </c>
      <c r="U47" s="50">
        <f ca="1">U22*参数输入表!$H$273</f>
        <v>25.521841206841074</v>
      </c>
      <c r="V47" s="50">
        <f ca="1">V22*参数输入表!$H$273</f>
        <v>25.521841206841074</v>
      </c>
      <c r="W47" s="50">
        <f ca="1">W22*参数输入表!$H$273</f>
        <v>25.521841206841074</v>
      </c>
      <c r="X47" s="50">
        <f ca="1">X22*参数输入表!$H$273</f>
        <v>25.521841206841074</v>
      </c>
      <c r="Y47" s="50">
        <f ca="1">Y22*参数输入表!$H$273</f>
        <v>25.521841206841074</v>
      </c>
      <c r="Z47" s="50">
        <f ca="1">Z22*参数输入表!$H$273</f>
        <v>25.521841206841074</v>
      </c>
      <c r="AA47" s="50">
        <f ca="1">AA22*参数输入表!$H$273</f>
        <v>25.521841206841074</v>
      </c>
    </row>
    <row r="48" spans="2:27">
      <c r="B48" s="88">
        <v>6.2</v>
      </c>
      <c r="C48" s="147" t="s">
        <v>437</v>
      </c>
      <c r="D48" s="146">
        <f ca="1">SUM(F48:AA48)</f>
        <v>147.12630745306851</v>
      </c>
      <c r="E48" s="47" t="s">
        <v>106</v>
      </c>
      <c r="F48" s="50"/>
      <c r="G48" s="50"/>
      <c r="H48" s="50">
        <f ca="1">H22*参数输入表!$H$277</f>
        <v>0</v>
      </c>
      <c r="I48" s="50">
        <f ca="1">I22*参数输入表!$H$277</f>
        <v>0</v>
      </c>
      <c r="J48" s="50">
        <f ca="1">J22*参数输入表!$H$277</f>
        <v>0</v>
      </c>
      <c r="K48" s="50">
        <f ca="1">K22*参数输入表!$H$277</f>
        <v>0</v>
      </c>
      <c r="L48" s="50">
        <f ca="1">L22*参数输入表!$H$277</f>
        <v>0</v>
      </c>
      <c r="M48" s="50">
        <f ca="1">M22*参数输入表!$H$277</f>
        <v>0</v>
      </c>
      <c r="N48" s="50">
        <f ca="1">N22*参数输入表!$H$277</f>
        <v>6.5898293259527048</v>
      </c>
      <c r="O48" s="50">
        <f ca="1">O22*参数输入表!$H$277</f>
        <v>10.93793194578903</v>
      </c>
      <c r="P48" s="50">
        <f ca="1">P22*参数输入表!$H$277</f>
        <v>10.93793194578903</v>
      </c>
      <c r="Q48" s="50">
        <f ca="1">Q22*参数输入表!$H$277</f>
        <v>10.93793194578903</v>
      </c>
      <c r="R48" s="50">
        <f ca="1">R22*参数输入表!$H$277</f>
        <v>9.281294777647437</v>
      </c>
      <c r="S48" s="50">
        <f ca="1">S22*参数输入表!$H$277</f>
        <v>10.93793194578903</v>
      </c>
      <c r="T48" s="50">
        <f ca="1">T22*参数输入表!$H$277</f>
        <v>10.93793194578903</v>
      </c>
      <c r="U48" s="50">
        <f ca="1">U22*参数输入表!$H$277</f>
        <v>10.93793194578903</v>
      </c>
      <c r="V48" s="50">
        <f ca="1">V22*参数输入表!$H$277</f>
        <v>10.93793194578903</v>
      </c>
      <c r="W48" s="50">
        <f ca="1">W22*参数输入表!$H$277</f>
        <v>10.93793194578903</v>
      </c>
      <c r="X48" s="50">
        <f ca="1">X22*参数输入表!$H$277</f>
        <v>10.93793194578903</v>
      </c>
      <c r="Y48" s="50">
        <f ca="1">Y22*参数输入表!$H$277</f>
        <v>10.93793194578903</v>
      </c>
      <c r="Z48" s="50">
        <f ca="1">Z22*参数输入表!$H$277</f>
        <v>10.93793194578903</v>
      </c>
      <c r="AA48" s="50">
        <f ca="1">AA22*参数输入表!$H$277</f>
        <v>10.93793194578903</v>
      </c>
    </row>
    <row r="49" spans="2:27">
      <c r="B49" s="88">
        <v>6.3</v>
      </c>
      <c r="C49" s="147" t="s">
        <v>438</v>
      </c>
      <c r="D49" s="146">
        <f ca="1">SUM(F49:AA49)</f>
        <v>98.084204968712342</v>
      </c>
      <c r="E49" s="47" t="s">
        <v>106</v>
      </c>
      <c r="F49" s="50"/>
      <c r="G49" s="50"/>
      <c r="H49" s="50">
        <f ca="1">H22*参数输入表!$H$278</f>
        <v>0</v>
      </c>
      <c r="I49" s="50">
        <f ca="1">I22*参数输入表!$H$278</f>
        <v>0</v>
      </c>
      <c r="J49" s="50">
        <f ca="1">J22*参数输入表!$H$278</f>
        <v>0</v>
      </c>
      <c r="K49" s="50">
        <f ca="1">K22*参数输入表!$H$278</f>
        <v>0</v>
      </c>
      <c r="L49" s="50">
        <f ca="1">L22*参数输入表!$H$278</f>
        <v>0</v>
      </c>
      <c r="M49" s="50">
        <f ca="1">M22*参数输入表!$H$278</f>
        <v>0</v>
      </c>
      <c r="N49" s="50">
        <f ca="1">N22*参数输入表!$H$278</f>
        <v>4.3932195506351368</v>
      </c>
      <c r="O49" s="50">
        <f ca="1">O22*参数输入表!$H$278</f>
        <v>7.2919546305260203</v>
      </c>
      <c r="P49" s="50">
        <f ca="1">P22*参数输入表!$H$278</f>
        <v>7.2919546305260203</v>
      </c>
      <c r="Q49" s="50">
        <f ca="1">Q22*参数输入表!$H$278</f>
        <v>7.2919546305260203</v>
      </c>
      <c r="R49" s="50">
        <f ca="1">R22*参数输入表!$H$278</f>
        <v>6.1875298517649586</v>
      </c>
      <c r="S49" s="50">
        <f ca="1">S22*参数输入表!$H$278</f>
        <v>7.2919546305260203</v>
      </c>
      <c r="T49" s="50">
        <f ca="1">T22*参数输入表!$H$278</f>
        <v>7.2919546305260203</v>
      </c>
      <c r="U49" s="50">
        <f ca="1">U22*参数输入表!$H$278</f>
        <v>7.2919546305260203</v>
      </c>
      <c r="V49" s="50">
        <f ca="1">V22*参数输入表!$H$278</f>
        <v>7.2919546305260203</v>
      </c>
      <c r="W49" s="50">
        <f ca="1">W22*参数输入表!$H$278</f>
        <v>7.2919546305260203</v>
      </c>
      <c r="X49" s="50">
        <f ca="1">X22*参数输入表!$H$278</f>
        <v>7.2919546305260203</v>
      </c>
      <c r="Y49" s="50">
        <f ca="1">Y22*参数输入表!$H$278</f>
        <v>7.2919546305260203</v>
      </c>
      <c r="Z49" s="50">
        <f ca="1">Z22*参数输入表!$H$278</f>
        <v>7.2919546305260203</v>
      </c>
      <c r="AA49" s="50">
        <f ca="1">AA22*参数输入表!$H$278</f>
        <v>7.2919546305260203</v>
      </c>
    </row>
    <row r="50" spans="2:27">
      <c r="B50" s="69">
        <v>7</v>
      </c>
      <c r="C50" s="127" t="s">
        <v>296</v>
      </c>
      <c r="D50" s="126">
        <f>SUM(F50:AA50)</f>
        <v>0</v>
      </c>
      <c r="E50" s="47" t="s">
        <v>106</v>
      </c>
      <c r="F50" s="50"/>
      <c r="G50" s="50"/>
      <c r="H50" s="46">
        <f>参数输入表!$H$280*参数输入表!$H$281/10000</f>
        <v>0</v>
      </c>
      <c r="I50" s="46">
        <f>参数输入表!$H$280*参数输入表!$H$281/10000</f>
        <v>0</v>
      </c>
      <c r="J50" s="46">
        <f>参数输入表!$H$280*参数输入表!$H$281/10000</f>
        <v>0</v>
      </c>
      <c r="K50" s="46">
        <f>参数输入表!$H$280*参数输入表!$H$281/10000</f>
        <v>0</v>
      </c>
      <c r="L50" s="46">
        <f>参数输入表!$H$280*参数输入表!$H$281/10000</f>
        <v>0</v>
      </c>
      <c r="M50" s="46">
        <f>参数输入表!$H$280*参数输入表!$H$281/10000</f>
        <v>0</v>
      </c>
      <c r="N50" s="46">
        <f>参数输入表!$H$280*参数输入表!$H$281/10000</f>
        <v>0</v>
      </c>
      <c r="O50" s="46">
        <f>参数输入表!$H$280*参数输入表!$H$281/10000</f>
        <v>0</v>
      </c>
      <c r="P50" s="46">
        <f>参数输入表!$H$280*参数输入表!$H$281/10000</f>
        <v>0</v>
      </c>
      <c r="Q50" s="46">
        <f>参数输入表!$H$280*参数输入表!$H$281/10000</f>
        <v>0</v>
      </c>
      <c r="R50" s="46">
        <f>参数输入表!$H$280*参数输入表!$H$281/10000</f>
        <v>0</v>
      </c>
      <c r="S50" s="46">
        <f>参数输入表!$H$280*参数输入表!$H$281/10000</f>
        <v>0</v>
      </c>
      <c r="T50" s="46">
        <f>参数输入表!$H$280*参数输入表!$H$281/10000</f>
        <v>0</v>
      </c>
      <c r="U50" s="46">
        <f>参数输入表!$H$280*参数输入表!$H$281/10000</f>
        <v>0</v>
      </c>
      <c r="V50" s="46">
        <f>参数输入表!$H$280*参数输入表!$H$281/10000</f>
        <v>0</v>
      </c>
      <c r="W50" s="46">
        <f>参数输入表!$H$280*参数输入表!$H$281/10000</f>
        <v>0</v>
      </c>
      <c r="X50" s="46">
        <f>参数输入表!$H$280*参数输入表!$H$281/10000</f>
        <v>0</v>
      </c>
      <c r="Y50" s="46">
        <f>参数输入表!$H$280*参数输入表!$H$281/10000</f>
        <v>0</v>
      </c>
      <c r="Z50" s="46">
        <f>参数输入表!$H$280*参数输入表!$H$281/10000</f>
        <v>0</v>
      </c>
      <c r="AA50" s="46">
        <f>参数输入表!$H$280*参数输入表!$H$281/10000</f>
        <v>0</v>
      </c>
    </row>
    <row r="51" spans="2:27">
      <c r="H51" s="76"/>
      <c r="I51" s="76"/>
      <c r="J51" s="76"/>
      <c r="K51" s="76"/>
      <c r="L51" s="76"/>
      <c r="M51" s="76"/>
      <c r="N51" s="76"/>
      <c r="O51" s="76"/>
      <c r="P51" s="76"/>
      <c r="Q51" s="76"/>
      <c r="R51" s="76"/>
      <c r="S51" s="76"/>
      <c r="T51" s="76"/>
      <c r="U51" s="76"/>
      <c r="V51" s="76"/>
      <c r="W51" s="76"/>
      <c r="X51" s="76"/>
      <c r="Y51" s="76"/>
      <c r="Z51" s="76"/>
      <c r="AA51" s="76"/>
    </row>
    <row r="53" spans="2:27" ht="19">
      <c r="C53" s="148" t="s">
        <v>439</v>
      </c>
    </row>
    <row r="54" spans="2:27" ht="19">
      <c r="C54" s="148" t="s">
        <v>440</v>
      </c>
    </row>
    <row r="55" spans="2:27" ht="19">
      <c r="C55" s="148" t="s">
        <v>441</v>
      </c>
    </row>
    <row r="56" spans="2:27" ht="24" customHeight="1">
      <c r="B56" s="41" t="s">
        <v>442</v>
      </c>
    </row>
    <row r="57" spans="2:27">
      <c r="B57" s="340" t="s">
        <v>14</v>
      </c>
      <c r="C57" s="340" t="s">
        <v>320</v>
      </c>
      <c r="D57" s="340" t="s">
        <v>308</v>
      </c>
      <c r="E57" s="340" t="s">
        <v>39</v>
      </c>
      <c r="F57" s="339" t="s">
        <v>43</v>
      </c>
      <c r="G57" s="339"/>
      <c r="H57" s="339" t="s">
        <v>54</v>
      </c>
      <c r="I57" s="339"/>
      <c r="J57" s="339"/>
      <c r="K57" s="339"/>
      <c r="L57" s="339"/>
      <c r="M57" s="339"/>
      <c r="N57" s="339"/>
      <c r="O57" s="339"/>
      <c r="P57" s="339"/>
      <c r="Q57" s="339"/>
      <c r="R57" s="339"/>
      <c r="S57" s="339"/>
      <c r="T57" s="339"/>
      <c r="U57" s="339"/>
      <c r="V57" s="339"/>
      <c r="W57" s="339"/>
      <c r="X57" s="339"/>
      <c r="Y57" s="339"/>
      <c r="Z57" s="339"/>
      <c r="AA57" s="339"/>
    </row>
    <row r="58" spans="2:27">
      <c r="B58" s="341"/>
      <c r="C58" s="341"/>
      <c r="D58" s="341"/>
      <c r="E58" s="341"/>
      <c r="F58" s="149">
        <v>1</v>
      </c>
      <c r="G58" s="149">
        <v>2</v>
      </c>
      <c r="H58" s="149">
        <v>1</v>
      </c>
      <c r="I58" s="149">
        <v>2</v>
      </c>
      <c r="J58" s="149">
        <v>3</v>
      </c>
      <c r="K58" s="149">
        <v>4</v>
      </c>
      <c r="L58" s="149">
        <v>5</v>
      </c>
      <c r="M58" s="149">
        <v>6</v>
      </c>
      <c r="N58" s="149">
        <v>7</v>
      </c>
      <c r="O58" s="149">
        <v>8</v>
      </c>
      <c r="P58" s="149">
        <v>9</v>
      </c>
      <c r="Q58" s="149">
        <v>10</v>
      </c>
      <c r="R58" s="149">
        <v>11</v>
      </c>
      <c r="S58" s="149">
        <v>12</v>
      </c>
      <c r="T58" s="149">
        <v>13</v>
      </c>
      <c r="U58" s="149">
        <v>14</v>
      </c>
      <c r="V58" s="149">
        <v>15</v>
      </c>
      <c r="W58" s="149">
        <v>16</v>
      </c>
      <c r="X58" s="149">
        <v>17</v>
      </c>
      <c r="Y58" s="149">
        <v>18</v>
      </c>
      <c r="Z58" s="149">
        <v>19</v>
      </c>
      <c r="AA58" s="149">
        <v>20</v>
      </c>
    </row>
    <row r="59" spans="2:27">
      <c r="B59" s="149" t="s">
        <v>341</v>
      </c>
      <c r="C59" s="151" t="s">
        <v>321</v>
      </c>
      <c r="D59" s="152"/>
      <c r="E59" s="153" t="s">
        <v>106</v>
      </c>
      <c r="F59" s="96">
        <f>SUM(F60:F63)</f>
        <v>0</v>
      </c>
      <c r="G59" s="96">
        <f t="shared" ref="G59:AA59" si="18">SUM(G60:G63)</f>
        <v>0</v>
      </c>
      <c r="H59" s="96">
        <f t="shared" si="18"/>
        <v>0</v>
      </c>
      <c r="I59" s="96">
        <f t="shared" si="18"/>
        <v>0</v>
      </c>
      <c r="J59" s="96">
        <f t="shared" si="18"/>
        <v>0</v>
      </c>
      <c r="K59" s="96">
        <f t="shared" si="18"/>
        <v>0</v>
      </c>
      <c r="L59" s="96">
        <f t="shared" si="18"/>
        <v>0</v>
      </c>
      <c r="M59" s="96">
        <f t="shared" si="18"/>
        <v>0</v>
      </c>
      <c r="N59" s="96">
        <f t="shared" si="18"/>
        <v>0</v>
      </c>
      <c r="O59" s="96">
        <f t="shared" si="18"/>
        <v>0</v>
      </c>
      <c r="P59" s="96">
        <f t="shared" si="18"/>
        <v>0</v>
      </c>
      <c r="Q59" s="96">
        <f t="shared" si="18"/>
        <v>0</v>
      </c>
      <c r="R59" s="96">
        <f t="shared" si="18"/>
        <v>0</v>
      </c>
      <c r="S59" s="96">
        <f t="shared" si="18"/>
        <v>0</v>
      </c>
      <c r="T59" s="96">
        <f t="shared" si="18"/>
        <v>0</v>
      </c>
      <c r="U59" s="96">
        <f t="shared" si="18"/>
        <v>0</v>
      </c>
      <c r="V59" s="96">
        <f t="shared" si="18"/>
        <v>0</v>
      </c>
      <c r="W59" s="96">
        <f t="shared" si="18"/>
        <v>0</v>
      </c>
      <c r="X59" s="96">
        <f t="shared" si="18"/>
        <v>0</v>
      </c>
      <c r="Y59" s="96">
        <f t="shared" si="18"/>
        <v>0</v>
      </c>
      <c r="Z59" s="96">
        <f t="shared" si="18"/>
        <v>0</v>
      </c>
      <c r="AA59" s="96">
        <f t="shared" si="18"/>
        <v>0</v>
      </c>
    </row>
    <row r="60" spans="2:27">
      <c r="B60" s="153">
        <v>1.1000000000000001</v>
      </c>
      <c r="C60" s="138" t="s">
        <v>323</v>
      </c>
      <c r="D60" s="152"/>
      <c r="E60" s="153" t="s">
        <v>106</v>
      </c>
      <c r="F60" s="96"/>
      <c r="G60" s="96"/>
      <c r="H60" s="96">
        <f>('表4-收入税金表'!H6+'表4-收入税金表'!H24)*(1-100%)+('表4-收入税金表'!H16+'表4-收入税金表'!H25)*(1-100%)</f>
        <v>0</v>
      </c>
      <c r="I60" s="96">
        <f>('表4-收入税金表'!I6+'表4-收入税金表'!I24)*(1-100%)+('表4-收入税金表'!I16+'表4-收入税金表'!I25)*(1-100%)</f>
        <v>0</v>
      </c>
      <c r="J60" s="96">
        <f>('表4-收入税金表'!J6+'表4-收入税金表'!J24)*(1-100%)+('表4-收入税金表'!J16+'表4-收入税金表'!J25)*(1-100%)</f>
        <v>0</v>
      </c>
      <c r="K60" s="96">
        <f>('表4-收入税金表'!K6+'表4-收入税金表'!K24)*(1-100%)+('表4-收入税金表'!K16+'表4-收入税金表'!K25)*(1-100%)</f>
        <v>0</v>
      </c>
      <c r="L60" s="96">
        <f>('表4-收入税金表'!L6+'表4-收入税金表'!L24)*(1-100%)+('表4-收入税金表'!L16+'表4-收入税金表'!L25)*(1-100%)</f>
        <v>0</v>
      </c>
      <c r="M60" s="96">
        <f>('表4-收入税金表'!M6+'表4-收入税金表'!M24)*(1-100%)+('表4-收入税金表'!M16+'表4-收入税金表'!M25)*(1-100%)</f>
        <v>0</v>
      </c>
      <c r="N60" s="96">
        <f>('表4-收入税金表'!N6+'表4-收入税金表'!N24)*(1-100%)+('表4-收入税金表'!N16+'表4-收入税金表'!N25)*(1-100%)</f>
        <v>0</v>
      </c>
      <c r="O60" s="96">
        <f>('表4-收入税金表'!O6+'表4-收入税金表'!O24)*(1-100%)+('表4-收入税金表'!O16+'表4-收入税金表'!O25)*(1-100%)</f>
        <v>0</v>
      </c>
      <c r="P60" s="96">
        <f>('表4-收入税金表'!P6+'表4-收入税金表'!P24)*(1-100%)+('表4-收入税金表'!P16+'表4-收入税金表'!P25)*(1-100%)</f>
        <v>0</v>
      </c>
      <c r="Q60" s="96">
        <f>('表4-收入税金表'!Q6+'表4-收入税金表'!Q24)*(1-100%)+('表4-收入税金表'!Q16+'表4-收入税金表'!Q25)*(1-100%)</f>
        <v>0</v>
      </c>
      <c r="R60" s="96">
        <f>('表4-收入税金表'!R6+'表4-收入税金表'!R24)*(1-100%)+('表4-收入税金表'!R16+'表4-收入税金表'!R25)*(1-100%)</f>
        <v>0</v>
      </c>
      <c r="S60" s="96">
        <f>('表4-收入税金表'!S6+'表4-收入税金表'!S24)*(1-100%)+('表4-收入税金表'!S16+'表4-收入税金表'!S25)*(1-100%)</f>
        <v>0</v>
      </c>
      <c r="T60" s="96">
        <f>('表4-收入税金表'!T6+'表4-收入税金表'!T24)*(1-100%)+('表4-收入税金表'!T16+'表4-收入税金表'!T25)*(1-100%)</f>
        <v>0</v>
      </c>
      <c r="U60" s="96">
        <f>('表4-收入税金表'!U6+'表4-收入税金表'!U24)*(1-100%)+('表4-收入税金表'!U16+'表4-收入税金表'!U25)*(1-100%)</f>
        <v>0</v>
      </c>
      <c r="V60" s="96">
        <f>('表4-收入税金表'!V6+'表4-收入税金表'!V24)*(1-100%)+('表4-收入税金表'!V16+'表4-收入税金表'!V25)*(1-100%)</f>
        <v>0</v>
      </c>
      <c r="W60" s="96">
        <f>('表4-收入税金表'!W6+'表4-收入税金表'!W24)*(1-100%)+('表4-收入税金表'!W16+'表4-收入税金表'!W25)*(1-100%)</f>
        <v>0</v>
      </c>
      <c r="X60" s="96">
        <f>('表4-收入税金表'!X6+'表4-收入税金表'!X24)*(1-100%)+('表4-收入税金表'!X16+'表4-收入税金表'!X25)*(1-100%)</f>
        <v>0</v>
      </c>
      <c r="Y60" s="96">
        <f>('表4-收入税金表'!Y6+'表4-收入税金表'!Y24)*(1-100%)+('表4-收入税金表'!Y16+'表4-收入税金表'!Y25)*(1-100%)</f>
        <v>0</v>
      </c>
      <c r="Z60" s="96">
        <f>('表4-收入税金表'!Z6+'表4-收入税金表'!Z24)*(1-100%)+('表4-收入税金表'!Z16+'表4-收入税金表'!Z25)*(1-100%)</f>
        <v>0</v>
      </c>
      <c r="AA60" s="96">
        <f>('表4-收入税金表'!AA6+'表4-收入税金表'!AA24)*(1-100%)+('表4-收入税金表'!AA16+'表4-收入税金表'!AA25)*(1-100%)</f>
        <v>0</v>
      </c>
    </row>
    <row r="61" spans="2:27">
      <c r="B61" s="153">
        <v>1.2</v>
      </c>
      <c r="C61" s="138" t="s">
        <v>324</v>
      </c>
      <c r="D61" s="152"/>
      <c r="E61" s="153" t="s">
        <v>106</v>
      </c>
      <c r="F61" s="96"/>
      <c r="G61" s="96"/>
      <c r="H61" s="96"/>
      <c r="I61" s="96"/>
      <c r="J61" s="96"/>
      <c r="K61" s="96"/>
      <c r="L61" s="96"/>
      <c r="M61" s="96"/>
      <c r="N61" s="96"/>
      <c r="O61" s="96"/>
      <c r="P61" s="96"/>
      <c r="Q61" s="96"/>
      <c r="R61" s="96"/>
      <c r="S61" s="96"/>
      <c r="T61" s="96"/>
      <c r="U61" s="96"/>
      <c r="V61" s="96"/>
      <c r="W61" s="96"/>
      <c r="X61" s="96"/>
      <c r="Y61" s="96"/>
      <c r="Z61" s="96"/>
      <c r="AA61" s="96"/>
    </row>
    <row r="62" spans="2:27">
      <c r="B62" s="153">
        <v>1.3</v>
      </c>
      <c r="C62" s="138" t="s">
        <v>443</v>
      </c>
      <c r="D62" s="152"/>
      <c r="E62" s="153" t="s">
        <v>106</v>
      </c>
      <c r="F62" s="96"/>
      <c r="G62" s="96"/>
      <c r="H62" s="96"/>
      <c r="I62" s="96"/>
      <c r="J62" s="96"/>
      <c r="K62" s="96"/>
      <c r="L62" s="96"/>
      <c r="M62" s="96"/>
      <c r="N62" s="96"/>
      <c r="O62" s="96"/>
      <c r="P62" s="96"/>
      <c r="Q62" s="96"/>
      <c r="R62" s="96"/>
      <c r="S62" s="96"/>
      <c r="T62" s="96"/>
      <c r="U62" s="96"/>
      <c r="V62" s="96"/>
      <c r="W62" s="96"/>
      <c r="X62" s="96"/>
      <c r="Y62" s="96"/>
      <c r="Z62" s="96"/>
      <c r="AA62" s="96"/>
    </row>
    <row r="63" spans="2:27">
      <c r="B63" s="153">
        <v>1.4</v>
      </c>
      <c r="C63" s="138" t="s">
        <v>444</v>
      </c>
      <c r="D63" s="152"/>
      <c r="E63" s="153" t="s">
        <v>106</v>
      </c>
      <c r="F63" s="96"/>
      <c r="G63" s="96"/>
      <c r="H63" s="96"/>
      <c r="I63" s="96"/>
      <c r="J63" s="96"/>
      <c r="K63" s="96"/>
      <c r="L63" s="96"/>
      <c r="M63" s="96"/>
      <c r="N63" s="96"/>
      <c r="O63" s="96"/>
      <c r="P63" s="96"/>
      <c r="Q63" s="96"/>
      <c r="R63" s="96"/>
      <c r="S63" s="96"/>
      <c r="T63" s="96"/>
      <c r="U63" s="96"/>
      <c r="V63" s="96"/>
      <c r="W63" s="96"/>
      <c r="X63" s="96"/>
      <c r="Y63" s="96"/>
      <c r="Z63" s="96"/>
      <c r="AA63" s="96"/>
    </row>
    <row r="64" spans="2:27">
      <c r="B64" s="149" t="s">
        <v>342</v>
      </c>
      <c r="C64" s="151" t="s">
        <v>326</v>
      </c>
      <c r="D64" s="152"/>
      <c r="E64" s="153" t="s">
        <v>106</v>
      </c>
      <c r="F64" s="96">
        <f>SUM(F65:F66)</f>
        <v>0</v>
      </c>
      <c r="G64" s="96">
        <f t="shared" ref="G64:AA64" si="19">SUM(G65:G66)</f>
        <v>0</v>
      </c>
      <c r="H64" s="96">
        <f t="shared" si="19"/>
        <v>0</v>
      </c>
      <c r="I64" s="96">
        <f t="shared" si="19"/>
        <v>0</v>
      </c>
      <c r="J64" s="96">
        <f t="shared" si="19"/>
        <v>0</v>
      </c>
      <c r="K64" s="96">
        <f t="shared" si="19"/>
        <v>0</v>
      </c>
      <c r="L64" s="96">
        <f t="shared" si="19"/>
        <v>0</v>
      </c>
      <c r="M64" s="96">
        <f t="shared" si="19"/>
        <v>0</v>
      </c>
      <c r="N64" s="96">
        <f t="shared" si="19"/>
        <v>0</v>
      </c>
      <c r="O64" s="96">
        <f t="shared" si="19"/>
        <v>0</v>
      </c>
      <c r="P64" s="96">
        <f t="shared" si="19"/>
        <v>0</v>
      </c>
      <c r="Q64" s="96">
        <f t="shared" si="19"/>
        <v>0</v>
      </c>
      <c r="R64" s="96">
        <f t="shared" si="19"/>
        <v>0</v>
      </c>
      <c r="S64" s="96">
        <f t="shared" si="19"/>
        <v>0</v>
      </c>
      <c r="T64" s="96">
        <f t="shared" si="19"/>
        <v>0</v>
      </c>
      <c r="U64" s="96">
        <f t="shared" si="19"/>
        <v>0</v>
      </c>
      <c r="V64" s="96">
        <f t="shared" si="19"/>
        <v>0</v>
      </c>
      <c r="W64" s="96">
        <f t="shared" si="19"/>
        <v>0</v>
      </c>
      <c r="X64" s="96">
        <f t="shared" si="19"/>
        <v>0</v>
      </c>
      <c r="Y64" s="96">
        <f t="shared" si="19"/>
        <v>0</v>
      </c>
      <c r="Z64" s="96">
        <f t="shared" si="19"/>
        <v>0</v>
      </c>
      <c r="AA64" s="96">
        <f t="shared" si="19"/>
        <v>0</v>
      </c>
    </row>
    <row r="65" spans="2:27">
      <c r="B65" s="153">
        <v>2.1</v>
      </c>
      <c r="C65" s="138" t="s">
        <v>445</v>
      </c>
      <c r="D65" s="152"/>
      <c r="E65" s="153" t="s">
        <v>106</v>
      </c>
      <c r="F65" s="96"/>
      <c r="G65" s="96"/>
      <c r="H65" s="96"/>
      <c r="I65" s="96"/>
      <c r="J65" s="96"/>
      <c r="K65" s="96"/>
      <c r="L65" s="96"/>
      <c r="M65" s="96"/>
      <c r="N65" s="96"/>
      <c r="O65" s="96"/>
      <c r="P65" s="96"/>
      <c r="Q65" s="96"/>
      <c r="R65" s="96"/>
      <c r="S65" s="96"/>
      <c r="T65" s="96"/>
      <c r="U65" s="96"/>
      <c r="V65" s="96"/>
      <c r="W65" s="96"/>
      <c r="X65" s="96"/>
      <c r="Y65" s="96"/>
      <c r="Z65" s="96"/>
      <c r="AA65" s="96"/>
    </row>
    <row r="66" spans="2:27">
      <c r="B66" s="153">
        <v>2.2000000000000002</v>
      </c>
      <c r="C66" s="138" t="s">
        <v>446</v>
      </c>
      <c r="D66" s="152"/>
      <c r="E66" s="153" t="s">
        <v>106</v>
      </c>
      <c r="F66" s="96"/>
      <c r="G66" s="96"/>
      <c r="H66" s="96"/>
      <c r="I66" s="96"/>
      <c r="J66" s="96"/>
      <c r="K66" s="96"/>
      <c r="L66" s="96"/>
      <c r="M66" s="96"/>
      <c r="N66" s="96"/>
      <c r="O66" s="96"/>
      <c r="P66" s="96"/>
      <c r="Q66" s="96"/>
      <c r="R66" s="96"/>
      <c r="S66" s="96"/>
      <c r="T66" s="96"/>
      <c r="U66" s="96"/>
      <c r="V66" s="96"/>
      <c r="W66" s="96"/>
      <c r="X66" s="96"/>
      <c r="Y66" s="96"/>
      <c r="Z66" s="96"/>
      <c r="AA66" s="96"/>
    </row>
    <row r="67" spans="2:27">
      <c r="B67" s="149" t="s">
        <v>343</v>
      </c>
      <c r="C67" s="151" t="s">
        <v>29</v>
      </c>
      <c r="D67" s="152"/>
      <c r="E67" s="153" t="s">
        <v>106</v>
      </c>
      <c r="F67" s="96">
        <f>F59-F64</f>
        <v>0</v>
      </c>
      <c r="G67" s="96">
        <f t="shared" ref="G67:AA67" si="20">G59-G64</f>
        <v>0</v>
      </c>
      <c r="H67" s="96">
        <f t="shared" si="20"/>
        <v>0</v>
      </c>
      <c r="I67" s="96">
        <f t="shared" si="20"/>
        <v>0</v>
      </c>
      <c r="J67" s="96">
        <f t="shared" si="20"/>
        <v>0</v>
      </c>
      <c r="K67" s="96">
        <f t="shared" si="20"/>
        <v>0</v>
      </c>
      <c r="L67" s="96">
        <f t="shared" si="20"/>
        <v>0</v>
      </c>
      <c r="M67" s="96">
        <f t="shared" si="20"/>
        <v>0</v>
      </c>
      <c r="N67" s="96">
        <f t="shared" si="20"/>
        <v>0</v>
      </c>
      <c r="O67" s="96">
        <f t="shared" si="20"/>
        <v>0</v>
      </c>
      <c r="P67" s="96">
        <f t="shared" si="20"/>
        <v>0</v>
      </c>
      <c r="Q67" s="96">
        <f t="shared" si="20"/>
        <v>0</v>
      </c>
      <c r="R67" s="96">
        <f t="shared" si="20"/>
        <v>0</v>
      </c>
      <c r="S67" s="96">
        <f t="shared" si="20"/>
        <v>0</v>
      </c>
      <c r="T67" s="96">
        <f t="shared" si="20"/>
        <v>0</v>
      </c>
      <c r="U67" s="96">
        <f t="shared" si="20"/>
        <v>0</v>
      </c>
      <c r="V67" s="96">
        <f t="shared" si="20"/>
        <v>0</v>
      </c>
      <c r="W67" s="96">
        <f t="shared" si="20"/>
        <v>0</v>
      </c>
      <c r="X67" s="96">
        <f t="shared" si="20"/>
        <v>0</v>
      </c>
      <c r="Y67" s="96">
        <f t="shared" si="20"/>
        <v>0</v>
      </c>
      <c r="Z67" s="96">
        <f t="shared" si="20"/>
        <v>0</v>
      </c>
      <c r="AA67" s="96">
        <f t="shared" si="20"/>
        <v>0</v>
      </c>
    </row>
    <row r="68" spans="2:27">
      <c r="B68" s="149" t="s">
        <v>345</v>
      </c>
      <c r="C68" s="151" t="s">
        <v>447</v>
      </c>
      <c r="D68" s="96"/>
      <c r="E68" s="153" t="s">
        <v>106</v>
      </c>
      <c r="F68" s="96">
        <f>F67</f>
        <v>0</v>
      </c>
      <c r="G68" s="96">
        <f>G67-F67</f>
        <v>0</v>
      </c>
      <c r="H68" s="96">
        <f t="shared" ref="H68:AA68" si="21">H67-G67</f>
        <v>0</v>
      </c>
      <c r="I68" s="96">
        <f t="shared" si="21"/>
        <v>0</v>
      </c>
      <c r="J68" s="96">
        <f t="shared" si="21"/>
        <v>0</v>
      </c>
      <c r="K68" s="96">
        <f t="shared" si="21"/>
        <v>0</v>
      </c>
      <c r="L68" s="96">
        <f t="shared" si="21"/>
        <v>0</v>
      </c>
      <c r="M68" s="96">
        <f t="shared" si="21"/>
        <v>0</v>
      </c>
      <c r="N68" s="96">
        <f t="shared" si="21"/>
        <v>0</v>
      </c>
      <c r="O68" s="96">
        <f t="shared" si="21"/>
        <v>0</v>
      </c>
      <c r="P68" s="96">
        <f t="shared" si="21"/>
        <v>0</v>
      </c>
      <c r="Q68" s="96">
        <f t="shared" si="21"/>
        <v>0</v>
      </c>
      <c r="R68" s="96">
        <f t="shared" si="21"/>
        <v>0</v>
      </c>
      <c r="S68" s="96">
        <f t="shared" si="21"/>
        <v>0</v>
      </c>
      <c r="T68" s="96">
        <f t="shared" si="21"/>
        <v>0</v>
      </c>
      <c r="U68" s="96">
        <f t="shared" si="21"/>
        <v>0</v>
      </c>
      <c r="V68" s="96">
        <f t="shared" si="21"/>
        <v>0</v>
      </c>
      <c r="W68" s="96">
        <f t="shared" si="21"/>
        <v>0</v>
      </c>
      <c r="X68" s="96">
        <f t="shared" si="21"/>
        <v>0</v>
      </c>
      <c r="Y68" s="96">
        <f t="shared" si="21"/>
        <v>0</v>
      </c>
      <c r="Z68" s="96">
        <f t="shared" si="21"/>
        <v>0</v>
      </c>
      <c r="AA68" s="96">
        <f t="shared" si="21"/>
        <v>0</v>
      </c>
    </row>
    <row r="70" spans="2:27">
      <c r="C70" s="99" t="s">
        <v>448</v>
      </c>
    </row>
    <row r="71" spans="2:27">
      <c r="C71" s="99" t="s">
        <v>449</v>
      </c>
    </row>
  </sheetData>
  <mergeCells count="12">
    <mergeCell ref="F3:G3"/>
    <mergeCell ref="H3:AA3"/>
    <mergeCell ref="F57:G57"/>
    <mergeCell ref="H57:AA57"/>
    <mergeCell ref="B3:B4"/>
    <mergeCell ref="B57:B58"/>
    <mergeCell ref="C3:C4"/>
    <mergeCell ref="C57:C58"/>
    <mergeCell ref="D3:D4"/>
    <mergeCell ref="D57:D58"/>
    <mergeCell ref="E3:E4"/>
    <mergeCell ref="E57:E58"/>
  </mergeCells>
  <phoneticPr fontId="6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1"/>
  <sheetViews>
    <sheetView showGridLines="0" zoomScale="70" zoomScaleNormal="70" workbookViewId="0">
      <selection activeCell="H8" sqref="H8"/>
    </sheetView>
  </sheetViews>
  <sheetFormatPr defaultColWidth="8.81640625" defaultRowHeight="16.5"/>
  <cols>
    <col min="1" max="1" width="2.36328125" style="59" customWidth="1"/>
    <col min="2" max="2" width="8.81640625" style="59"/>
    <col min="3" max="3" width="35" style="59" customWidth="1"/>
    <col min="4" max="4" width="17.36328125" style="59" customWidth="1"/>
    <col min="5" max="5" width="10.81640625" style="59" customWidth="1"/>
    <col min="6" max="27" width="12.453125" style="59" customWidth="1"/>
    <col min="28" max="16384" width="8.81640625" style="59"/>
  </cols>
  <sheetData>
    <row r="1" spans="2:27" ht="8.5" customHeight="1"/>
    <row r="2" spans="2:27" ht="18.649999999999999" customHeight="1">
      <c r="B2" s="41" t="s">
        <v>450</v>
      </c>
    </row>
    <row r="3" spans="2:27">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c r="B5" s="80">
        <v>1</v>
      </c>
      <c r="C5" s="81" t="s">
        <v>451</v>
      </c>
      <c r="D5" s="82">
        <f t="shared" ref="D5:D34" si="0">SUM(F5:AA5)</f>
        <v>55978.052107398202</v>
      </c>
      <c r="E5" s="87" t="s">
        <v>106</v>
      </c>
      <c r="F5" s="44"/>
      <c r="G5" s="44"/>
      <c r="H5" s="109">
        <f>H6+H7</f>
        <v>2781.8166170265499</v>
      </c>
      <c r="I5" s="109">
        <f t="shared" ref="I5:AA5" si="1">I6+I7</f>
        <v>2781.8166170265499</v>
      </c>
      <c r="J5" s="109">
        <f t="shared" si="1"/>
        <v>2781.8166170265499</v>
      </c>
      <c r="K5" s="109">
        <f t="shared" si="1"/>
        <v>2781.8166170265499</v>
      </c>
      <c r="L5" s="109">
        <f t="shared" si="1"/>
        <v>2781.8166170265499</v>
      </c>
      <c r="M5" s="109">
        <f t="shared" si="1"/>
        <v>2804.5979348177002</v>
      </c>
      <c r="N5" s="109">
        <f t="shared" si="1"/>
        <v>2804.5979348177002</v>
      </c>
      <c r="O5" s="109">
        <f t="shared" si="1"/>
        <v>2804.5979348177002</v>
      </c>
      <c r="P5" s="109">
        <f t="shared" si="1"/>
        <v>2804.5979348177002</v>
      </c>
      <c r="Q5" s="109">
        <f t="shared" si="1"/>
        <v>2804.5979348177002</v>
      </c>
      <c r="R5" s="109">
        <f t="shared" si="1"/>
        <v>2804.5979348177002</v>
      </c>
      <c r="S5" s="109">
        <f t="shared" si="1"/>
        <v>2804.5979348177002</v>
      </c>
      <c r="T5" s="109">
        <f t="shared" si="1"/>
        <v>2804.5979348177002</v>
      </c>
      <c r="U5" s="109">
        <f t="shared" si="1"/>
        <v>2804.5979348177002</v>
      </c>
      <c r="V5" s="109">
        <f t="shared" si="1"/>
        <v>2804.5979348177002</v>
      </c>
      <c r="W5" s="109">
        <f t="shared" si="1"/>
        <v>2804.5979348177002</v>
      </c>
      <c r="X5" s="109">
        <f t="shared" si="1"/>
        <v>2804.5979348177002</v>
      </c>
      <c r="Y5" s="109">
        <f t="shared" si="1"/>
        <v>2804.5979348177002</v>
      </c>
      <c r="Z5" s="109">
        <f t="shared" si="1"/>
        <v>2804.5979348177002</v>
      </c>
      <c r="AA5" s="109">
        <f t="shared" si="1"/>
        <v>2804.5979348177002</v>
      </c>
    </row>
    <row r="6" spans="2:27">
      <c r="B6" s="84">
        <v>1.1000000000000001</v>
      </c>
      <c r="C6" s="85" t="s">
        <v>242</v>
      </c>
      <c r="D6" s="86">
        <f t="shared" si="0"/>
        <v>55978.052107398202</v>
      </c>
      <c r="E6" s="87" t="s">
        <v>106</v>
      </c>
      <c r="F6" s="50"/>
      <c r="G6" s="50"/>
      <c r="H6" s="50">
        <f>'表4-收入税金表'!H6</f>
        <v>2781.8166170265499</v>
      </c>
      <c r="I6" s="50">
        <f>'表4-收入税金表'!I6</f>
        <v>2781.8166170265499</v>
      </c>
      <c r="J6" s="50">
        <f>'表4-收入税金表'!J6</f>
        <v>2781.8166170265499</v>
      </c>
      <c r="K6" s="50">
        <f>'表4-收入税金表'!K6</f>
        <v>2781.8166170265499</v>
      </c>
      <c r="L6" s="50">
        <f>'表4-收入税金表'!L6</f>
        <v>2781.8166170265499</v>
      </c>
      <c r="M6" s="50">
        <f>'表4-收入税金表'!M6</f>
        <v>2804.5979348177002</v>
      </c>
      <c r="N6" s="50">
        <f>'表4-收入税金表'!N6</f>
        <v>2804.5979348177002</v>
      </c>
      <c r="O6" s="50">
        <f>'表4-收入税金表'!O6</f>
        <v>2804.5979348177002</v>
      </c>
      <c r="P6" s="50">
        <f>'表4-收入税金表'!P6</f>
        <v>2804.5979348177002</v>
      </c>
      <c r="Q6" s="50">
        <f>'表4-收入税金表'!Q6</f>
        <v>2804.5979348177002</v>
      </c>
      <c r="R6" s="50">
        <f>'表4-收入税金表'!R6</f>
        <v>2804.5979348177002</v>
      </c>
      <c r="S6" s="50">
        <f>'表4-收入税金表'!S6</f>
        <v>2804.5979348177002</v>
      </c>
      <c r="T6" s="50">
        <f>'表4-收入税金表'!T6</f>
        <v>2804.5979348177002</v>
      </c>
      <c r="U6" s="50">
        <f>'表4-收入税金表'!U6</f>
        <v>2804.5979348177002</v>
      </c>
      <c r="V6" s="50">
        <f>'表4-收入税金表'!V6</f>
        <v>2804.5979348177002</v>
      </c>
      <c r="W6" s="50">
        <f>'表4-收入税金表'!W6</f>
        <v>2804.5979348177002</v>
      </c>
      <c r="X6" s="50">
        <f>'表4-收入税金表'!X6</f>
        <v>2804.5979348177002</v>
      </c>
      <c r="Y6" s="50">
        <f>'表4-收入税金表'!Y6</f>
        <v>2804.5979348177002</v>
      </c>
      <c r="Z6" s="50">
        <f>'表4-收入税金表'!Z6</f>
        <v>2804.5979348177002</v>
      </c>
      <c r="AA6" s="50">
        <f>'表4-收入税金表'!AA6</f>
        <v>2804.5979348177002</v>
      </c>
    </row>
    <row r="7" spans="2:27">
      <c r="B7" s="88">
        <v>1.2</v>
      </c>
      <c r="C7" s="89" t="s">
        <v>259</v>
      </c>
      <c r="D7" s="86">
        <f t="shared" si="0"/>
        <v>0</v>
      </c>
      <c r="E7" s="87" t="s">
        <v>106</v>
      </c>
      <c r="F7" s="50"/>
      <c r="G7" s="50"/>
      <c r="H7" s="50">
        <f>'表4-收入税金表'!H16</f>
        <v>0</v>
      </c>
      <c r="I7" s="50">
        <f>'表4-收入税金表'!I16</f>
        <v>0</v>
      </c>
      <c r="J7" s="50">
        <f>'表4-收入税金表'!J16</f>
        <v>0</v>
      </c>
      <c r="K7" s="50">
        <f>'表4-收入税金表'!K16</f>
        <v>0</v>
      </c>
      <c r="L7" s="50">
        <f>'表4-收入税金表'!L16</f>
        <v>0</v>
      </c>
      <c r="M7" s="50">
        <f>'表4-收入税金表'!M16</f>
        <v>0</v>
      </c>
      <c r="N7" s="50">
        <f>'表4-收入税金表'!N16</f>
        <v>0</v>
      </c>
      <c r="O7" s="50">
        <f>'表4-收入税金表'!O16</f>
        <v>0</v>
      </c>
      <c r="P7" s="50">
        <f>'表4-收入税金表'!P16</f>
        <v>0</v>
      </c>
      <c r="Q7" s="50">
        <f>'表4-收入税金表'!Q16</f>
        <v>0</v>
      </c>
      <c r="R7" s="50">
        <f>'表4-收入税金表'!R16</f>
        <v>0</v>
      </c>
      <c r="S7" s="50">
        <f>'表4-收入税金表'!S16</f>
        <v>0</v>
      </c>
      <c r="T7" s="50">
        <f>'表4-收入税金表'!T16</f>
        <v>0</v>
      </c>
      <c r="U7" s="50">
        <f>'表4-收入税金表'!U16</f>
        <v>0</v>
      </c>
      <c r="V7" s="50">
        <f>'表4-收入税金表'!V16</f>
        <v>0</v>
      </c>
      <c r="W7" s="50">
        <f>'表4-收入税金表'!W16</f>
        <v>0</v>
      </c>
      <c r="X7" s="50">
        <f>'表4-收入税金表'!X16</f>
        <v>0</v>
      </c>
      <c r="Y7" s="50">
        <f>'表4-收入税金表'!Y16</f>
        <v>0</v>
      </c>
      <c r="Z7" s="50">
        <f>'表4-收入税金表'!Z16</f>
        <v>0</v>
      </c>
      <c r="AA7" s="50">
        <f>'表4-收入税金表'!AA16</f>
        <v>0</v>
      </c>
    </row>
    <row r="8" spans="2:27">
      <c r="B8" s="69">
        <v>2</v>
      </c>
      <c r="C8" s="90" t="s">
        <v>388</v>
      </c>
      <c r="D8" s="82">
        <f t="shared" ca="1" si="0"/>
        <v>40115.553721342068</v>
      </c>
      <c r="E8" s="87" t="s">
        <v>106</v>
      </c>
      <c r="F8" s="50"/>
      <c r="G8" s="50"/>
      <c r="H8" s="46">
        <f ca="1">'表3-成本费用表'!H5</f>
        <v>2602.9062690706078</v>
      </c>
      <c r="I8" s="46">
        <f ca="1">'表3-成本费用表'!I49-'表3-成本费用表'!I53+'表3-成本费用表'!I15+'表3-成本费用表'!I16+'表3-成本费用表'!I19+'表3-成本费用表'!I20+'表2-折旧摊销表'!I38</f>
        <v>2555.3814815441037</v>
      </c>
      <c r="J8" s="46">
        <f ca="1">'表3-成本费用表'!J49-'表3-成本费用表'!J53+'表3-成本费用表'!J15+'表3-成本费用表'!J16+'表3-成本费用表'!J19+'表3-成本费用表'!J20+'表2-折旧摊销表'!J38</f>
        <v>2507.8566940175988</v>
      </c>
      <c r="K8" s="46">
        <f ca="1">'表3-成本费用表'!K49-'表3-成本费用表'!K53+'表3-成本费用表'!K15+'表3-成本费用表'!K16+'表3-成本费用表'!K19+'表3-成本费用表'!K20+'表2-折旧摊销表'!K38</f>
        <v>2460.3319064910943</v>
      </c>
      <c r="L8" s="46">
        <f ca="1">'表3-成本费用表'!L49-'表3-成本费用表'!L53+'表3-成本费用表'!L15+'表3-成本费用表'!L16+'表3-成本费用表'!L19+'表3-成本费用表'!L20+'表2-折旧摊销表'!L38</f>
        <v>2412.8071189645898</v>
      </c>
      <c r="M8" s="46">
        <f ca="1">'表3-成本费用表'!M49-'表3-成本费用表'!M53+'表3-成本费用表'!M15+'表3-成本费用表'!M16+'表3-成本费用表'!M19+'表3-成本费用表'!M20+'表2-折旧摊销表'!M38</f>
        <v>2475.7055550051455</v>
      </c>
      <c r="N8" s="46">
        <f ca="1">'表3-成本费用表'!N49-'表3-成本费用表'!N53+'表3-成本费用表'!N15+'表3-成本费用表'!N16+'表3-成本费用表'!N19+'表3-成本费用表'!N20+'表2-折旧摊销表'!N38</f>
        <v>2428.1807674786405</v>
      </c>
      <c r="O8" s="46">
        <f ca="1">'表3-成本费用表'!O49-'表3-成本费用表'!O53+'表3-成本费用表'!O15+'表3-成本费用表'!O16+'表3-成本费用表'!O19+'表3-成本费用表'!O20+'表2-折旧摊销表'!O38</f>
        <v>2380.655979952136</v>
      </c>
      <c r="P8" s="46">
        <f ca="1">'表3-成本费用表'!P49-'表3-成本费用表'!P53+'表3-成本费用表'!P15+'表3-成本费用表'!P16+'表3-成本费用表'!P19+'表3-成本费用表'!P20+'表2-折旧摊销表'!P38</f>
        <v>2333.1311924256315</v>
      </c>
      <c r="Q8" s="46">
        <f ca="1">'表3-成本费用表'!Q49-'表3-成本费用表'!Q53+'表3-成本费用表'!Q15+'表3-成本费用表'!Q16+'表3-成本费用表'!Q19+'表3-成本费用表'!Q20+'表2-折旧摊销表'!Q38</f>
        <v>2285.606404899127</v>
      </c>
      <c r="R8" s="46">
        <f ca="1">'表3-成本费用表'!R49-'表3-成本费用表'!R53+'表3-成本费用表'!R15+'表3-成本费用表'!R16+'表3-成本费用表'!R19+'表3-成本费用表'!R20+'表2-折旧摊销表'!R38</f>
        <v>2388.8588232405664</v>
      </c>
      <c r="S8" s="46">
        <f ca="1">'表3-成本费用表'!S49-'表3-成本费用表'!S53+'表3-成本费用表'!S15+'表3-成本费用表'!S16+'表3-成本费用表'!S19+'表3-成本费用表'!S20+'表2-折旧摊销表'!S38</f>
        <v>2341.3340357140619</v>
      </c>
      <c r="T8" s="46">
        <f ca="1">'表3-成本费用表'!T49-'表3-成本费用表'!T53+'表3-成本费用表'!T15+'表3-成本费用表'!T16+'表3-成本费用表'!T19+'表3-成本费用表'!T20+'表2-折旧摊销表'!T38</f>
        <v>2293.8092481875574</v>
      </c>
      <c r="U8" s="46">
        <f ca="1">'表3-成本费用表'!U49-'表3-成本费用表'!U53+'表3-成本费用表'!U15+'表3-成本费用表'!U16+'表3-成本费用表'!U19+'表3-成本费用表'!U20+'表2-折旧摊销表'!U38</f>
        <v>2246.2844606610524</v>
      </c>
      <c r="V8" s="46">
        <f ca="1">'表3-成本费用表'!V49-'表3-成本费用表'!V53+'表3-成本费用表'!V15+'表3-成本费用表'!V16+'表3-成本费用表'!V19+'表3-成本费用表'!V20+'表2-折旧摊销表'!V38</f>
        <v>2198.7596731345479</v>
      </c>
      <c r="W8" s="46">
        <f ca="1">'表3-成本费用表'!W49-'表3-成本费用表'!W53+'表3-成本费用表'!W15+'表3-成本费用表'!W16+'表3-成本费用表'!W19+'表3-成本费用表'!W20+'表2-折旧摊销表'!W38</f>
        <v>840.78882211112216</v>
      </c>
      <c r="X8" s="46">
        <f ca="1">'表3-成本费用表'!X49-'表3-成本费用表'!X53+'表3-成本费用表'!X15+'表3-成本费用表'!X16+'表3-成本费用表'!X19+'表3-成本费用表'!X20+'表2-折旧摊销表'!X38</f>
        <v>840.78882211112216</v>
      </c>
      <c r="Y8" s="46">
        <f ca="1">'表3-成本费用表'!Y49-'表3-成本费用表'!Y53+'表3-成本费用表'!Y15+'表3-成本费用表'!Y16+'表3-成本费用表'!Y19+'表3-成本费用表'!Y20+'表2-折旧摊销表'!Y38</f>
        <v>840.78882211112216</v>
      </c>
      <c r="Z8" s="46">
        <f ca="1">'表3-成本费用表'!Z49-'表3-成本费用表'!Z53+'表3-成本费用表'!Z15+'表3-成本费用表'!Z16+'表3-成本费用表'!Z19+'表3-成本费用表'!Z20+'表2-折旧摊销表'!Z38</f>
        <v>840.78882211112216</v>
      </c>
      <c r="AA8" s="46">
        <f ca="1">'表3-成本费用表'!AA49-'表3-成本费用表'!AA53+'表3-成本费用表'!AA15+'表3-成本费用表'!AA16+'表3-成本费用表'!AA19+'表3-成本费用表'!AA20+'表2-折旧摊销表'!AA38</f>
        <v>840.78882211112216</v>
      </c>
    </row>
    <row r="9" spans="2:27">
      <c r="B9" s="69">
        <v>3</v>
      </c>
      <c r="C9" s="91" t="s">
        <v>452</v>
      </c>
      <c r="D9" s="82">
        <f t="shared" ca="1" si="0"/>
        <v>588.50522981227414</v>
      </c>
      <c r="E9" s="87" t="s">
        <v>106</v>
      </c>
      <c r="F9" s="50"/>
      <c r="G9" s="50"/>
      <c r="H9" s="46">
        <f ca="1">'表4-收入税金表'!H46+'表4-收入税金表'!H50</f>
        <v>0</v>
      </c>
      <c r="I9" s="46">
        <f ca="1">'表4-收入税金表'!I46+'表4-收入税金表'!I50</f>
        <v>0</v>
      </c>
      <c r="J9" s="46">
        <f ca="1">'表4-收入税金表'!J46+'表4-收入税金表'!J50</f>
        <v>0</v>
      </c>
      <c r="K9" s="46">
        <f ca="1">'表4-收入税金表'!K46+'表4-收入税金表'!K50</f>
        <v>0</v>
      </c>
      <c r="L9" s="46">
        <f ca="1">'表4-收入税金表'!L46+'表4-收入税金表'!L50</f>
        <v>0</v>
      </c>
      <c r="M9" s="46">
        <f ca="1">'表4-收入税金表'!M46+'表4-收入税金表'!M50</f>
        <v>0</v>
      </c>
      <c r="N9" s="46">
        <f ca="1">'表4-收入税金表'!N46+'表4-收入税金表'!N50</f>
        <v>26.359317303810823</v>
      </c>
      <c r="O9" s="46">
        <f ca="1">'表4-收入税金表'!O46+'表4-收入税金表'!O50</f>
        <v>43.751727783156127</v>
      </c>
      <c r="P9" s="46">
        <f ca="1">'表4-收入税金表'!P46+'表4-收入税金表'!P50</f>
        <v>43.751727783156127</v>
      </c>
      <c r="Q9" s="46">
        <f ca="1">'表4-收入税金表'!Q46+'表4-收入税金表'!Q50</f>
        <v>43.751727783156127</v>
      </c>
      <c r="R9" s="46">
        <f ca="1">'表4-收入税金表'!R46+'表4-收入税金表'!R50</f>
        <v>37.125179110589748</v>
      </c>
      <c r="S9" s="46">
        <f ca="1">'表4-收入税金表'!S46+'表4-收入税金表'!S50</f>
        <v>43.751727783156127</v>
      </c>
      <c r="T9" s="46">
        <f ca="1">'表4-收入税金表'!T46+'表4-收入税金表'!T50</f>
        <v>43.751727783156127</v>
      </c>
      <c r="U9" s="46">
        <f ca="1">'表4-收入税金表'!U46+'表4-收入税金表'!U50</f>
        <v>43.751727783156127</v>
      </c>
      <c r="V9" s="46">
        <f ca="1">'表4-收入税金表'!V46+'表4-收入税金表'!V50</f>
        <v>43.751727783156127</v>
      </c>
      <c r="W9" s="46">
        <f ca="1">'表4-收入税金表'!W46+'表4-收入税金表'!W50</f>
        <v>43.751727783156127</v>
      </c>
      <c r="X9" s="46">
        <f ca="1">'表4-收入税金表'!X46+'表4-收入税金表'!X50</f>
        <v>43.751727783156127</v>
      </c>
      <c r="Y9" s="46">
        <f ca="1">'表4-收入税金表'!Y46+'表4-收入税金表'!Y50</f>
        <v>43.751727783156127</v>
      </c>
      <c r="Z9" s="46">
        <f ca="1">'表4-收入税金表'!Z46+'表4-收入税金表'!Z50</f>
        <v>43.751727783156127</v>
      </c>
      <c r="AA9" s="46">
        <f ca="1">'表4-收入税金表'!AA46+'表4-收入税金表'!AA50</f>
        <v>43.751727783156127</v>
      </c>
    </row>
    <row r="10" spans="2:27">
      <c r="B10" s="69">
        <v>4</v>
      </c>
      <c r="C10" s="90" t="s">
        <v>263</v>
      </c>
      <c r="D10" s="82">
        <f t="shared" ca="1" si="0"/>
        <v>2452.1051242178078</v>
      </c>
      <c r="E10" s="87" t="s">
        <v>106</v>
      </c>
      <c r="F10" s="50"/>
      <c r="G10" s="50"/>
      <c r="H10" s="46">
        <f ca="1">SUM(H11:H12)</f>
        <v>0</v>
      </c>
      <c r="I10" s="46">
        <f t="shared" ref="I10:AA10" ca="1" si="2">SUM(I11:I12)</f>
        <v>0</v>
      </c>
      <c r="J10" s="46">
        <f t="shared" ca="1" si="2"/>
        <v>0</v>
      </c>
      <c r="K10" s="46">
        <f t="shared" ca="1" si="2"/>
        <v>0</v>
      </c>
      <c r="L10" s="46">
        <f t="shared" ca="1" si="2"/>
        <v>0</v>
      </c>
      <c r="M10" s="46">
        <f t="shared" ca="1" si="2"/>
        <v>0</v>
      </c>
      <c r="N10" s="46">
        <f t="shared" ca="1" si="2"/>
        <v>109.83048876587841</v>
      </c>
      <c r="O10" s="46">
        <f t="shared" ca="1" si="2"/>
        <v>182.2988657631505</v>
      </c>
      <c r="P10" s="46">
        <f t="shared" ca="1" si="2"/>
        <v>182.2988657631505</v>
      </c>
      <c r="Q10" s="46">
        <f t="shared" ca="1" si="2"/>
        <v>182.2988657631505</v>
      </c>
      <c r="R10" s="46">
        <f t="shared" ca="1" si="2"/>
        <v>154.68824629412396</v>
      </c>
      <c r="S10" s="46">
        <f t="shared" ca="1" si="2"/>
        <v>182.2988657631505</v>
      </c>
      <c r="T10" s="46">
        <f t="shared" ca="1" si="2"/>
        <v>182.2988657631505</v>
      </c>
      <c r="U10" s="46">
        <f t="shared" ca="1" si="2"/>
        <v>182.2988657631505</v>
      </c>
      <c r="V10" s="46">
        <f t="shared" ca="1" si="2"/>
        <v>182.2988657631505</v>
      </c>
      <c r="W10" s="46">
        <f t="shared" ca="1" si="2"/>
        <v>182.2988657631505</v>
      </c>
      <c r="X10" s="46">
        <f t="shared" ca="1" si="2"/>
        <v>182.2988657631505</v>
      </c>
      <c r="Y10" s="46">
        <f t="shared" ca="1" si="2"/>
        <v>182.2988657631505</v>
      </c>
      <c r="Z10" s="46">
        <f t="shared" ca="1" si="2"/>
        <v>182.2988657631505</v>
      </c>
      <c r="AA10" s="46">
        <f t="shared" ca="1" si="2"/>
        <v>182.2988657631505</v>
      </c>
    </row>
    <row r="11" spans="2:27">
      <c r="B11" s="88">
        <v>4.0999999999999996</v>
      </c>
      <c r="C11" s="92" t="s">
        <v>453</v>
      </c>
      <c r="D11" s="86">
        <f t="shared" si="0"/>
        <v>0</v>
      </c>
      <c r="E11" s="87" t="s">
        <v>106</v>
      </c>
      <c r="F11" s="50"/>
      <c r="G11" s="50"/>
      <c r="H11" s="50">
        <f>参数输入表!H246</f>
        <v>0</v>
      </c>
      <c r="I11" s="50">
        <f>参数输入表!H247</f>
        <v>0</v>
      </c>
      <c r="J11" s="50">
        <f>参数输入表!H248</f>
        <v>0</v>
      </c>
      <c r="K11" s="50">
        <f>参数输入表!H249</f>
        <v>0</v>
      </c>
      <c r="L11" s="50">
        <f>参数输入表!H250</f>
        <v>0</v>
      </c>
      <c r="M11" s="50">
        <f>参数输入表!H251</f>
        <v>0</v>
      </c>
      <c r="N11" s="50">
        <f>参数输入表!H252</f>
        <v>0</v>
      </c>
      <c r="O11" s="50">
        <f>参数输入表!H253</f>
        <v>0</v>
      </c>
      <c r="P11" s="50">
        <f>参数输入表!H254</f>
        <v>0</v>
      </c>
      <c r="Q11" s="50">
        <f>参数输入表!H255</f>
        <v>0</v>
      </c>
      <c r="R11" s="50">
        <f>参数输入表!H256</f>
        <v>0</v>
      </c>
      <c r="S11" s="50">
        <f>参数输入表!H257</f>
        <v>0</v>
      </c>
      <c r="T11" s="50">
        <f>参数输入表!H258</f>
        <v>0</v>
      </c>
      <c r="U11" s="50">
        <f>参数输入表!H259</f>
        <v>0</v>
      </c>
      <c r="V11" s="50">
        <f>参数输入表!H260</f>
        <v>0</v>
      </c>
      <c r="W11" s="50">
        <f>参数输入表!H261</f>
        <v>0</v>
      </c>
      <c r="X11" s="50">
        <f>参数输入表!H262</f>
        <v>0</v>
      </c>
      <c r="Y11" s="50">
        <f>参数输入表!H263</f>
        <v>0</v>
      </c>
      <c r="Z11" s="50">
        <f>参数输入表!H264</f>
        <v>0</v>
      </c>
      <c r="AA11" s="50">
        <f>参数输入表!H265</f>
        <v>0</v>
      </c>
    </row>
    <row r="12" spans="2:27">
      <c r="B12" s="88">
        <v>4.2</v>
      </c>
      <c r="C12" s="92" t="s">
        <v>454</v>
      </c>
      <c r="D12" s="86">
        <f t="shared" ca="1" si="0"/>
        <v>2452.1051242178078</v>
      </c>
      <c r="E12" s="87" t="s">
        <v>106</v>
      </c>
      <c r="F12" s="50"/>
      <c r="G12" s="50"/>
      <c r="H12" s="50">
        <f ca="1">'表4-收入税金表'!H19</f>
        <v>0</v>
      </c>
      <c r="I12" s="50">
        <f ca="1">'表4-收入税金表'!I19</f>
        <v>0</v>
      </c>
      <c r="J12" s="50">
        <f ca="1">'表4-收入税金表'!J19</f>
        <v>0</v>
      </c>
      <c r="K12" s="50">
        <f ca="1">'表4-收入税金表'!K19</f>
        <v>0</v>
      </c>
      <c r="L12" s="50">
        <f ca="1">'表4-收入税金表'!L19</f>
        <v>0</v>
      </c>
      <c r="M12" s="50">
        <f ca="1">'表4-收入税金表'!M19</f>
        <v>0</v>
      </c>
      <c r="N12" s="50">
        <f ca="1">'表4-收入税金表'!N19</f>
        <v>109.83048876587841</v>
      </c>
      <c r="O12" s="50">
        <f ca="1">'表4-收入税金表'!O19</f>
        <v>182.2988657631505</v>
      </c>
      <c r="P12" s="50">
        <f ca="1">'表4-收入税金表'!P19</f>
        <v>182.2988657631505</v>
      </c>
      <c r="Q12" s="50">
        <f ca="1">'表4-收入税金表'!Q19</f>
        <v>182.2988657631505</v>
      </c>
      <c r="R12" s="50">
        <f ca="1">'表4-收入税金表'!R19</f>
        <v>154.68824629412396</v>
      </c>
      <c r="S12" s="50">
        <f ca="1">'表4-收入税金表'!S19</f>
        <v>182.2988657631505</v>
      </c>
      <c r="T12" s="50">
        <f ca="1">'表4-收入税金表'!T19</f>
        <v>182.2988657631505</v>
      </c>
      <c r="U12" s="50">
        <f ca="1">'表4-收入税金表'!U19</f>
        <v>182.2988657631505</v>
      </c>
      <c r="V12" s="50">
        <f ca="1">'表4-收入税金表'!V19</f>
        <v>182.2988657631505</v>
      </c>
      <c r="W12" s="50">
        <f ca="1">'表4-收入税金表'!W19</f>
        <v>182.2988657631505</v>
      </c>
      <c r="X12" s="50">
        <f ca="1">'表4-收入税金表'!X19</f>
        <v>182.2988657631505</v>
      </c>
      <c r="Y12" s="50">
        <f ca="1">'表4-收入税金表'!Y19</f>
        <v>182.2988657631505</v>
      </c>
      <c r="Z12" s="50">
        <f ca="1">'表4-收入税金表'!Z19</f>
        <v>182.2988657631505</v>
      </c>
      <c r="AA12" s="50">
        <f ca="1">'表4-收入税金表'!AA19</f>
        <v>182.2988657631505</v>
      </c>
    </row>
    <row r="13" spans="2:27">
      <c r="B13" s="69">
        <v>5</v>
      </c>
      <c r="C13" s="90" t="s">
        <v>238</v>
      </c>
      <c r="D13" s="82">
        <f t="shared" si="0"/>
        <v>0</v>
      </c>
      <c r="E13" s="87" t="s">
        <v>106</v>
      </c>
      <c r="F13" s="50"/>
      <c r="G13" s="50"/>
      <c r="H13" s="46">
        <f>'表3-成本费用表'!H24</f>
        <v>0</v>
      </c>
      <c r="I13" s="46">
        <f>'表3-成本费用表'!I24</f>
        <v>0</v>
      </c>
      <c r="J13" s="46">
        <f>'表3-成本费用表'!J24</f>
        <v>0</v>
      </c>
      <c r="K13" s="46">
        <f>'表3-成本费用表'!K24</f>
        <v>0</v>
      </c>
      <c r="L13" s="46">
        <f>'表3-成本费用表'!L24</f>
        <v>0</v>
      </c>
      <c r="M13" s="46">
        <f>'表3-成本费用表'!M24</f>
        <v>0</v>
      </c>
      <c r="N13" s="46">
        <f>'表3-成本费用表'!N24</f>
        <v>0</v>
      </c>
      <c r="O13" s="46">
        <f>'表3-成本费用表'!O24</f>
        <v>0</v>
      </c>
      <c r="P13" s="46">
        <f>'表3-成本费用表'!P24</f>
        <v>0</v>
      </c>
      <c r="Q13" s="46">
        <f>'表3-成本费用表'!Q24</f>
        <v>0</v>
      </c>
      <c r="R13" s="46">
        <f>'表3-成本费用表'!R24</f>
        <v>0</v>
      </c>
      <c r="S13" s="46">
        <f>'表3-成本费用表'!S24</f>
        <v>0</v>
      </c>
      <c r="T13" s="46">
        <f>'表3-成本费用表'!T24</f>
        <v>0</v>
      </c>
      <c r="U13" s="46">
        <f>'表3-成本费用表'!U24</f>
        <v>0</v>
      </c>
      <c r="V13" s="46">
        <f>'表3-成本费用表'!V24</f>
        <v>0</v>
      </c>
      <c r="W13" s="46">
        <f>'表3-成本费用表'!W24</f>
        <v>0</v>
      </c>
      <c r="X13" s="46">
        <f>'表3-成本费用表'!X24</f>
        <v>0</v>
      </c>
      <c r="Y13" s="46">
        <f>'表3-成本费用表'!Y24</f>
        <v>0</v>
      </c>
      <c r="Z13" s="46">
        <f>'表3-成本费用表'!Z24</f>
        <v>0</v>
      </c>
      <c r="AA13" s="46">
        <f>'表3-成本费用表'!AA24</f>
        <v>0</v>
      </c>
    </row>
    <row r="14" spans="2:27" s="79" customFormat="1">
      <c r="B14" s="69">
        <v>6</v>
      </c>
      <c r="C14" s="90" t="s">
        <v>455</v>
      </c>
      <c r="D14" s="82">
        <f t="shared" ca="1" si="0"/>
        <v>17726.098280461716</v>
      </c>
      <c r="E14" s="83" t="s">
        <v>106</v>
      </c>
      <c r="F14" s="46"/>
      <c r="G14" s="46"/>
      <c r="H14" s="46">
        <f ca="1">H5+H10-H8-H9-H13</f>
        <v>178.91034795594214</v>
      </c>
      <c r="I14" s="46">
        <f t="shared" ref="I14:AA14" ca="1" si="3">I5+I10-I8-I9-I13</f>
        <v>226.43513548244619</v>
      </c>
      <c r="J14" s="46">
        <f t="shared" ca="1" si="3"/>
        <v>273.95992300895114</v>
      </c>
      <c r="K14" s="46">
        <f t="shared" ca="1" si="3"/>
        <v>321.48471053545563</v>
      </c>
      <c r="L14" s="46">
        <f t="shared" ca="1" si="3"/>
        <v>369.00949806196013</v>
      </c>
      <c r="M14" s="46">
        <f t="shared" ca="1" si="3"/>
        <v>328.89237981255474</v>
      </c>
      <c r="N14" s="46">
        <f t="shared" ca="1" si="3"/>
        <v>459.88833880112713</v>
      </c>
      <c r="O14" s="46">
        <f t="shared" ca="1" si="3"/>
        <v>562.48909284555839</v>
      </c>
      <c r="P14" s="46">
        <f t="shared" ca="1" si="3"/>
        <v>610.01388037206289</v>
      </c>
      <c r="Q14" s="46">
        <f t="shared" ca="1" si="3"/>
        <v>657.53866789856738</v>
      </c>
      <c r="R14" s="46">
        <f t="shared" ca="1" si="3"/>
        <v>533.30217876066797</v>
      </c>
      <c r="S14" s="46">
        <f t="shared" ca="1" si="3"/>
        <v>601.81103708363253</v>
      </c>
      <c r="T14" s="46">
        <f t="shared" ca="1" si="3"/>
        <v>649.33582461013702</v>
      </c>
      <c r="U14" s="46">
        <f t="shared" ca="1" si="3"/>
        <v>696.86061213664198</v>
      </c>
      <c r="V14" s="46">
        <f t="shared" ca="1" si="3"/>
        <v>744.38539966314647</v>
      </c>
      <c r="W14" s="46">
        <f t="shared" ca="1" si="3"/>
        <v>2102.3562506865724</v>
      </c>
      <c r="X14" s="46">
        <f t="shared" ca="1" si="3"/>
        <v>2102.3562506865724</v>
      </c>
      <c r="Y14" s="46">
        <f t="shared" ca="1" si="3"/>
        <v>2102.3562506865724</v>
      </c>
      <c r="Z14" s="46">
        <f t="shared" ca="1" si="3"/>
        <v>2102.3562506865724</v>
      </c>
      <c r="AA14" s="46">
        <f t="shared" ca="1" si="3"/>
        <v>2102.3562506865724</v>
      </c>
    </row>
    <row r="15" spans="2:27" s="79" customFormat="1">
      <c r="B15" s="69">
        <v>7</v>
      </c>
      <c r="C15" s="93" t="s">
        <v>456</v>
      </c>
      <c r="D15" s="82">
        <f t="shared" ca="1" si="0"/>
        <v>0</v>
      </c>
      <c r="E15" s="83" t="s">
        <v>106</v>
      </c>
      <c r="F15" s="46"/>
      <c r="G15" s="46"/>
      <c r="H15" s="46">
        <f>SUM(H16:H20)</f>
        <v>0</v>
      </c>
      <c r="I15" s="46">
        <f t="shared" ref="I15:AA15" ca="1" si="4">SUM(I16:I20)</f>
        <v>0</v>
      </c>
      <c r="J15" s="46">
        <f t="shared" ca="1" si="4"/>
        <v>0</v>
      </c>
      <c r="K15" s="46">
        <f t="shared" ca="1" si="4"/>
        <v>0</v>
      </c>
      <c r="L15" s="46">
        <f t="shared" ca="1" si="4"/>
        <v>0</v>
      </c>
      <c r="M15" s="46">
        <f t="shared" ca="1" si="4"/>
        <v>0</v>
      </c>
      <c r="N15" s="46">
        <f t="shared" ca="1" si="4"/>
        <v>0</v>
      </c>
      <c r="O15" s="46">
        <f t="shared" ca="1" si="4"/>
        <v>0</v>
      </c>
      <c r="P15" s="46">
        <f t="shared" ca="1" si="4"/>
        <v>0</v>
      </c>
      <c r="Q15" s="46">
        <f t="shared" ca="1" si="4"/>
        <v>0</v>
      </c>
      <c r="R15" s="46">
        <f t="shared" ca="1" si="4"/>
        <v>0</v>
      </c>
      <c r="S15" s="46">
        <f t="shared" ca="1" si="4"/>
        <v>0</v>
      </c>
      <c r="T15" s="46">
        <f t="shared" ca="1" si="4"/>
        <v>0</v>
      </c>
      <c r="U15" s="46">
        <f t="shared" ca="1" si="4"/>
        <v>0</v>
      </c>
      <c r="V15" s="46">
        <f t="shared" ca="1" si="4"/>
        <v>0</v>
      </c>
      <c r="W15" s="46">
        <f t="shared" ca="1" si="4"/>
        <v>0</v>
      </c>
      <c r="X15" s="46">
        <f t="shared" ca="1" si="4"/>
        <v>0</v>
      </c>
      <c r="Y15" s="46">
        <f t="shared" ca="1" si="4"/>
        <v>0</v>
      </c>
      <c r="Z15" s="46">
        <f t="shared" ca="1" si="4"/>
        <v>0</v>
      </c>
      <c r="AA15" s="46">
        <f t="shared" ca="1" si="4"/>
        <v>0</v>
      </c>
    </row>
    <row r="16" spans="2:27">
      <c r="B16" s="47"/>
      <c r="C16" s="94" t="s">
        <v>457</v>
      </c>
      <c r="D16" s="95"/>
      <c r="E16" s="87" t="s">
        <v>106</v>
      </c>
      <c r="F16" s="50"/>
      <c r="G16" s="50"/>
      <c r="H16" s="50"/>
      <c r="I16" s="96">
        <f t="shared" ref="I16:AA16" ca="1" si="5">IF(H14&gt;0,0,IF(I14&lt;0,0,MIN(I14-SUM(I17:I20),-H14)))</f>
        <v>0</v>
      </c>
      <c r="J16" s="96">
        <f t="shared" ca="1" si="5"/>
        <v>0</v>
      </c>
      <c r="K16" s="96">
        <f t="shared" ca="1" si="5"/>
        <v>0</v>
      </c>
      <c r="L16" s="96">
        <f t="shared" ca="1" si="5"/>
        <v>0</v>
      </c>
      <c r="M16" s="96">
        <f t="shared" ca="1" si="5"/>
        <v>0</v>
      </c>
      <c r="N16" s="96">
        <f t="shared" ca="1" si="5"/>
        <v>0</v>
      </c>
      <c r="O16" s="96">
        <f t="shared" ca="1" si="5"/>
        <v>0</v>
      </c>
      <c r="P16" s="96">
        <f t="shared" ca="1" si="5"/>
        <v>0</v>
      </c>
      <c r="Q16" s="96">
        <f t="shared" ca="1" si="5"/>
        <v>0</v>
      </c>
      <c r="R16" s="96">
        <f t="shared" ca="1" si="5"/>
        <v>0</v>
      </c>
      <c r="S16" s="96">
        <f t="shared" ca="1" si="5"/>
        <v>0</v>
      </c>
      <c r="T16" s="96">
        <f t="shared" ca="1" si="5"/>
        <v>0</v>
      </c>
      <c r="U16" s="96">
        <f t="shared" ca="1" si="5"/>
        <v>0</v>
      </c>
      <c r="V16" s="96">
        <f t="shared" ca="1" si="5"/>
        <v>0</v>
      </c>
      <c r="W16" s="96">
        <f t="shared" ca="1" si="5"/>
        <v>0</v>
      </c>
      <c r="X16" s="96">
        <f t="shared" ca="1" si="5"/>
        <v>0</v>
      </c>
      <c r="Y16" s="96">
        <f t="shared" ca="1" si="5"/>
        <v>0</v>
      </c>
      <c r="Z16" s="96">
        <f t="shared" ca="1" si="5"/>
        <v>0</v>
      </c>
      <c r="AA16" s="96">
        <f t="shared" ca="1" si="5"/>
        <v>0</v>
      </c>
    </row>
    <row r="17" spans="2:27">
      <c r="B17" s="47"/>
      <c r="C17" s="94" t="s">
        <v>458</v>
      </c>
      <c r="D17" s="95"/>
      <c r="E17" s="87" t="s">
        <v>106</v>
      </c>
      <c r="F17" s="50"/>
      <c r="G17" s="50"/>
      <c r="H17" s="50"/>
      <c r="I17" s="50"/>
      <c r="J17" s="96">
        <f t="shared" ref="J17:AA17" ca="1" si="6">IF(H14&gt;0,0,IF(J14&lt;0,0,MIN(J14-SUM(J18:J20),-H14-I16)))</f>
        <v>0</v>
      </c>
      <c r="K17" s="96">
        <f t="shared" ca="1" si="6"/>
        <v>0</v>
      </c>
      <c r="L17" s="96">
        <f t="shared" ca="1" si="6"/>
        <v>0</v>
      </c>
      <c r="M17" s="96">
        <f t="shared" ca="1" si="6"/>
        <v>0</v>
      </c>
      <c r="N17" s="96">
        <f t="shared" ca="1" si="6"/>
        <v>0</v>
      </c>
      <c r="O17" s="96">
        <f t="shared" ca="1" si="6"/>
        <v>0</v>
      </c>
      <c r="P17" s="96">
        <f t="shared" ca="1" si="6"/>
        <v>0</v>
      </c>
      <c r="Q17" s="96">
        <f t="shared" ca="1" si="6"/>
        <v>0</v>
      </c>
      <c r="R17" s="96">
        <f t="shared" ca="1" si="6"/>
        <v>0</v>
      </c>
      <c r="S17" s="96">
        <f t="shared" ca="1" si="6"/>
        <v>0</v>
      </c>
      <c r="T17" s="96">
        <f t="shared" ca="1" si="6"/>
        <v>0</v>
      </c>
      <c r="U17" s="96">
        <f t="shared" ca="1" si="6"/>
        <v>0</v>
      </c>
      <c r="V17" s="96">
        <f t="shared" ca="1" si="6"/>
        <v>0</v>
      </c>
      <c r="W17" s="96">
        <f t="shared" ca="1" si="6"/>
        <v>0</v>
      </c>
      <c r="X17" s="96">
        <f t="shared" ca="1" si="6"/>
        <v>0</v>
      </c>
      <c r="Y17" s="96">
        <f t="shared" ca="1" si="6"/>
        <v>0</v>
      </c>
      <c r="Z17" s="96">
        <f t="shared" ca="1" si="6"/>
        <v>0</v>
      </c>
      <c r="AA17" s="96">
        <f t="shared" ca="1" si="6"/>
        <v>0</v>
      </c>
    </row>
    <row r="18" spans="2:27">
      <c r="B18" s="47"/>
      <c r="C18" s="94" t="s">
        <v>459</v>
      </c>
      <c r="D18" s="95"/>
      <c r="E18" s="87" t="s">
        <v>106</v>
      </c>
      <c r="F18" s="50"/>
      <c r="G18" s="50"/>
      <c r="H18" s="50"/>
      <c r="I18" s="50"/>
      <c r="J18" s="50"/>
      <c r="K18" s="96">
        <f t="shared" ref="K18:AA18" ca="1" si="7">IF(H14&gt;0,0,IF(K14&lt;0,0,MIN(K14-SUM(K19:K20),-H14-I16-J17)))</f>
        <v>0</v>
      </c>
      <c r="L18" s="96">
        <f t="shared" ca="1" si="7"/>
        <v>0</v>
      </c>
      <c r="M18" s="96">
        <f t="shared" ca="1" si="7"/>
        <v>0</v>
      </c>
      <c r="N18" s="96">
        <f t="shared" ca="1" si="7"/>
        <v>0</v>
      </c>
      <c r="O18" s="96">
        <f t="shared" ca="1" si="7"/>
        <v>0</v>
      </c>
      <c r="P18" s="96">
        <f t="shared" ca="1" si="7"/>
        <v>0</v>
      </c>
      <c r="Q18" s="96">
        <f t="shared" ca="1" si="7"/>
        <v>0</v>
      </c>
      <c r="R18" s="96">
        <f t="shared" ca="1" si="7"/>
        <v>0</v>
      </c>
      <c r="S18" s="96">
        <f t="shared" ca="1" si="7"/>
        <v>0</v>
      </c>
      <c r="T18" s="96">
        <f t="shared" ca="1" si="7"/>
        <v>0</v>
      </c>
      <c r="U18" s="96">
        <f t="shared" ca="1" si="7"/>
        <v>0</v>
      </c>
      <c r="V18" s="96">
        <f t="shared" ca="1" si="7"/>
        <v>0</v>
      </c>
      <c r="W18" s="96">
        <f t="shared" ca="1" si="7"/>
        <v>0</v>
      </c>
      <c r="X18" s="96">
        <f t="shared" ca="1" si="7"/>
        <v>0</v>
      </c>
      <c r="Y18" s="96">
        <f t="shared" ca="1" si="7"/>
        <v>0</v>
      </c>
      <c r="Z18" s="96">
        <f t="shared" ca="1" si="7"/>
        <v>0</v>
      </c>
      <c r="AA18" s="96">
        <f t="shared" ca="1" si="7"/>
        <v>0</v>
      </c>
    </row>
    <row r="19" spans="2:27">
      <c r="B19" s="47"/>
      <c r="C19" s="94" t="s">
        <v>460</v>
      </c>
      <c r="D19" s="95"/>
      <c r="E19" s="87" t="s">
        <v>106</v>
      </c>
      <c r="F19" s="50"/>
      <c r="G19" s="50"/>
      <c r="H19" s="50"/>
      <c r="I19" s="50"/>
      <c r="J19" s="50"/>
      <c r="K19" s="50"/>
      <c r="L19" s="96">
        <f t="shared" ref="L19:AA19" ca="1" si="8">IF(H14&gt;0,0,IF(L14&lt;0,0,MIN(L14-L20,-H14-I16-J17-K18)))</f>
        <v>0</v>
      </c>
      <c r="M19" s="96">
        <f t="shared" ca="1" si="8"/>
        <v>0</v>
      </c>
      <c r="N19" s="96">
        <f t="shared" ca="1" si="8"/>
        <v>0</v>
      </c>
      <c r="O19" s="96">
        <f t="shared" ca="1" si="8"/>
        <v>0</v>
      </c>
      <c r="P19" s="96">
        <f t="shared" ca="1" si="8"/>
        <v>0</v>
      </c>
      <c r="Q19" s="96">
        <f t="shared" ca="1" si="8"/>
        <v>0</v>
      </c>
      <c r="R19" s="96">
        <f t="shared" ca="1" si="8"/>
        <v>0</v>
      </c>
      <c r="S19" s="96">
        <f t="shared" ca="1" si="8"/>
        <v>0</v>
      </c>
      <c r="T19" s="96">
        <f t="shared" ca="1" si="8"/>
        <v>0</v>
      </c>
      <c r="U19" s="96">
        <f t="shared" ca="1" si="8"/>
        <v>0</v>
      </c>
      <c r="V19" s="96">
        <f t="shared" ca="1" si="8"/>
        <v>0</v>
      </c>
      <c r="W19" s="96">
        <f t="shared" ca="1" si="8"/>
        <v>0</v>
      </c>
      <c r="X19" s="96">
        <f t="shared" ca="1" si="8"/>
        <v>0</v>
      </c>
      <c r="Y19" s="96">
        <f t="shared" ca="1" si="8"/>
        <v>0</v>
      </c>
      <c r="Z19" s="96">
        <f t="shared" ca="1" si="8"/>
        <v>0</v>
      </c>
      <c r="AA19" s="96">
        <f t="shared" ca="1" si="8"/>
        <v>0</v>
      </c>
    </row>
    <row r="20" spans="2:27">
      <c r="B20" s="47"/>
      <c r="C20" s="94" t="s">
        <v>461</v>
      </c>
      <c r="D20" s="95"/>
      <c r="E20" s="87" t="s">
        <v>106</v>
      </c>
      <c r="F20" s="50"/>
      <c r="G20" s="50"/>
      <c r="H20" s="50"/>
      <c r="I20" s="50"/>
      <c r="J20" s="50"/>
      <c r="K20" s="50"/>
      <c r="L20" s="50"/>
      <c r="M20" s="96">
        <f t="shared" ref="M20:AA20" ca="1" si="9">IF(H14&gt;0,0,IF(M14&lt;0,0,MIN(M14,-H14-I16-J17-K18-L19)))</f>
        <v>0</v>
      </c>
      <c r="N20" s="96">
        <f t="shared" ca="1" si="9"/>
        <v>0</v>
      </c>
      <c r="O20" s="96">
        <f t="shared" ca="1" si="9"/>
        <v>0</v>
      </c>
      <c r="P20" s="96">
        <f t="shared" ca="1" si="9"/>
        <v>0</v>
      </c>
      <c r="Q20" s="96">
        <f t="shared" ca="1" si="9"/>
        <v>0</v>
      </c>
      <c r="R20" s="96">
        <f t="shared" ca="1" si="9"/>
        <v>0</v>
      </c>
      <c r="S20" s="96">
        <f t="shared" ca="1" si="9"/>
        <v>0</v>
      </c>
      <c r="T20" s="96">
        <f t="shared" ca="1" si="9"/>
        <v>0</v>
      </c>
      <c r="U20" s="96">
        <f t="shared" ca="1" si="9"/>
        <v>0</v>
      </c>
      <c r="V20" s="96">
        <f t="shared" ca="1" si="9"/>
        <v>0</v>
      </c>
      <c r="W20" s="96">
        <f t="shared" ca="1" si="9"/>
        <v>0</v>
      </c>
      <c r="X20" s="96">
        <f t="shared" ca="1" si="9"/>
        <v>0</v>
      </c>
      <c r="Y20" s="96">
        <f t="shared" ca="1" si="9"/>
        <v>0</v>
      </c>
      <c r="Z20" s="96">
        <f t="shared" ca="1" si="9"/>
        <v>0</v>
      </c>
      <c r="AA20" s="96">
        <f t="shared" ca="1" si="9"/>
        <v>0</v>
      </c>
    </row>
    <row r="21" spans="2:27">
      <c r="B21" s="69">
        <v>8</v>
      </c>
      <c r="C21" s="93" t="s">
        <v>462</v>
      </c>
      <c r="D21" s="82">
        <f ca="1">SUM(F21:AA21)</f>
        <v>17726.098280461716</v>
      </c>
      <c r="E21" s="87" t="s">
        <v>106</v>
      </c>
      <c r="F21" s="50"/>
      <c r="G21" s="50"/>
      <c r="H21" s="46">
        <f t="shared" ref="H21:AA21" ca="1" si="10">IF(H14-H15&gt;0,H14-H15,0)</f>
        <v>178.91034795594214</v>
      </c>
      <c r="I21" s="46">
        <f t="shared" ca="1" si="10"/>
        <v>226.43513548244619</v>
      </c>
      <c r="J21" s="46">
        <f t="shared" ca="1" si="10"/>
        <v>273.95992300895114</v>
      </c>
      <c r="K21" s="46">
        <f t="shared" ca="1" si="10"/>
        <v>321.48471053545563</v>
      </c>
      <c r="L21" s="46">
        <f t="shared" ca="1" si="10"/>
        <v>369.00949806196013</v>
      </c>
      <c r="M21" s="46">
        <f t="shared" ca="1" si="10"/>
        <v>328.89237981255474</v>
      </c>
      <c r="N21" s="46">
        <f t="shared" ca="1" si="10"/>
        <v>459.88833880112713</v>
      </c>
      <c r="O21" s="46">
        <f t="shared" ca="1" si="10"/>
        <v>562.48909284555839</v>
      </c>
      <c r="P21" s="46">
        <f t="shared" ca="1" si="10"/>
        <v>610.01388037206289</v>
      </c>
      <c r="Q21" s="46">
        <f t="shared" ca="1" si="10"/>
        <v>657.53866789856738</v>
      </c>
      <c r="R21" s="46">
        <f t="shared" ca="1" si="10"/>
        <v>533.30217876066797</v>
      </c>
      <c r="S21" s="46">
        <f t="shared" ca="1" si="10"/>
        <v>601.81103708363253</v>
      </c>
      <c r="T21" s="46">
        <f t="shared" ca="1" si="10"/>
        <v>649.33582461013702</v>
      </c>
      <c r="U21" s="46">
        <f t="shared" ca="1" si="10"/>
        <v>696.86061213664198</v>
      </c>
      <c r="V21" s="46">
        <f t="shared" ca="1" si="10"/>
        <v>744.38539966314647</v>
      </c>
      <c r="W21" s="46">
        <f t="shared" ca="1" si="10"/>
        <v>2102.3562506865724</v>
      </c>
      <c r="X21" s="46">
        <f t="shared" ca="1" si="10"/>
        <v>2102.3562506865724</v>
      </c>
      <c r="Y21" s="46">
        <f t="shared" ca="1" si="10"/>
        <v>2102.3562506865724</v>
      </c>
      <c r="Z21" s="46">
        <f t="shared" ca="1" si="10"/>
        <v>2102.3562506865724</v>
      </c>
      <c r="AA21" s="46">
        <f t="shared" ca="1" si="10"/>
        <v>2102.3562506865724</v>
      </c>
    </row>
    <row r="22" spans="2:27">
      <c r="B22" s="69">
        <v>9</v>
      </c>
      <c r="C22" s="93" t="s">
        <v>463</v>
      </c>
      <c r="D22" s="82">
        <f t="shared" ca="1" si="0"/>
        <v>4134.2748949523475</v>
      </c>
      <c r="E22" s="87" t="s">
        <v>106</v>
      </c>
      <c r="F22" s="50"/>
      <c r="G22" s="50"/>
      <c r="H22" s="46">
        <f>IF(参数输入表!$H$268="三免三减半",0,'表5-利润表-资本金'!H21*参数输入表!$H$269)</f>
        <v>0</v>
      </c>
      <c r="I22" s="46">
        <f>IF(参数输入表!$H$268="三免三减半",0,'表5-利润表-资本金'!I21*参数输入表!$H$269)</f>
        <v>0</v>
      </c>
      <c r="J22" s="46">
        <f>IF(参数输入表!$H$268="三免三减半",0,'表5-利润表-资本金'!J21*参数输入表!$H$269)</f>
        <v>0</v>
      </c>
      <c r="K22" s="46">
        <f ca="1">IF(参数输入表!$H$268="三免三减半",'表5-利润表-资本金'!K21*参数输入表!$H$269/2,'表5-利润表-资本金'!K21*参数输入表!$H$269)</f>
        <v>40.185588816931954</v>
      </c>
      <c r="L22" s="46">
        <f ca="1">IF(参数输入表!$H$268="三免三减半",'表5-利润表-资本金'!L21*参数输入表!$H$269/2,'表5-利润表-资本金'!L21*参数输入表!$H$269)</f>
        <v>46.126187257745016</v>
      </c>
      <c r="M22" s="46">
        <f ca="1">IF(参数输入表!$H$268="三免三减半",'表5-利润表-资本金'!M21*参数输入表!$H$269/2,'表5-利润表-资本金'!M21*参数输入表!$H$269)</f>
        <v>41.111547476569342</v>
      </c>
      <c r="N22" s="46">
        <f ca="1">N21*参数输入表!$H$269</f>
        <v>114.97208470028178</v>
      </c>
      <c r="O22" s="46">
        <f ca="1">O21*参数输入表!$H$269</f>
        <v>140.6222732113896</v>
      </c>
      <c r="P22" s="46">
        <f ca="1">P21*参数输入表!$H$269</f>
        <v>152.50347009301572</v>
      </c>
      <c r="Q22" s="46">
        <f ca="1">Q21*参数输入表!$H$269</f>
        <v>164.38466697464185</v>
      </c>
      <c r="R22" s="46">
        <f ca="1">R21*参数输入表!$H$269</f>
        <v>133.32554469016699</v>
      </c>
      <c r="S22" s="46">
        <f ca="1">S21*参数输入表!$H$269</f>
        <v>150.45275927090813</v>
      </c>
      <c r="T22" s="46">
        <f ca="1">T21*参数输入表!$H$269</f>
        <v>162.33395615253426</v>
      </c>
      <c r="U22" s="46">
        <f ca="1">U21*参数输入表!$H$269</f>
        <v>174.21515303416049</v>
      </c>
      <c r="V22" s="46">
        <f ca="1">V21*参数输入表!$H$269</f>
        <v>186.09634991578662</v>
      </c>
      <c r="W22" s="46">
        <f ca="1">W21*参数输入表!$H$269</f>
        <v>525.58906267164309</v>
      </c>
      <c r="X22" s="46">
        <f ca="1">X21*参数输入表!$H$269</f>
        <v>525.58906267164309</v>
      </c>
      <c r="Y22" s="46">
        <f ca="1">Y21*参数输入表!$H$269</f>
        <v>525.58906267164309</v>
      </c>
      <c r="Z22" s="46">
        <f ca="1">Z21*参数输入表!$H$269</f>
        <v>525.58906267164309</v>
      </c>
      <c r="AA22" s="46">
        <f ca="1">AA21*参数输入表!$H$269</f>
        <v>525.58906267164309</v>
      </c>
    </row>
    <row r="23" spans="2:27" s="107" customFormat="1">
      <c r="B23" s="110">
        <v>10</v>
      </c>
      <c r="C23" s="111" t="s">
        <v>464</v>
      </c>
      <c r="D23" s="112">
        <f t="shared" ca="1" si="0"/>
        <v>13591.823385509364</v>
      </c>
      <c r="E23" s="113" t="s">
        <v>106</v>
      </c>
      <c r="F23" s="114"/>
      <c r="G23" s="114"/>
      <c r="H23" s="67">
        <f t="shared" ref="H23:AA23" ca="1" si="11">H14-H22</f>
        <v>178.91034795594214</v>
      </c>
      <c r="I23" s="67">
        <f t="shared" ca="1" si="11"/>
        <v>226.43513548244619</v>
      </c>
      <c r="J23" s="67">
        <f t="shared" ca="1" si="11"/>
        <v>273.95992300895114</v>
      </c>
      <c r="K23" s="67">
        <f t="shared" ca="1" si="11"/>
        <v>281.29912171852368</v>
      </c>
      <c r="L23" s="67">
        <f t="shared" ca="1" si="11"/>
        <v>322.88331080421511</v>
      </c>
      <c r="M23" s="67">
        <f t="shared" ca="1" si="11"/>
        <v>287.78083233598539</v>
      </c>
      <c r="N23" s="67">
        <f t="shared" ca="1" si="11"/>
        <v>344.91625410084532</v>
      </c>
      <c r="O23" s="67">
        <f t="shared" ca="1" si="11"/>
        <v>421.86681963416879</v>
      </c>
      <c r="P23" s="67">
        <f t="shared" ca="1" si="11"/>
        <v>457.51041027904716</v>
      </c>
      <c r="Q23" s="67">
        <f t="shared" ca="1" si="11"/>
        <v>493.15400092392554</v>
      </c>
      <c r="R23" s="67">
        <f t="shared" ca="1" si="11"/>
        <v>399.97663407050095</v>
      </c>
      <c r="S23" s="67">
        <f t="shared" ca="1" si="11"/>
        <v>451.3582778127244</v>
      </c>
      <c r="T23" s="67">
        <f t="shared" ca="1" si="11"/>
        <v>487.00186845760277</v>
      </c>
      <c r="U23" s="67">
        <f t="shared" ca="1" si="11"/>
        <v>522.64545910248148</v>
      </c>
      <c r="V23" s="67">
        <f t="shared" ca="1" si="11"/>
        <v>558.28904974735985</v>
      </c>
      <c r="W23" s="67">
        <f t="shared" ca="1" si="11"/>
        <v>1576.7671880149292</v>
      </c>
      <c r="X23" s="67">
        <f t="shared" ca="1" si="11"/>
        <v>1576.7671880149292</v>
      </c>
      <c r="Y23" s="67">
        <f t="shared" ca="1" si="11"/>
        <v>1576.7671880149292</v>
      </c>
      <c r="Z23" s="67">
        <f t="shared" ca="1" si="11"/>
        <v>1576.7671880149292</v>
      </c>
      <c r="AA23" s="67">
        <f t="shared" ca="1" si="11"/>
        <v>1576.7671880149292</v>
      </c>
    </row>
    <row r="24" spans="2:27" s="107" customFormat="1">
      <c r="B24" s="115">
        <v>11</v>
      </c>
      <c r="C24" s="116" t="s">
        <v>465</v>
      </c>
      <c r="D24" s="117"/>
      <c r="E24" s="113" t="s">
        <v>106</v>
      </c>
      <c r="F24" s="114">
        <v>0</v>
      </c>
      <c r="G24" s="114">
        <v>0</v>
      </c>
      <c r="H24" s="114">
        <f>G32</f>
        <v>0</v>
      </c>
      <c r="I24" s="114">
        <f ca="1">H32</f>
        <v>144.91738184431313</v>
      </c>
      <c r="J24" s="114">
        <f t="shared" ref="J24:AA24" ca="1" si="12">I32</f>
        <v>313.83810340066321</v>
      </c>
      <c r="K24" s="114">
        <f t="shared" ca="1" si="12"/>
        <v>504.36183069784721</v>
      </c>
      <c r="L24" s="114">
        <f t="shared" ca="1" si="12"/>
        <v>681.77793622006664</v>
      </c>
      <c r="M24" s="114">
        <f t="shared" ca="1" si="12"/>
        <v>875.13562434947426</v>
      </c>
      <c r="N24" s="114">
        <f t="shared" ca="1" si="12"/>
        <v>1020.7245361066749</v>
      </c>
      <c r="O24" s="114">
        <f t="shared" ca="1" si="12"/>
        <v>1198.0342483176921</v>
      </c>
      <c r="P24" s="114">
        <f t="shared" ca="1" si="12"/>
        <v>1419.9429473895996</v>
      </c>
      <c r="Q24" s="114">
        <f t="shared" ca="1" si="12"/>
        <v>1648.5320849766679</v>
      </c>
      <c r="R24" s="114">
        <f t="shared" ca="1" si="12"/>
        <v>1883.1336172273809</v>
      </c>
      <c r="S24" s="114">
        <f t="shared" ca="1" si="12"/>
        <v>2018.8013291017487</v>
      </c>
      <c r="T24" s="114">
        <f t="shared" ca="1" si="12"/>
        <v>2182.5214012198803</v>
      </c>
      <c r="U24" s="114">
        <f t="shared" ca="1" si="12"/>
        <v>2358.7407745485507</v>
      </c>
      <c r="V24" s="114">
        <f t="shared" ca="1" si="12"/>
        <v>2546.2095189667052</v>
      </c>
      <c r="W24" s="114">
        <f t="shared" ca="1" si="12"/>
        <v>2743.8026973653964</v>
      </c>
      <c r="X24" s="114">
        <f t="shared" ca="1" si="12"/>
        <v>3746.6038499209499</v>
      </c>
      <c r="Y24" s="114">
        <f t="shared" ca="1" si="12"/>
        <v>4649.1248872209471</v>
      </c>
      <c r="Z24" s="114">
        <f t="shared" ca="1" si="12"/>
        <v>5461.393820790945</v>
      </c>
      <c r="AA24" s="114">
        <f t="shared" ca="1" si="12"/>
        <v>6192.4358610039435</v>
      </c>
    </row>
    <row r="25" spans="2:27" s="108" customFormat="1">
      <c r="B25" s="118">
        <v>12</v>
      </c>
      <c r="C25" s="119" t="s">
        <v>466</v>
      </c>
      <c r="D25" s="120">
        <f ca="1">SUM(F25:AA25)</f>
        <v>55181.855836178809</v>
      </c>
      <c r="E25" s="121" t="s">
        <v>106</v>
      </c>
      <c r="F25" s="122"/>
      <c r="G25" s="122"/>
      <c r="H25" s="122">
        <f ca="1">H23+H24</f>
        <v>178.91034795594214</v>
      </c>
      <c r="I25" s="122">
        <f t="shared" ref="I25:AA25" ca="1" si="13">I23+I24</f>
        <v>371.35251732675931</v>
      </c>
      <c r="J25" s="122">
        <f t="shared" ca="1" si="13"/>
        <v>587.79802640961429</v>
      </c>
      <c r="K25" s="122">
        <f t="shared" ca="1" si="13"/>
        <v>785.66095241637095</v>
      </c>
      <c r="L25" s="122">
        <f t="shared" ca="1" si="13"/>
        <v>1004.6612470242817</v>
      </c>
      <c r="M25" s="122">
        <f t="shared" ca="1" si="13"/>
        <v>1162.9164566854597</v>
      </c>
      <c r="N25" s="122">
        <f t="shared" ca="1" si="13"/>
        <v>1365.6407902075202</v>
      </c>
      <c r="O25" s="122">
        <f t="shared" ca="1" si="13"/>
        <v>1619.901067951861</v>
      </c>
      <c r="P25" s="122">
        <f t="shared" ca="1" si="13"/>
        <v>1877.4533576686467</v>
      </c>
      <c r="Q25" s="122">
        <f t="shared" ca="1" si="13"/>
        <v>2141.6860859005933</v>
      </c>
      <c r="R25" s="122">
        <f t="shared" ca="1" si="13"/>
        <v>2283.1102512978819</v>
      </c>
      <c r="S25" s="122">
        <f t="shared" ca="1" si="13"/>
        <v>2470.159606914473</v>
      </c>
      <c r="T25" s="122">
        <f t="shared" ca="1" si="13"/>
        <v>2669.5232696774829</v>
      </c>
      <c r="U25" s="122">
        <f t="shared" ca="1" si="13"/>
        <v>2881.3862336510319</v>
      </c>
      <c r="V25" s="122">
        <f t="shared" ca="1" si="13"/>
        <v>3104.4985687140652</v>
      </c>
      <c r="W25" s="122">
        <f t="shared" ca="1" si="13"/>
        <v>4320.569885380326</v>
      </c>
      <c r="X25" s="122">
        <f t="shared" ca="1" si="13"/>
        <v>5323.371037935879</v>
      </c>
      <c r="Y25" s="122">
        <f t="shared" ca="1" si="13"/>
        <v>6225.8920752358763</v>
      </c>
      <c r="Z25" s="122">
        <f t="shared" ca="1" si="13"/>
        <v>7038.1610088058742</v>
      </c>
      <c r="AA25" s="122">
        <f t="shared" ca="1" si="13"/>
        <v>7769.2030490188727</v>
      </c>
    </row>
    <row r="26" spans="2:27" s="108" customFormat="1">
      <c r="B26" s="118">
        <v>13</v>
      </c>
      <c r="C26" s="119" t="s">
        <v>467</v>
      </c>
      <c r="D26" s="120">
        <f t="shared" ca="1" si="0"/>
        <v>1359.1823385509365</v>
      </c>
      <c r="E26" s="121" t="s">
        <v>106</v>
      </c>
      <c r="F26" s="122"/>
      <c r="G26" s="122"/>
      <c r="H26" s="122">
        <f ca="1">IF(G28&gt;=参数输入表!$H$96,0,IF(H25&lt;0,0,IF(H25*参数输入表!$H$97&gt;=H27,H27,(-H24-H15+H25)*参数输入表!$H$97)))</f>
        <v>17.891034795594216</v>
      </c>
      <c r="I26" s="122">
        <f ca="1">IF(H28&gt;=参数输入表!$H$96,0,IF(I25&lt;0,0,IF(I25*参数输入表!$H$97&gt;=I27,I27,(-I24-I15+I25)*参数输入表!$H$97)))</f>
        <v>22.64351354824462</v>
      </c>
      <c r="J26" s="122">
        <f ca="1">IF(I28&gt;=参数输入表!$H$96,0,IF(J25&lt;0,0,IF(J25*参数输入表!$H$97&gt;=J27,J27,(-J24-J15+J25)*参数输入表!$H$97)))</f>
        <v>27.395992300895109</v>
      </c>
      <c r="K26" s="122">
        <f ca="1">IF(J28&gt;=参数输入表!$H$96,0,IF(K25&lt;0,0,IF(K25*参数输入表!$H$97&gt;=K27,K27,(-K24-K15+K25)*参数输入表!$H$97)))</f>
        <v>28.129912171852375</v>
      </c>
      <c r="L26" s="122">
        <f ca="1">IF(K28&gt;=参数输入表!$H$96,0,IF(L25&lt;0,0,IF(L25*参数输入表!$H$97&gt;=L27,L27,(-L24-L15+L25)*参数输入表!$H$97)))</f>
        <v>32.288331080421507</v>
      </c>
      <c r="M26" s="122">
        <f ca="1">IF(L28&gt;=参数输入表!$H$96,0,IF(M25&lt;0,0,IF(M25*参数输入表!$H$97&gt;=M27,M27,(-M24-M15+M25)*参数输入表!$H$97)))</f>
        <v>28.778083233598547</v>
      </c>
      <c r="N26" s="122">
        <f ca="1">IF(M28&gt;=参数输入表!$H$96,0,IF(N25&lt;0,0,IF(N25*参数输入表!$H$97&gt;=N27,N27,(-N24-N15+N25)*参数输入表!$H$97)))</f>
        <v>34.491625410084531</v>
      </c>
      <c r="O26" s="122">
        <f ca="1">IF(N28&gt;=参数输入表!$H$96,0,IF(O25&lt;0,0,IF(O25*参数输入表!$H$97&gt;=O27,O27,(-O24-O15+O25)*参数输入表!$H$97)))</f>
        <v>42.186681963416895</v>
      </c>
      <c r="P26" s="122">
        <f ca="1">IF(O28&gt;=参数输入表!$H$96,0,IF(P25&lt;0,0,IF(P25*参数输入表!$H$97&gt;=P27,P27,(-P24-P15+P25)*参数输入表!$H$97)))</f>
        <v>45.751041027904719</v>
      </c>
      <c r="Q26" s="122">
        <f ca="1">IF(P28&gt;=参数输入表!$H$96,0,IF(Q25&lt;0,0,IF(Q25*参数输入表!$H$97&gt;=Q27,Q27,(-Q24-Q15+Q25)*参数输入表!$H$97)))</f>
        <v>49.315400092392544</v>
      </c>
      <c r="R26" s="122">
        <f ca="1">IF(Q28&gt;=参数输入表!$H$96,0,IF(R25&lt;0,0,IF(R25*参数输入表!$H$97&gt;=R27,R27,(-R24-R15+R25)*参数输入表!$H$97)))</f>
        <v>39.997663407050098</v>
      </c>
      <c r="S26" s="122">
        <f ca="1">IF(R28&gt;=参数输入表!$H$96,0,IF(S25&lt;0,0,IF(S25*参数输入表!$H$97&gt;=S27,S27,(-S24-S15+S25)*参数输入表!$H$97)))</f>
        <v>45.135827781272432</v>
      </c>
      <c r="T26" s="122">
        <f ca="1">IF(S28&gt;=参数输入表!$H$96,0,IF(T25&lt;0,0,IF(T25*参数输入表!$H$97&gt;=T27,T27,(-T24-T15+T25)*参数输入表!$H$97)))</f>
        <v>48.700186845760257</v>
      </c>
      <c r="U26" s="122">
        <f ca="1">IF(T28&gt;=参数输入表!$H$96,0,IF(U25&lt;0,0,IF(U25*参数输入表!$H$97&gt;=U27,U27,(-U24-U15+U25)*参数输入表!$H$97)))</f>
        <v>52.264545910248131</v>
      </c>
      <c r="V26" s="122">
        <f ca="1">IF(U28&gt;=参数输入表!$H$96,0,IF(V25&lt;0,0,IF(V25*参数输入表!$H$97&gt;=V27,V27,(-V24-V15+V25)*参数输入表!$H$97)))</f>
        <v>55.828904974735998</v>
      </c>
      <c r="W26" s="122">
        <f ca="1">IF(V28&gt;=参数输入表!$H$96,0,IF(W25&lt;0,0,IF(W25*参数输入表!$H$97&gt;=W27,W27,(-W24-W15+W25)*参数输入表!$H$97)))</f>
        <v>157.67671880149297</v>
      </c>
      <c r="X26" s="122">
        <f ca="1">IF(W28&gt;=参数输入表!$H$96,0,IF(X25&lt;0,0,IF(X25*参数输入表!$H$97&gt;=X27,X27,(-X24-X15+X25)*参数输入表!$H$97)))</f>
        <v>157.67671880149294</v>
      </c>
      <c r="Y26" s="122">
        <f ca="1">IF(X28&gt;=参数输入表!$H$96,0,IF(Y25&lt;0,0,IF(Y25*参数输入表!$H$97&gt;=Y27,Y27,(-Y24-Y15+Y25)*参数输入表!$H$97)))</f>
        <v>157.67671880149294</v>
      </c>
      <c r="Z26" s="122">
        <f ca="1">IF(Y28&gt;=参数输入表!$H$96,0,IF(Z25&lt;0,0,IF(Z25*参数输入表!$H$97&gt;=Z27,Z27,(-Z24-Z15+Z25)*参数输入表!$H$97)))</f>
        <v>157.67671880149294</v>
      </c>
      <c r="AA26" s="122">
        <f ca="1">IF(Z28&gt;=参数输入表!$H$96,0,IF(AA25&lt;0,0,IF(AA25*参数输入表!$H$97&gt;=AA27,AA27,(-AA24-AA15+AA25)*参数输入表!$H$97)))</f>
        <v>157.67671880149294</v>
      </c>
    </row>
    <row r="27" spans="2:27">
      <c r="B27" s="47"/>
      <c r="C27" s="94" t="s">
        <v>468</v>
      </c>
      <c r="D27" s="95"/>
      <c r="E27" s="87" t="s">
        <v>106</v>
      </c>
      <c r="F27" s="50"/>
      <c r="G27" s="50"/>
      <c r="H27" s="50">
        <f ca="1">参数输入表!$H$96</f>
        <v>2475.2493503387805</v>
      </c>
      <c r="I27" s="50">
        <f ca="1">参数输入表!$H$96-H28</f>
        <v>2457.3583155431861</v>
      </c>
      <c r="J27" s="50">
        <f ca="1">参数输入表!$H$96-I28</f>
        <v>2434.7148019949418</v>
      </c>
      <c r="K27" s="50">
        <f ca="1">参数输入表!$H$96-J28</f>
        <v>2407.3188096940466</v>
      </c>
      <c r="L27" s="50">
        <f ca="1">参数输入表!$H$96-K28</f>
        <v>2379.1888975221941</v>
      </c>
      <c r="M27" s="50">
        <f ca="1">参数输入表!$H$96-L28</f>
        <v>2346.9005664417728</v>
      </c>
      <c r="N27" s="50">
        <f ca="1">参数输入表!$H$96-M28</f>
        <v>2318.1224832081739</v>
      </c>
      <c r="O27" s="50">
        <f ca="1">参数输入表!$H$96-N28</f>
        <v>2283.6308577980894</v>
      </c>
      <c r="P27" s="50">
        <f ca="1">参数输入表!$H$96-O28</f>
        <v>2241.4441758346725</v>
      </c>
      <c r="Q27" s="50">
        <f ca="1">参数输入表!$H$96-P28</f>
        <v>2195.6931348067678</v>
      </c>
      <c r="R27" s="50">
        <f ca="1">参数输入表!$H$96-Q28</f>
        <v>2146.3777347143755</v>
      </c>
      <c r="S27" s="50">
        <f ca="1">参数输入表!$H$96-R28</f>
        <v>2106.3800713073251</v>
      </c>
      <c r="T27" s="50">
        <f ca="1">参数输入表!$H$96-S28</f>
        <v>2061.2442435260527</v>
      </c>
      <c r="U27" s="50">
        <f ca="1">参数输入表!$H$96-T28</f>
        <v>2012.5440566802927</v>
      </c>
      <c r="V27" s="50">
        <f ca="1">参数输入表!$H$96-U28</f>
        <v>1960.2795107700445</v>
      </c>
      <c r="W27" s="50">
        <f ca="1">参数输入表!$H$96-V28</f>
        <v>1904.4506057953085</v>
      </c>
      <c r="X27" s="50">
        <f ca="1">参数输入表!$H$96-W28</f>
        <v>1746.7738869938155</v>
      </c>
      <c r="Y27" s="50">
        <f ca="1">参数输入表!$H$96-X28</f>
        <v>1589.0971681923224</v>
      </c>
      <c r="Z27" s="50">
        <f ca="1">参数输入表!$H$96-Y28</f>
        <v>1431.4204493908296</v>
      </c>
      <c r="AA27" s="50">
        <f ca="1">参数输入表!$H$96-Z28</f>
        <v>1273.7437305893368</v>
      </c>
    </row>
    <row r="28" spans="2:27">
      <c r="B28" s="47"/>
      <c r="C28" s="94" t="s">
        <v>469</v>
      </c>
      <c r="D28" s="95"/>
      <c r="E28" s="87" t="s">
        <v>106</v>
      </c>
      <c r="F28" s="50"/>
      <c r="G28" s="50"/>
      <c r="H28" s="50">
        <f ca="1">H26</f>
        <v>17.891034795594216</v>
      </c>
      <c r="I28" s="50">
        <f ca="1">I26+H28</f>
        <v>40.534548343838836</v>
      </c>
      <c r="J28" s="50">
        <f t="shared" ref="J28:AA28" ca="1" si="14">J26+I28</f>
        <v>67.930540644733952</v>
      </c>
      <c r="K28" s="50">
        <f t="shared" ca="1" si="14"/>
        <v>96.06045281658632</v>
      </c>
      <c r="L28" s="50">
        <f t="shared" ca="1" si="14"/>
        <v>128.34878389700782</v>
      </c>
      <c r="M28" s="50">
        <f t="shared" ca="1" si="14"/>
        <v>157.12686713060637</v>
      </c>
      <c r="N28" s="50">
        <f t="shared" ca="1" si="14"/>
        <v>191.61849254069091</v>
      </c>
      <c r="O28" s="50">
        <f t="shared" ca="1" si="14"/>
        <v>233.80517450410781</v>
      </c>
      <c r="P28" s="50">
        <f t="shared" ca="1" si="14"/>
        <v>279.55621553201252</v>
      </c>
      <c r="Q28" s="50">
        <f t="shared" ca="1" si="14"/>
        <v>328.87161562440508</v>
      </c>
      <c r="R28" s="50">
        <f t="shared" ca="1" si="14"/>
        <v>368.86927903145516</v>
      </c>
      <c r="S28" s="50">
        <f t="shared" ca="1" si="14"/>
        <v>414.0051068127276</v>
      </c>
      <c r="T28" s="50">
        <f t="shared" ca="1" si="14"/>
        <v>462.70529365848785</v>
      </c>
      <c r="U28" s="50">
        <f t="shared" ca="1" si="14"/>
        <v>514.96983956873601</v>
      </c>
      <c r="V28" s="50">
        <f t="shared" ca="1" si="14"/>
        <v>570.79874454347203</v>
      </c>
      <c r="W28" s="50">
        <f t="shared" ca="1" si="14"/>
        <v>728.47546334496496</v>
      </c>
      <c r="X28" s="50">
        <f t="shared" ca="1" si="14"/>
        <v>886.1521821464579</v>
      </c>
      <c r="Y28" s="50">
        <f t="shared" ca="1" si="14"/>
        <v>1043.8289009479508</v>
      </c>
      <c r="Z28" s="50">
        <f t="shared" ca="1" si="14"/>
        <v>1201.5056197494437</v>
      </c>
      <c r="AA28" s="50">
        <f t="shared" ca="1" si="14"/>
        <v>1359.1823385509365</v>
      </c>
    </row>
    <row r="29" spans="2:27">
      <c r="B29" s="88">
        <v>14</v>
      </c>
      <c r="C29" s="98" t="s">
        <v>470</v>
      </c>
      <c r="D29" s="86">
        <f t="shared" ca="1" si="0"/>
        <v>53822.673497627868</v>
      </c>
      <c r="E29" s="87" t="s">
        <v>106</v>
      </c>
      <c r="F29" s="50"/>
      <c r="G29" s="50"/>
      <c r="H29" s="50">
        <f ca="1">H25-H26</f>
        <v>161.01931316034793</v>
      </c>
      <c r="I29" s="50">
        <f t="shared" ref="I29:AA29" ca="1" si="15">I25-I26</f>
        <v>348.70900377851467</v>
      </c>
      <c r="J29" s="50">
        <f t="shared" ca="1" si="15"/>
        <v>560.40203410871914</v>
      </c>
      <c r="K29" s="50">
        <f t="shared" ca="1" si="15"/>
        <v>757.53104024451852</v>
      </c>
      <c r="L29" s="50">
        <f t="shared" ca="1" si="15"/>
        <v>972.37291594386022</v>
      </c>
      <c r="M29" s="50">
        <f t="shared" ca="1" si="15"/>
        <v>1134.1383734518611</v>
      </c>
      <c r="N29" s="50">
        <f t="shared" ca="1" si="15"/>
        <v>1331.1491647974358</v>
      </c>
      <c r="O29" s="50">
        <f t="shared" ca="1" si="15"/>
        <v>1577.7143859884441</v>
      </c>
      <c r="P29" s="50">
        <f t="shared" ca="1" si="15"/>
        <v>1831.7023166407421</v>
      </c>
      <c r="Q29" s="50">
        <f t="shared" ca="1" si="15"/>
        <v>2092.370685808201</v>
      </c>
      <c r="R29" s="50">
        <f t="shared" ca="1" si="15"/>
        <v>2243.1125878908319</v>
      </c>
      <c r="S29" s="50">
        <f t="shared" ca="1" si="15"/>
        <v>2425.0237791332006</v>
      </c>
      <c r="T29" s="50">
        <f t="shared" ca="1" si="15"/>
        <v>2620.8230828317228</v>
      </c>
      <c r="U29" s="50">
        <f t="shared" ca="1" si="15"/>
        <v>2829.1216877407837</v>
      </c>
      <c r="V29" s="50">
        <f t="shared" ca="1" si="15"/>
        <v>3048.6696637393293</v>
      </c>
      <c r="W29" s="50">
        <f t="shared" ca="1" si="15"/>
        <v>4162.8931665788332</v>
      </c>
      <c r="X29" s="50">
        <f t="shared" ca="1" si="15"/>
        <v>5165.6943191343862</v>
      </c>
      <c r="Y29" s="50">
        <f t="shared" ca="1" si="15"/>
        <v>6068.2153564343835</v>
      </c>
      <c r="Z29" s="50">
        <f t="shared" ca="1" si="15"/>
        <v>6880.4842900043814</v>
      </c>
      <c r="AA29" s="50">
        <f t="shared" ca="1" si="15"/>
        <v>7611.5263302173798</v>
      </c>
    </row>
    <row r="30" spans="2:27">
      <c r="B30" s="88">
        <v>15</v>
      </c>
      <c r="C30" s="98" t="s">
        <v>471</v>
      </c>
      <c r="D30" s="86">
        <f t="shared" ca="1" si="0"/>
        <v>0</v>
      </c>
      <c r="E30" s="87" t="s">
        <v>106</v>
      </c>
      <c r="F30" s="50"/>
      <c r="G30" s="50"/>
      <c r="H30" s="50">
        <f ca="1">H29*参数输入表!$H$98</f>
        <v>0</v>
      </c>
      <c r="I30" s="50">
        <f ca="1">I29*参数输入表!$H$98</f>
        <v>0</v>
      </c>
      <c r="J30" s="50">
        <f ca="1">J29*参数输入表!$H$98</f>
        <v>0</v>
      </c>
      <c r="K30" s="50">
        <f ca="1">K29*参数输入表!$H$98</f>
        <v>0</v>
      </c>
      <c r="L30" s="50">
        <f ca="1">L29*参数输入表!$H$98</f>
        <v>0</v>
      </c>
      <c r="M30" s="50">
        <f ca="1">M29*参数输入表!$H$98</f>
        <v>0</v>
      </c>
      <c r="N30" s="50">
        <f ca="1">N29*参数输入表!$H$98</f>
        <v>0</v>
      </c>
      <c r="O30" s="50">
        <f ca="1">O29*参数输入表!$H$98</f>
        <v>0</v>
      </c>
      <c r="P30" s="50">
        <f ca="1">P29*参数输入表!$H$98</f>
        <v>0</v>
      </c>
      <c r="Q30" s="50">
        <f ca="1">Q29*参数输入表!$H$98</f>
        <v>0</v>
      </c>
      <c r="R30" s="50">
        <f ca="1">R29*参数输入表!$H$98</f>
        <v>0</v>
      </c>
      <c r="S30" s="50">
        <f ca="1">S29*参数输入表!$H$98</f>
        <v>0</v>
      </c>
      <c r="T30" s="50">
        <f ca="1">T29*参数输入表!$H$98</f>
        <v>0</v>
      </c>
      <c r="U30" s="50">
        <f ca="1">U29*参数输入表!$H$98</f>
        <v>0</v>
      </c>
      <c r="V30" s="50">
        <f ca="1">V29*参数输入表!$H$98</f>
        <v>0</v>
      </c>
      <c r="W30" s="50">
        <f ca="1">W29*参数输入表!$H$98</f>
        <v>0</v>
      </c>
      <c r="X30" s="50">
        <f ca="1">X29*参数输入表!$H$98</f>
        <v>0</v>
      </c>
      <c r="Y30" s="50">
        <f ca="1">Y29*参数输入表!$H$98</f>
        <v>0</v>
      </c>
      <c r="Z30" s="50">
        <f ca="1">Z29*参数输入表!$H$98</f>
        <v>0</v>
      </c>
      <c r="AA30" s="50">
        <f ca="1">AA29*参数输入表!$H$98</f>
        <v>0</v>
      </c>
    </row>
    <row r="31" spans="2:27">
      <c r="B31" s="88">
        <v>16</v>
      </c>
      <c r="C31" s="98" t="s">
        <v>472</v>
      </c>
      <c r="D31" s="86">
        <f t="shared" ca="1" si="0"/>
        <v>5382.2673497627875</v>
      </c>
      <c r="E31" s="87" t="s">
        <v>106</v>
      </c>
      <c r="F31" s="50"/>
      <c r="G31" s="50"/>
      <c r="H31" s="50">
        <f ca="1">IF(H29&lt;0,0,(H29)*0.1)</f>
        <v>16.101931316034793</v>
      </c>
      <c r="I31" s="50">
        <f t="shared" ref="I31:AA31" ca="1" si="16">IF(I29&lt;0,0,(I29)*0.1)</f>
        <v>34.87090037785147</v>
      </c>
      <c r="J31" s="50">
        <f t="shared" ca="1" si="16"/>
        <v>56.040203410871918</v>
      </c>
      <c r="K31" s="50">
        <f t="shared" ca="1" si="16"/>
        <v>75.753104024451858</v>
      </c>
      <c r="L31" s="50">
        <f t="shared" ca="1" si="16"/>
        <v>97.237291594386022</v>
      </c>
      <c r="M31" s="50">
        <f t="shared" ca="1" si="16"/>
        <v>113.41383734518611</v>
      </c>
      <c r="N31" s="50">
        <f t="shared" ca="1" si="16"/>
        <v>133.11491647974358</v>
      </c>
      <c r="O31" s="50">
        <f t="shared" ca="1" si="16"/>
        <v>157.77143859884441</v>
      </c>
      <c r="P31" s="50">
        <f t="shared" ca="1" si="16"/>
        <v>183.17023166407421</v>
      </c>
      <c r="Q31" s="50">
        <f t="shared" ca="1" si="16"/>
        <v>209.23706858082011</v>
      </c>
      <c r="R31" s="50">
        <f t="shared" ca="1" si="16"/>
        <v>224.31125878908321</v>
      </c>
      <c r="S31" s="50">
        <f t="shared" ca="1" si="16"/>
        <v>242.50237791332006</v>
      </c>
      <c r="T31" s="50">
        <f t="shared" ca="1" si="16"/>
        <v>262.08230828317227</v>
      </c>
      <c r="U31" s="50">
        <f t="shared" ca="1" si="16"/>
        <v>282.9121687740784</v>
      </c>
      <c r="V31" s="50">
        <f t="shared" ca="1" si="16"/>
        <v>304.86696637393294</v>
      </c>
      <c r="W31" s="50">
        <f t="shared" ca="1" si="16"/>
        <v>416.28931665788332</v>
      </c>
      <c r="X31" s="50">
        <f t="shared" ca="1" si="16"/>
        <v>516.56943191343862</v>
      </c>
      <c r="Y31" s="50">
        <f t="shared" ca="1" si="16"/>
        <v>606.82153564343832</v>
      </c>
      <c r="Z31" s="50">
        <f t="shared" ca="1" si="16"/>
        <v>688.0484290004382</v>
      </c>
      <c r="AA31" s="50">
        <f t="shared" ca="1" si="16"/>
        <v>761.15263302173798</v>
      </c>
    </row>
    <row r="32" spans="2:27">
      <c r="B32" s="88">
        <v>17</v>
      </c>
      <c r="C32" s="98" t="s">
        <v>473</v>
      </c>
      <c r="D32" s="86">
        <f t="shared" ca="1" si="0"/>
        <v>48440.406147865084</v>
      </c>
      <c r="E32" s="87" t="s">
        <v>106</v>
      </c>
      <c r="F32" s="50"/>
      <c r="G32" s="50"/>
      <c r="H32" s="50">
        <f ca="1">H29-H30-H31</f>
        <v>144.91738184431313</v>
      </c>
      <c r="I32" s="50">
        <f t="shared" ref="I32:AA32" ca="1" si="17">I29-I30-I31</f>
        <v>313.83810340066321</v>
      </c>
      <c r="J32" s="50">
        <f t="shared" ca="1" si="17"/>
        <v>504.36183069784721</v>
      </c>
      <c r="K32" s="50">
        <f t="shared" ca="1" si="17"/>
        <v>681.77793622006664</v>
      </c>
      <c r="L32" s="50">
        <f t="shared" ca="1" si="17"/>
        <v>875.13562434947426</v>
      </c>
      <c r="M32" s="50">
        <f t="shared" ca="1" si="17"/>
        <v>1020.7245361066749</v>
      </c>
      <c r="N32" s="50">
        <f t="shared" ca="1" si="17"/>
        <v>1198.0342483176921</v>
      </c>
      <c r="O32" s="50">
        <f t="shared" ca="1" si="17"/>
        <v>1419.9429473895996</v>
      </c>
      <c r="P32" s="50">
        <f t="shared" ca="1" si="17"/>
        <v>1648.5320849766679</v>
      </c>
      <c r="Q32" s="50">
        <f t="shared" ca="1" si="17"/>
        <v>1883.1336172273809</v>
      </c>
      <c r="R32" s="50">
        <f t="shared" ca="1" si="17"/>
        <v>2018.8013291017487</v>
      </c>
      <c r="S32" s="50">
        <f t="shared" ca="1" si="17"/>
        <v>2182.5214012198803</v>
      </c>
      <c r="T32" s="50">
        <f t="shared" ca="1" si="17"/>
        <v>2358.7407745485507</v>
      </c>
      <c r="U32" s="50">
        <f t="shared" ca="1" si="17"/>
        <v>2546.2095189667052</v>
      </c>
      <c r="V32" s="50">
        <f t="shared" ca="1" si="17"/>
        <v>2743.8026973653964</v>
      </c>
      <c r="W32" s="50">
        <f t="shared" ca="1" si="17"/>
        <v>3746.6038499209499</v>
      </c>
      <c r="X32" s="50">
        <f t="shared" ca="1" si="17"/>
        <v>4649.1248872209471</v>
      </c>
      <c r="Y32" s="50">
        <f t="shared" ca="1" si="17"/>
        <v>5461.393820790945</v>
      </c>
      <c r="Z32" s="50">
        <f t="shared" ca="1" si="17"/>
        <v>6192.4358610039435</v>
      </c>
      <c r="AA32" s="50">
        <f t="shared" ca="1" si="17"/>
        <v>6850.3736971956423</v>
      </c>
    </row>
    <row r="33" spans="2:27">
      <c r="B33" s="88">
        <v>18</v>
      </c>
      <c r="C33" s="98" t="s">
        <v>474</v>
      </c>
      <c r="D33" s="86">
        <f t="shared" ca="1" si="0"/>
        <v>23494.172783642261</v>
      </c>
      <c r="E33" s="87" t="s">
        <v>106</v>
      </c>
      <c r="F33" s="50"/>
      <c r="G33" s="50"/>
      <c r="H33" s="50">
        <f ca="1">H14+'表1-资金筹措及还本付息表'!H93</f>
        <v>895.03716085351073</v>
      </c>
      <c r="I33" s="50">
        <f ca="1">I14+'表1-资金筹措及还本付息表'!I93</f>
        <v>895.03716085351027</v>
      </c>
      <c r="J33" s="50">
        <f ca="1">J14+'表1-资金筹措及还本付息表'!J93</f>
        <v>895.03716085351073</v>
      </c>
      <c r="K33" s="50">
        <f ca="1">K14+'表1-资金筹措及还本付息表'!K93</f>
        <v>895.03716085351061</v>
      </c>
      <c r="L33" s="50">
        <f ca="1">L14+'表1-资金筹措及还本付息表'!L93</f>
        <v>895.0371608535105</v>
      </c>
      <c r="M33" s="50">
        <f ca="1">M14+'表1-资金筹措及还本付息表'!M93</f>
        <v>807.3952550776005</v>
      </c>
      <c r="N33" s="50">
        <f ca="1">N14+'表1-资金筹措及还本付息表'!N93</f>
        <v>890.8664265396684</v>
      </c>
      <c r="O33" s="50">
        <f ca="1">O14+'表1-资金筹措及还本付息表'!O93</f>
        <v>945.94239305759504</v>
      </c>
      <c r="P33" s="50">
        <f ca="1">P14+'表1-资金筹措及还本付息表'!P93</f>
        <v>945.94239305759493</v>
      </c>
      <c r="Q33" s="50">
        <f ca="1">Q14+'表1-资金筹措及还本付息表'!Q93</f>
        <v>945.94239305759493</v>
      </c>
      <c r="R33" s="50">
        <f ca="1">R14+'表1-资金筹措及还本付息表'!R93</f>
        <v>774.18111639319091</v>
      </c>
      <c r="S33" s="50">
        <f ca="1">S14+'表1-资金筹措及还本付息表'!S93</f>
        <v>795.16518718965085</v>
      </c>
      <c r="T33" s="50">
        <f ca="1">T14+'表1-资金筹措及还本付息表'!T93</f>
        <v>795.16518718965085</v>
      </c>
      <c r="U33" s="50">
        <f ca="1">U14+'表1-资金筹措及还本付息表'!U93</f>
        <v>795.16518718965119</v>
      </c>
      <c r="V33" s="50">
        <f ca="1">V14+'表1-资金筹措及还本付息表'!V93</f>
        <v>795.16518718965108</v>
      </c>
      <c r="W33" s="50">
        <f ca="1">W14+'表1-资金筹措及还本付息表'!W93</f>
        <v>2105.6112506865725</v>
      </c>
      <c r="X33" s="50">
        <f ca="1">X14+'表1-资金筹措及还本付息表'!X93</f>
        <v>2105.6112506865725</v>
      </c>
      <c r="Y33" s="50">
        <f ca="1">Y14+'表1-资金筹措及还本付息表'!Y93</f>
        <v>2105.6112506865725</v>
      </c>
      <c r="Z33" s="50">
        <f ca="1">Z14+'表1-资金筹措及还本付息表'!Z93</f>
        <v>2105.6112506865725</v>
      </c>
      <c r="AA33" s="50">
        <f ca="1">AA14+'表1-资金筹措及还本付息表'!AA93</f>
        <v>2105.6112506865725</v>
      </c>
    </row>
    <row r="34" spans="2:27">
      <c r="B34" s="88">
        <v>19</v>
      </c>
      <c r="C34" s="98" t="s">
        <v>475</v>
      </c>
      <c r="D34" s="86">
        <f t="shared" ca="1" si="0"/>
        <v>45210.751912610838</v>
      </c>
      <c r="E34" s="87" t="s">
        <v>106</v>
      </c>
      <c r="F34" s="50"/>
      <c r="G34" s="50"/>
      <c r="H34" s="50">
        <f ca="1">H33+'表2-折旧摊销表'!H38</f>
        <v>2315.9064479174917</v>
      </c>
      <c r="I34" s="50">
        <f ca="1">I33+'表2-折旧摊销表'!I38</f>
        <v>2315.9064479174913</v>
      </c>
      <c r="J34" s="50">
        <f ca="1">J33+'表2-折旧摊销表'!J38</f>
        <v>2315.9064479174917</v>
      </c>
      <c r="K34" s="50">
        <f ca="1">K33+'表2-折旧摊销表'!K38</f>
        <v>2315.9064479174917</v>
      </c>
      <c r="L34" s="50">
        <f ca="1">L33+'表2-折旧摊销表'!L38</f>
        <v>2315.9064479174917</v>
      </c>
      <c r="M34" s="50">
        <f ca="1">M33+'表2-折旧摊销表'!M38</f>
        <v>2228.2645421415818</v>
      </c>
      <c r="N34" s="50">
        <f ca="1">N33+'表2-折旧摊销表'!N38</f>
        <v>2311.7357136036494</v>
      </c>
      <c r="O34" s="50">
        <f ca="1">O33+'表2-折旧摊销表'!O38</f>
        <v>2366.811680121576</v>
      </c>
      <c r="P34" s="50">
        <f ca="1">P33+'表2-折旧摊销表'!P38</f>
        <v>2366.811680121576</v>
      </c>
      <c r="Q34" s="50">
        <f ca="1">Q33+'表2-折旧摊销表'!Q38</f>
        <v>2366.811680121576</v>
      </c>
      <c r="R34" s="50">
        <f ca="1">R33+'表2-折旧摊销表'!R38</f>
        <v>2235.4043857580573</v>
      </c>
      <c r="S34" s="50">
        <f ca="1">S33+'表2-折旧摊销表'!S38</f>
        <v>2256.3884565545168</v>
      </c>
      <c r="T34" s="50">
        <f ca="1">T33+'表2-折旧摊销表'!T38</f>
        <v>2256.3884565545168</v>
      </c>
      <c r="U34" s="50">
        <f ca="1">U33+'表2-折旧摊销表'!U38</f>
        <v>2256.3884565545172</v>
      </c>
      <c r="V34" s="50">
        <f ca="1">V33+'表2-折旧摊销表'!V38</f>
        <v>2256.3884565545172</v>
      </c>
      <c r="W34" s="50">
        <f ca="1">W33+'表2-折旧摊销表'!W38</f>
        <v>2145.9652329874575</v>
      </c>
      <c r="X34" s="50">
        <f ca="1">X33+'表2-折旧摊销表'!X38</f>
        <v>2145.9652329874575</v>
      </c>
      <c r="Y34" s="50">
        <f ca="1">Y33+'表2-折旧摊销表'!Y38</f>
        <v>2145.9652329874575</v>
      </c>
      <c r="Z34" s="50">
        <f ca="1">Z33+'表2-折旧摊销表'!Z38</f>
        <v>2145.9652329874575</v>
      </c>
      <c r="AA34" s="50">
        <f ca="1">AA33+'表2-折旧摊销表'!AA38</f>
        <v>2145.9652329874575</v>
      </c>
    </row>
    <row r="36" spans="2:27" ht="21.5">
      <c r="C36" s="58" t="s">
        <v>476</v>
      </c>
    </row>
    <row r="37" spans="2:27" ht="21.5">
      <c r="C37" s="58" t="s">
        <v>477</v>
      </c>
    </row>
    <row r="38" spans="2:27" ht="21.5">
      <c r="C38" s="58" t="s">
        <v>478</v>
      </c>
    </row>
    <row r="39" spans="2:27" ht="21.5">
      <c r="C39" s="58"/>
    </row>
    <row r="40" spans="2:27" ht="21.5">
      <c r="C40" s="58" t="s">
        <v>440</v>
      </c>
    </row>
    <row r="41" spans="2:27" ht="21.5">
      <c r="C41" s="58" t="s">
        <v>441</v>
      </c>
    </row>
  </sheetData>
  <mergeCells count="6">
    <mergeCell ref="F3:G3"/>
    <mergeCell ref="H3:AA3"/>
    <mergeCell ref="B3:B4"/>
    <mergeCell ref="C3:C4"/>
    <mergeCell ref="D3:D4"/>
    <mergeCell ref="E3:E4"/>
  </mergeCells>
  <phoneticPr fontId="6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56"/>
  <sheetViews>
    <sheetView showGridLines="0" topLeftCell="H1" zoomScale="60" zoomScaleNormal="60" workbookViewId="0">
      <selection activeCell="AA11" sqref="AA11"/>
    </sheetView>
  </sheetViews>
  <sheetFormatPr defaultColWidth="8.81640625" defaultRowHeight="16.5"/>
  <cols>
    <col min="1" max="1" width="2.36328125" style="40" customWidth="1"/>
    <col min="2" max="2" width="8.81640625" style="100"/>
    <col min="3" max="3" width="31" style="40" customWidth="1"/>
    <col min="4" max="4" width="14.1796875" style="40" customWidth="1"/>
    <col min="5" max="5" width="12.36328125" style="40"/>
    <col min="6" max="6" width="14.6328125" style="40" customWidth="1"/>
    <col min="7" max="7" width="15.36328125" style="40" customWidth="1"/>
    <col min="8" max="12" width="14.6328125" style="40" customWidth="1"/>
    <col min="13" max="16" width="13.54296875" style="40" customWidth="1"/>
    <col min="17" max="20" width="14.6328125" style="40" customWidth="1"/>
    <col min="21" max="27" width="13.54296875" style="40" customWidth="1"/>
    <col min="28" max="16384" width="8.81640625" style="40"/>
  </cols>
  <sheetData>
    <row r="1" spans="2:27" ht="7" customHeight="1"/>
    <row r="2" spans="2:27" ht="21" customHeight="1">
      <c r="B2" s="101" t="s">
        <v>479</v>
      </c>
    </row>
    <row r="3" spans="2:27">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c r="B5" s="61">
        <v>1</v>
      </c>
      <c r="C5" s="62" t="s">
        <v>480</v>
      </c>
      <c r="D5" s="63">
        <f ca="1">SUM(F5:AA5)</f>
        <v>86802.276657181152</v>
      </c>
      <c r="E5" s="47" t="s">
        <v>106</v>
      </c>
      <c r="F5" s="46">
        <f ca="1">SUM(F6:F12)</f>
        <v>19801.99480271024</v>
      </c>
      <c r="G5" s="46">
        <f>SUM(G6:G12)</f>
        <v>0</v>
      </c>
      <c r="H5" s="46">
        <f ca="1">H6+H7+H8+H9+H10+H11+H12</f>
        <v>3143.4527772400002</v>
      </c>
      <c r="I5" s="46">
        <f t="shared" ref="I5:AA5" ca="1" si="0">SUM(I6:I12)</f>
        <v>3143.4527772400002</v>
      </c>
      <c r="J5" s="46">
        <f t="shared" ca="1" si="0"/>
        <v>3143.4527772400002</v>
      </c>
      <c r="K5" s="46">
        <f t="shared" ca="1" si="0"/>
        <v>3143.4527772400002</v>
      </c>
      <c r="L5" s="46">
        <f t="shared" ca="1" si="0"/>
        <v>3143.4527772400002</v>
      </c>
      <c r="M5" s="46">
        <f t="shared" ca="1" si="0"/>
        <v>3169.1956663440001</v>
      </c>
      <c r="N5" s="46">
        <f t="shared" ca="1" si="0"/>
        <v>3279.0261551098783</v>
      </c>
      <c r="O5" s="46">
        <f t="shared" ca="1" si="0"/>
        <v>3351.4945321071505</v>
      </c>
      <c r="P5" s="46">
        <f t="shared" ca="1" si="0"/>
        <v>3351.4945321071505</v>
      </c>
      <c r="Q5" s="46">
        <f t="shared" ca="1" si="0"/>
        <v>3351.4945321071505</v>
      </c>
      <c r="R5" s="46">
        <f t="shared" ca="1" si="0"/>
        <v>3323.883912638124</v>
      </c>
      <c r="S5" s="46">
        <f t="shared" ca="1" si="0"/>
        <v>3351.4945321071505</v>
      </c>
      <c r="T5" s="46">
        <f t="shared" ca="1" si="0"/>
        <v>3351.4945321071505</v>
      </c>
      <c r="U5" s="46">
        <f t="shared" ca="1" si="0"/>
        <v>3351.4945321071505</v>
      </c>
      <c r="V5" s="46">
        <f t="shared" ca="1" si="0"/>
        <v>3351.4945321071505</v>
      </c>
      <c r="W5" s="46">
        <f t="shared" ca="1" si="0"/>
        <v>3351.4945321071505</v>
      </c>
      <c r="X5" s="46">
        <f t="shared" ca="1" si="0"/>
        <v>3351.4945321071505</v>
      </c>
      <c r="Y5" s="46">
        <f t="shared" ca="1" si="0"/>
        <v>3351.4945321071505</v>
      </c>
      <c r="Z5" s="46">
        <f t="shared" ca="1" si="0"/>
        <v>3351.4945321071505</v>
      </c>
      <c r="AA5" s="46">
        <f t="shared" ca="1" si="0"/>
        <v>4644.4723810002333</v>
      </c>
    </row>
    <row r="6" spans="2:27">
      <c r="B6" s="64">
        <v>1.1000000000000001</v>
      </c>
      <c r="C6" s="65" t="s">
        <v>317</v>
      </c>
      <c r="D6" s="66">
        <f ca="1">SUM(F6:AA6)</f>
        <v>19801.99480271024</v>
      </c>
      <c r="E6" s="47" t="s">
        <v>106</v>
      </c>
      <c r="F6" s="50">
        <f ca="1">'表1-资金筹措及还本付息表'!F80</f>
        <v>19801.99480271024</v>
      </c>
      <c r="G6" s="50">
        <f>'表1-资金筹措及还本付息表'!G80</f>
        <v>0</v>
      </c>
      <c r="H6" s="50">
        <v>0</v>
      </c>
      <c r="I6" s="50">
        <f>'表1-资金筹措及还本付息表'!I80</f>
        <v>0</v>
      </c>
      <c r="J6" s="50">
        <f>'表1-资金筹措及还本付息表'!J80</f>
        <v>0</v>
      </c>
      <c r="K6" s="50">
        <f>'表1-资金筹措及还本付息表'!K80</f>
        <v>0</v>
      </c>
      <c r="L6" s="50">
        <f>'表1-资金筹措及还本付息表'!L80</f>
        <v>0</v>
      </c>
      <c r="M6" s="50">
        <f>'表1-资金筹措及还本付息表'!M80</f>
        <v>0</v>
      </c>
      <c r="N6" s="50">
        <f>'表1-资金筹措及还本付息表'!N80</f>
        <v>0</v>
      </c>
      <c r="O6" s="50">
        <f>'表1-资金筹措及还本付息表'!O80</f>
        <v>0</v>
      </c>
      <c r="P6" s="50">
        <f>'表1-资金筹措及还本付息表'!P80</f>
        <v>0</v>
      </c>
      <c r="Q6" s="50">
        <f>'表1-资金筹措及还本付息表'!Q80</f>
        <v>0</v>
      </c>
      <c r="R6" s="50">
        <f>'表1-资金筹措及还本付息表'!R80</f>
        <v>0</v>
      </c>
      <c r="S6" s="50">
        <f>'表1-资金筹措及还本付息表'!S80</f>
        <v>0</v>
      </c>
      <c r="T6" s="50">
        <f>'表1-资金筹措及还本付息表'!T80</f>
        <v>0</v>
      </c>
      <c r="U6" s="50">
        <f>'表1-资金筹措及还本付息表'!U80</f>
        <v>0</v>
      </c>
      <c r="V6" s="50">
        <f>'表1-资金筹措及还本付息表'!V80</f>
        <v>0</v>
      </c>
      <c r="W6" s="50">
        <f>'表1-资金筹措及还本付息表'!W80</f>
        <v>0</v>
      </c>
      <c r="X6" s="50">
        <f>'表1-资金筹措及还本付息表'!X80</f>
        <v>0</v>
      </c>
      <c r="Y6" s="50">
        <f>'表1-资金筹措及还本付息表'!Y80</f>
        <v>0</v>
      </c>
      <c r="Z6" s="50">
        <f>'表1-资金筹措及还本付息表'!Z80</f>
        <v>0</v>
      </c>
      <c r="AA6" s="50">
        <f>'表1-资金筹措及还本付息表'!AA80</f>
        <v>0</v>
      </c>
    </row>
    <row r="7" spans="2:27">
      <c r="B7" s="64">
        <v>1.2</v>
      </c>
      <c r="C7" s="65" t="s">
        <v>243</v>
      </c>
      <c r="D7" s="66">
        <f>SUM(F7:AA7)</f>
        <v>63255.198881359996</v>
      </c>
      <c r="E7" s="47" t="s">
        <v>106</v>
      </c>
      <c r="F7" s="50"/>
      <c r="G7" s="50"/>
      <c r="H7" s="50">
        <f>'表4-收入税金表'!H6+'表4-收入税金表'!H24</f>
        <v>3143.4527772400002</v>
      </c>
      <c r="I7" s="50">
        <f>'表4-收入税金表'!I6+'表4-收入税金表'!I24</f>
        <v>3143.4527772400002</v>
      </c>
      <c r="J7" s="50">
        <f>'表4-收入税金表'!J6+'表4-收入税金表'!J24</f>
        <v>3143.4527772400002</v>
      </c>
      <c r="K7" s="50">
        <f>'表4-收入税金表'!K6+'表4-收入税金表'!K24</f>
        <v>3143.4527772400002</v>
      </c>
      <c r="L7" s="50">
        <f>'表4-收入税金表'!L6+'表4-收入税金表'!L24</f>
        <v>3143.4527772400002</v>
      </c>
      <c r="M7" s="50">
        <f>'表4-收入税金表'!M6+'表4-收入税金表'!M24</f>
        <v>3169.1956663440001</v>
      </c>
      <c r="N7" s="50">
        <f>'表4-收入税金表'!N6+'表4-收入税金表'!N24</f>
        <v>3169.1956663440001</v>
      </c>
      <c r="O7" s="50">
        <f>'表4-收入税金表'!O6+'表4-收入税金表'!O24</f>
        <v>3169.1956663440001</v>
      </c>
      <c r="P7" s="50">
        <f>'表4-收入税金表'!P6+'表4-收入税金表'!P24</f>
        <v>3169.1956663440001</v>
      </c>
      <c r="Q7" s="50">
        <f>'表4-收入税金表'!Q6+'表4-收入税金表'!Q24</f>
        <v>3169.1956663440001</v>
      </c>
      <c r="R7" s="50">
        <f>'表4-收入税金表'!R6+'表4-收入税金表'!R24</f>
        <v>3169.1956663440001</v>
      </c>
      <c r="S7" s="50">
        <f>'表4-收入税金表'!S6+'表4-收入税金表'!S24</f>
        <v>3169.1956663440001</v>
      </c>
      <c r="T7" s="50">
        <f>'表4-收入税金表'!T6+'表4-收入税金表'!T24</f>
        <v>3169.1956663440001</v>
      </c>
      <c r="U7" s="50">
        <f>'表4-收入税金表'!U6+'表4-收入税金表'!U24</f>
        <v>3169.1956663440001</v>
      </c>
      <c r="V7" s="50">
        <f>'表4-收入税金表'!V6+'表4-收入税金表'!V24</f>
        <v>3169.1956663440001</v>
      </c>
      <c r="W7" s="50">
        <f>'表4-收入税金表'!W6+'表4-收入税金表'!W24</f>
        <v>3169.1956663440001</v>
      </c>
      <c r="X7" s="50">
        <f>'表4-收入税金表'!X6+'表4-收入税金表'!X24</f>
        <v>3169.1956663440001</v>
      </c>
      <c r="Y7" s="50">
        <f>'表4-收入税金表'!Y6+'表4-收入税金表'!Y24</f>
        <v>3169.1956663440001</v>
      </c>
      <c r="Z7" s="50">
        <f>'表4-收入税金表'!Z6+'表4-收入税金表'!Z24</f>
        <v>3169.1956663440001</v>
      </c>
      <c r="AA7" s="50">
        <f>'表4-收入税金表'!AA6+'表4-收入税金表'!AA24</f>
        <v>3169.1956663440001</v>
      </c>
    </row>
    <row r="8" spans="2:27">
      <c r="B8" s="64">
        <v>1.3</v>
      </c>
      <c r="C8" s="65" t="s">
        <v>259</v>
      </c>
      <c r="D8" s="66">
        <f t="shared" ref="D8:D30" si="1">SUM(F8:AA8)</f>
        <v>0</v>
      </c>
      <c r="E8" s="47" t="s">
        <v>106</v>
      </c>
      <c r="F8" s="50"/>
      <c r="G8" s="50"/>
      <c r="H8" s="50">
        <f>('表4-收入税金表'!H16+'表4-收入税金表'!H25)</f>
        <v>0</v>
      </c>
      <c r="I8" s="50">
        <f>('表4-收入税金表'!I16+'表4-收入税金表'!I25)</f>
        <v>0</v>
      </c>
      <c r="J8" s="50">
        <f>('表4-收入税金表'!J16+'表4-收入税金表'!J25)</f>
        <v>0</v>
      </c>
      <c r="K8" s="50">
        <f>('表4-收入税金表'!K16+'表4-收入税金表'!K25)</f>
        <v>0</v>
      </c>
      <c r="L8" s="50">
        <f>('表4-收入税金表'!L16+'表4-收入税金表'!L25)</f>
        <v>0</v>
      </c>
      <c r="M8" s="50">
        <f>('表4-收入税金表'!M16+'表4-收入税金表'!M25)</f>
        <v>0</v>
      </c>
      <c r="N8" s="50">
        <f>('表4-收入税金表'!N16+'表4-收入税金表'!N25)</f>
        <v>0</v>
      </c>
      <c r="O8" s="50">
        <f>('表4-收入税金表'!O16+'表4-收入税金表'!O25)</f>
        <v>0</v>
      </c>
      <c r="P8" s="50">
        <f>('表4-收入税金表'!P16+'表4-收入税金表'!P25)</f>
        <v>0</v>
      </c>
      <c r="Q8" s="50">
        <f>('表4-收入税金表'!Q16+'表4-收入税金表'!Q25)</f>
        <v>0</v>
      </c>
      <c r="R8" s="50">
        <f>('表4-收入税金表'!R16+'表4-收入税金表'!R25)</f>
        <v>0</v>
      </c>
      <c r="S8" s="50">
        <f>('表4-收入税金表'!S16+'表4-收入税金表'!S25)</f>
        <v>0</v>
      </c>
      <c r="T8" s="50">
        <f>('表4-收入税金表'!T16+'表4-收入税金表'!T25)</f>
        <v>0</v>
      </c>
      <c r="U8" s="50">
        <f>('表4-收入税金表'!U16+'表4-收入税金表'!U25)</f>
        <v>0</v>
      </c>
      <c r="V8" s="50">
        <f>('表4-收入税金表'!V16+'表4-收入税金表'!V25)</f>
        <v>0</v>
      </c>
      <c r="W8" s="50">
        <f>('表4-收入税金表'!W16+'表4-收入税金表'!W25)</f>
        <v>0</v>
      </c>
      <c r="X8" s="50">
        <f>('表4-收入税金表'!X16+'表4-收入税金表'!X25)</f>
        <v>0</v>
      </c>
      <c r="Y8" s="50">
        <f>('表4-收入税金表'!Y16+'表4-收入税金表'!Y25)</f>
        <v>0</v>
      </c>
      <c r="Z8" s="50">
        <f>('表4-收入税金表'!Z16+'表4-收入税金表'!Z25)</f>
        <v>0</v>
      </c>
      <c r="AA8" s="50">
        <f>('表4-收入税金表'!AA16+'表4-收入税金表'!AA25)</f>
        <v>0</v>
      </c>
    </row>
    <row r="9" spans="2:27">
      <c r="B9" s="64">
        <v>1.4</v>
      </c>
      <c r="C9" s="65" t="s">
        <v>413</v>
      </c>
      <c r="D9" s="66">
        <f t="shared" si="1"/>
        <v>0</v>
      </c>
      <c r="E9" s="47" t="s">
        <v>106</v>
      </c>
      <c r="F9" s="50"/>
      <c r="G9" s="50"/>
      <c r="H9" s="50">
        <f>参数输入表!H244</f>
        <v>0</v>
      </c>
      <c r="I9" s="50"/>
      <c r="J9" s="50"/>
      <c r="K9" s="50"/>
      <c r="L9" s="50"/>
      <c r="M9" s="50"/>
      <c r="N9" s="50"/>
      <c r="O9" s="50"/>
      <c r="P9" s="50"/>
      <c r="Q9" s="50"/>
      <c r="R9" s="50"/>
      <c r="S9" s="50"/>
      <c r="T9" s="50"/>
      <c r="U9" s="50"/>
      <c r="V9" s="50"/>
      <c r="W9" s="50"/>
      <c r="X9" s="50"/>
      <c r="Y9" s="50"/>
      <c r="Z9" s="50"/>
      <c r="AA9" s="50"/>
    </row>
    <row r="10" spans="2:27">
      <c r="B10" s="64">
        <v>1.5</v>
      </c>
      <c r="C10" s="65" t="s">
        <v>481</v>
      </c>
      <c r="D10" s="66">
        <f t="shared" ca="1" si="1"/>
        <v>1142.9778488930826</v>
      </c>
      <c r="E10" s="47" t="s">
        <v>106</v>
      </c>
      <c r="F10" s="50"/>
      <c r="G10" s="50"/>
      <c r="H10" s="50">
        <v>0</v>
      </c>
      <c r="I10" s="50">
        <v>0</v>
      </c>
      <c r="J10" s="50">
        <v>0</v>
      </c>
      <c r="K10" s="50">
        <v>0</v>
      </c>
      <c r="L10" s="50">
        <v>0</v>
      </c>
      <c r="M10" s="50">
        <v>0</v>
      </c>
      <c r="N10" s="50">
        <v>0</v>
      </c>
      <c r="O10" s="50">
        <v>0</v>
      </c>
      <c r="P10" s="50">
        <v>0</v>
      </c>
      <c r="Q10" s="50">
        <v>0</v>
      </c>
      <c r="R10" s="50">
        <v>0</v>
      </c>
      <c r="S10" s="50">
        <v>0</v>
      </c>
      <c r="T10" s="50">
        <v>0</v>
      </c>
      <c r="U10" s="50">
        <v>0</v>
      </c>
      <c r="V10" s="50">
        <v>0</v>
      </c>
      <c r="W10" s="50">
        <v>0</v>
      </c>
      <c r="X10" s="50">
        <v>0</v>
      </c>
      <c r="Y10" s="50">
        <v>0</v>
      </c>
      <c r="Z10" s="50">
        <v>0</v>
      </c>
      <c r="AA10" s="50">
        <f ca="1">(参数输入表!H80-参数输入表!H83)*参数输入表!H152+'表2-折旧摊销表'!R35*'表2-折旧摊销表'!D22</f>
        <v>1142.9778488930826</v>
      </c>
    </row>
    <row r="11" spans="2:27">
      <c r="B11" s="64">
        <v>1.6</v>
      </c>
      <c r="C11" s="65" t="s">
        <v>482</v>
      </c>
      <c r="D11" s="66">
        <f t="shared" si="1"/>
        <v>150</v>
      </c>
      <c r="E11" s="47" t="s">
        <v>106</v>
      </c>
      <c r="F11" s="50"/>
      <c r="G11" s="50"/>
      <c r="H11" s="50"/>
      <c r="I11" s="50"/>
      <c r="J11" s="50"/>
      <c r="K11" s="50"/>
      <c r="L11" s="50"/>
      <c r="M11" s="50"/>
      <c r="N11" s="50"/>
      <c r="O11" s="50"/>
      <c r="P11" s="50"/>
      <c r="Q11" s="50"/>
      <c r="R11" s="50"/>
      <c r="S11" s="50"/>
      <c r="T11" s="50"/>
      <c r="U11" s="50"/>
      <c r="V11" s="50"/>
      <c r="W11" s="50"/>
      <c r="X11" s="50"/>
      <c r="Y11" s="50"/>
      <c r="Z11" s="50"/>
      <c r="AA11" s="50">
        <f>'表1-资金筹措及还本付息表'!H6</f>
        <v>150</v>
      </c>
    </row>
    <row r="12" spans="2:27">
      <c r="B12" s="64">
        <v>1.7</v>
      </c>
      <c r="C12" s="65" t="s">
        <v>414</v>
      </c>
      <c r="D12" s="66">
        <f t="shared" ca="1" si="1"/>
        <v>2452.1051242178078</v>
      </c>
      <c r="E12" s="47" t="s">
        <v>106</v>
      </c>
      <c r="F12" s="50"/>
      <c r="G12" s="50"/>
      <c r="H12" s="50">
        <f ca="1">'表4-收入税金表'!H19</f>
        <v>0</v>
      </c>
      <c r="I12" s="50">
        <f ca="1">'表4-收入税金表'!I19</f>
        <v>0</v>
      </c>
      <c r="J12" s="50">
        <f ca="1">'表4-收入税金表'!J19</f>
        <v>0</v>
      </c>
      <c r="K12" s="50">
        <f ca="1">'表4-收入税金表'!K19</f>
        <v>0</v>
      </c>
      <c r="L12" s="50">
        <f ca="1">'表4-收入税金表'!L19</f>
        <v>0</v>
      </c>
      <c r="M12" s="50">
        <f ca="1">'表4-收入税金表'!M19</f>
        <v>0</v>
      </c>
      <c r="N12" s="50">
        <f ca="1">'表4-收入税金表'!N19</f>
        <v>109.83048876587841</v>
      </c>
      <c r="O12" s="50">
        <f ca="1">'表4-收入税金表'!O19</f>
        <v>182.2988657631505</v>
      </c>
      <c r="P12" s="50">
        <f ca="1">'表4-收入税金表'!P19</f>
        <v>182.2988657631505</v>
      </c>
      <c r="Q12" s="50">
        <f ca="1">'表4-收入税金表'!Q19</f>
        <v>182.2988657631505</v>
      </c>
      <c r="R12" s="50">
        <f ca="1">'表4-收入税金表'!R19</f>
        <v>154.68824629412396</v>
      </c>
      <c r="S12" s="50">
        <f ca="1">'表4-收入税金表'!S19</f>
        <v>182.2988657631505</v>
      </c>
      <c r="T12" s="50">
        <f ca="1">'表4-收入税金表'!T19</f>
        <v>182.2988657631505</v>
      </c>
      <c r="U12" s="50">
        <f ca="1">'表4-收入税金表'!U19</f>
        <v>182.2988657631505</v>
      </c>
      <c r="V12" s="50">
        <f ca="1">'表4-收入税金表'!V19</f>
        <v>182.2988657631505</v>
      </c>
      <c r="W12" s="50">
        <f ca="1">'表4-收入税金表'!W19</f>
        <v>182.2988657631505</v>
      </c>
      <c r="X12" s="50">
        <f ca="1">'表4-收入税金表'!X19</f>
        <v>182.2988657631505</v>
      </c>
      <c r="Y12" s="50">
        <f ca="1">'表4-收入税金表'!Y19</f>
        <v>182.2988657631505</v>
      </c>
      <c r="Z12" s="50">
        <f ca="1">'表4-收入税金表'!Z19</f>
        <v>182.2988657631505</v>
      </c>
      <c r="AA12" s="50">
        <f ca="1">'表4-收入税金表'!AA19</f>
        <v>182.2988657631505</v>
      </c>
    </row>
    <row r="13" spans="2:27">
      <c r="B13" s="61">
        <v>2</v>
      </c>
      <c r="C13" s="62" t="s">
        <v>483</v>
      </c>
      <c r="D13" s="63">
        <f t="shared" ca="1" si="1"/>
        <v>69076.178376719443</v>
      </c>
      <c r="E13" s="47" t="s">
        <v>106</v>
      </c>
      <c r="F13" s="46">
        <f ca="1">F14+F17+F18+F22+F23+F24+F25+F26</f>
        <v>24752.493503387799</v>
      </c>
      <c r="G13" s="46">
        <f t="shared" ref="G13:AA13" si="2">G14+G17+G18+G22+G23+G24+G25+G26</f>
        <v>0</v>
      </c>
      <c r="H13" s="46">
        <f t="shared" ca="1" si="2"/>
        <v>2547.1699688539761</v>
      </c>
      <c r="I13" s="46">
        <f t="shared" ca="1" si="2"/>
        <v>2454.6451813274716</v>
      </c>
      <c r="J13" s="46">
        <f t="shared" ca="1" si="2"/>
        <v>2407.1203938009671</v>
      </c>
      <c r="K13" s="46">
        <f t="shared" ca="1" si="2"/>
        <v>2359.5956062744626</v>
      </c>
      <c r="L13" s="46">
        <f t="shared" ca="1" si="2"/>
        <v>2312.0708187479577</v>
      </c>
      <c r="M13" s="46">
        <f t="shared" ca="1" si="2"/>
        <v>2374.9692547885134</v>
      </c>
      <c r="N13" s="46">
        <f t="shared" ca="1" si="2"/>
        <v>2573.4647620975766</v>
      </c>
      <c r="O13" s="46">
        <f t="shared" ca="1" si="2"/>
        <v>2688.2691390449613</v>
      </c>
      <c r="P13" s="46">
        <f t="shared" ca="1" si="2"/>
        <v>2640.7443515184564</v>
      </c>
      <c r="Q13" s="46">
        <f t="shared" ca="1" si="2"/>
        <v>2593.2195639919523</v>
      </c>
      <c r="R13" s="46">
        <f t="shared" ca="1" si="2"/>
        <v>3074.2702124218868</v>
      </c>
      <c r="S13" s="46">
        <f t="shared" ca="1" si="2"/>
        <v>2608.5932125060021</v>
      </c>
      <c r="T13" s="46">
        <f t="shared" ca="1" si="2"/>
        <v>2561.0684249794972</v>
      </c>
      <c r="U13" s="46">
        <f t="shared" ca="1" si="2"/>
        <v>2513.5436374529932</v>
      </c>
      <c r="V13" s="46">
        <f t="shared" ca="1" si="2"/>
        <v>2466.0188499264882</v>
      </c>
      <c r="W13" s="46">
        <f t="shared" ca="1" si="2"/>
        <v>1208.7842991196944</v>
      </c>
      <c r="X13" s="46">
        <f t="shared" ca="1" si="2"/>
        <v>1208.7842991196944</v>
      </c>
      <c r="Y13" s="46">
        <f t="shared" ca="1" si="2"/>
        <v>1208.7842991196944</v>
      </c>
      <c r="Z13" s="46">
        <f t="shared" ca="1" si="2"/>
        <v>1208.7842991196944</v>
      </c>
      <c r="AA13" s="46">
        <f t="shared" ca="1" si="2"/>
        <v>1313.7842991196944</v>
      </c>
    </row>
    <row r="14" spans="2:27">
      <c r="B14" s="64">
        <v>2.1</v>
      </c>
      <c r="C14" s="65" t="s">
        <v>484</v>
      </c>
      <c r="D14" s="66">
        <f t="shared" ca="1" si="1"/>
        <v>24752.493503387799</v>
      </c>
      <c r="E14" s="47"/>
      <c r="F14" s="46">
        <f ca="1">SUM(F15:F16)</f>
        <v>24752.493503387799</v>
      </c>
      <c r="G14" s="46">
        <f>SUM(G15:G16)</f>
        <v>0</v>
      </c>
      <c r="H14" s="46"/>
      <c r="I14" s="46"/>
      <c r="J14" s="46"/>
      <c r="K14" s="46"/>
      <c r="L14" s="46"/>
      <c r="M14" s="46"/>
      <c r="N14" s="46"/>
      <c r="O14" s="46"/>
      <c r="P14" s="46"/>
      <c r="Q14" s="46"/>
      <c r="R14" s="46"/>
      <c r="S14" s="46"/>
      <c r="T14" s="46"/>
      <c r="U14" s="46"/>
      <c r="V14" s="46"/>
      <c r="W14" s="46"/>
      <c r="X14" s="46"/>
      <c r="Y14" s="46"/>
      <c r="Z14" s="46"/>
      <c r="AA14" s="46"/>
    </row>
    <row r="15" spans="2:27">
      <c r="B15" s="64"/>
      <c r="C15" s="102" t="s">
        <v>485</v>
      </c>
      <c r="D15" s="66">
        <f t="shared" ca="1" si="1"/>
        <v>4950.4987006775609</v>
      </c>
      <c r="E15" s="47" t="s">
        <v>106</v>
      </c>
      <c r="F15" s="50">
        <f ca="1">'表1-资金筹措及还本付息表'!F11</f>
        <v>4950.4987006775609</v>
      </c>
      <c r="G15" s="50">
        <f>'表1-资金筹措及还本付息表'!G11</f>
        <v>0</v>
      </c>
      <c r="H15" s="50"/>
      <c r="I15" s="50"/>
      <c r="J15" s="50"/>
      <c r="K15" s="50"/>
      <c r="L15" s="50"/>
      <c r="M15" s="50"/>
      <c r="N15" s="50"/>
      <c r="O15" s="50"/>
      <c r="P15" s="50"/>
      <c r="Q15" s="50"/>
      <c r="R15" s="50"/>
      <c r="S15" s="50"/>
      <c r="T15" s="50"/>
      <c r="U15" s="50"/>
      <c r="V15" s="50"/>
      <c r="W15" s="50"/>
      <c r="X15" s="50"/>
      <c r="Y15" s="50"/>
      <c r="Z15" s="50"/>
      <c r="AA15" s="50"/>
    </row>
    <row r="16" spans="2:27">
      <c r="B16" s="64"/>
      <c r="C16" s="102" t="s">
        <v>486</v>
      </c>
      <c r="D16" s="66">
        <f t="shared" ca="1" si="1"/>
        <v>19801.99480271024</v>
      </c>
      <c r="E16" s="47" t="s">
        <v>106</v>
      </c>
      <c r="F16" s="50">
        <f ca="1">'表1-资金筹措及还本付息表'!F15</f>
        <v>19801.99480271024</v>
      </c>
      <c r="G16" s="50">
        <f>'表1-资金筹措及还本付息表'!G15</f>
        <v>0</v>
      </c>
      <c r="H16" s="50"/>
      <c r="I16" s="50"/>
      <c r="J16" s="50"/>
      <c r="K16" s="50"/>
      <c r="L16" s="50"/>
      <c r="M16" s="50"/>
      <c r="N16" s="50"/>
      <c r="O16" s="50"/>
      <c r="P16" s="50"/>
      <c r="Q16" s="50"/>
      <c r="R16" s="50"/>
      <c r="S16" s="50"/>
      <c r="T16" s="50"/>
      <c r="U16" s="50"/>
      <c r="V16" s="50"/>
      <c r="W16" s="50"/>
      <c r="X16" s="50"/>
      <c r="Y16" s="50"/>
      <c r="Z16" s="50"/>
      <c r="AA16" s="50"/>
    </row>
    <row r="17" spans="2:27">
      <c r="B17" s="64">
        <v>2.2000000000000002</v>
      </c>
      <c r="C17" s="65" t="s">
        <v>487</v>
      </c>
      <c r="D17" s="66">
        <f t="shared" si="1"/>
        <v>45</v>
      </c>
      <c r="E17" s="47" t="s">
        <v>106</v>
      </c>
      <c r="F17" s="50"/>
      <c r="G17" s="50"/>
      <c r="H17" s="50">
        <f>'表1-资金筹措及还本付息表'!H11</f>
        <v>45</v>
      </c>
      <c r="I17" s="50"/>
      <c r="J17" s="50"/>
      <c r="K17" s="50"/>
      <c r="L17" s="50"/>
      <c r="M17" s="50"/>
      <c r="N17" s="50"/>
      <c r="O17" s="50"/>
      <c r="P17" s="50"/>
      <c r="Q17" s="50"/>
      <c r="R17" s="50"/>
      <c r="S17" s="50"/>
      <c r="T17" s="50"/>
      <c r="U17" s="50"/>
      <c r="V17" s="50"/>
      <c r="W17" s="50"/>
      <c r="X17" s="50"/>
      <c r="Y17" s="50"/>
      <c r="Z17" s="50"/>
      <c r="AA17" s="50"/>
    </row>
    <row r="18" spans="2:27">
      <c r="B18" s="64">
        <v>2.2999999999999998</v>
      </c>
      <c r="C18" s="65" t="s">
        <v>488</v>
      </c>
      <c r="D18" s="66">
        <f t="shared" ca="1" si="1"/>
        <v>25675.069305890796</v>
      </c>
      <c r="E18" s="47" t="s">
        <v>106</v>
      </c>
      <c r="F18" s="50"/>
      <c r="G18" s="50"/>
      <c r="H18" s="50">
        <f ca="1">SUM(H19:H21)</f>
        <v>2036.2597997449179</v>
      </c>
      <c r="I18" s="50">
        <f t="shared" ref="I18:AA18" ca="1" si="3">SUM(I19:I21)</f>
        <v>1988.7350122184134</v>
      </c>
      <c r="J18" s="50">
        <f t="shared" ca="1" si="3"/>
        <v>1941.2102246919089</v>
      </c>
      <c r="K18" s="50">
        <f t="shared" ca="1" si="3"/>
        <v>1893.6854371654042</v>
      </c>
      <c r="L18" s="50">
        <f t="shared" ca="1" si="3"/>
        <v>1846.1606496388995</v>
      </c>
      <c r="M18" s="50">
        <f t="shared" ca="1" si="3"/>
        <v>1798.635862112395</v>
      </c>
      <c r="N18" s="50">
        <f t="shared" ca="1" si="3"/>
        <v>1751.1110745858905</v>
      </c>
      <c r="O18" s="50">
        <f t="shared" ca="1" si="3"/>
        <v>1703.586287059386</v>
      </c>
      <c r="P18" s="50">
        <f t="shared" ca="1" si="3"/>
        <v>1656.0614995328813</v>
      </c>
      <c r="Q18" s="50">
        <f t="shared" ca="1" si="3"/>
        <v>1608.5367120063768</v>
      </c>
      <c r="R18" s="50">
        <f t="shared" ca="1" si="3"/>
        <v>1561.0119244798721</v>
      </c>
      <c r="S18" s="50">
        <f t="shared" ca="1" si="3"/>
        <v>1513.4871369533676</v>
      </c>
      <c r="T18" s="50">
        <f t="shared" ca="1" si="3"/>
        <v>1465.9623494268631</v>
      </c>
      <c r="U18" s="50">
        <f t="shared" ca="1" si="3"/>
        <v>1418.4375619003586</v>
      </c>
      <c r="V18" s="50">
        <f t="shared" ca="1" si="3"/>
        <v>1370.9127743738538</v>
      </c>
      <c r="W18" s="50">
        <f t="shared" si="3"/>
        <v>3.2549999999999999</v>
      </c>
      <c r="X18" s="50">
        <f t="shared" si="3"/>
        <v>3.2549999999999999</v>
      </c>
      <c r="Y18" s="50">
        <f t="shared" si="3"/>
        <v>3.2549999999999999</v>
      </c>
      <c r="Z18" s="50">
        <f t="shared" si="3"/>
        <v>3.2549999999999999</v>
      </c>
      <c r="AA18" s="50">
        <f t="shared" si="3"/>
        <v>108.255</v>
      </c>
    </row>
    <row r="19" spans="2:27">
      <c r="B19" s="103"/>
      <c r="C19" s="104" t="s">
        <v>489</v>
      </c>
      <c r="D19" s="66">
        <f t="shared" ca="1" si="1"/>
        <v>19801.994802710236</v>
      </c>
      <c r="E19" s="47" t="s">
        <v>106</v>
      </c>
      <c r="F19" s="50"/>
      <c r="G19" s="50"/>
      <c r="H19" s="50">
        <f ca="1">'表1-资金筹措及还本付息表'!H52</f>
        <v>1320.1329868473492</v>
      </c>
      <c r="I19" s="50">
        <f ca="1">'表1-资金筹措及还本付息表'!I52</f>
        <v>1320.1329868473492</v>
      </c>
      <c r="J19" s="50">
        <f ca="1">'表1-资金筹措及还本付息表'!J52</f>
        <v>1320.1329868473492</v>
      </c>
      <c r="K19" s="50">
        <f ca="1">'表1-资金筹措及还本付息表'!K52</f>
        <v>1320.1329868473492</v>
      </c>
      <c r="L19" s="50">
        <f ca="1">'表1-资金筹措及还本付息表'!L52</f>
        <v>1320.1329868473492</v>
      </c>
      <c r="M19" s="50">
        <f ca="1">'表1-资金筹措及还本付息表'!M52</f>
        <v>1320.1329868473492</v>
      </c>
      <c r="N19" s="50">
        <f ca="1">'表1-资金筹措及还本付息表'!N52</f>
        <v>1320.1329868473492</v>
      </c>
      <c r="O19" s="50">
        <f ca="1">'表1-资金筹措及还本付息表'!O52</f>
        <v>1320.1329868473492</v>
      </c>
      <c r="P19" s="50">
        <f ca="1">'表1-资金筹措及还本付息表'!P52</f>
        <v>1320.1329868473492</v>
      </c>
      <c r="Q19" s="50">
        <f ca="1">'表1-资金筹措及还本付息表'!Q52</f>
        <v>1320.1329868473492</v>
      </c>
      <c r="R19" s="50">
        <f ca="1">'表1-资金筹措及还本付息表'!R52</f>
        <v>1320.1329868473492</v>
      </c>
      <c r="S19" s="50">
        <f ca="1">'表1-资金筹措及还本付息表'!S52</f>
        <v>1320.1329868473492</v>
      </c>
      <c r="T19" s="50">
        <f ca="1">'表1-资金筹措及还本付息表'!T52</f>
        <v>1320.1329868473492</v>
      </c>
      <c r="U19" s="50">
        <f ca="1">'表1-资金筹措及还本付息表'!U52</f>
        <v>1320.1329868473492</v>
      </c>
      <c r="V19" s="50">
        <f ca="1">'表1-资金筹措及还本付息表'!V52</f>
        <v>1320.1329868473492</v>
      </c>
      <c r="W19" s="50">
        <f>'表1-资金筹措及还本付息表'!W52</f>
        <v>0</v>
      </c>
      <c r="X19" s="50">
        <f>'表1-资金筹措及还本付息表'!X52</f>
        <v>0</v>
      </c>
      <c r="Y19" s="50">
        <f>'表1-资金筹措及还本付息表'!Y52</f>
        <v>0</v>
      </c>
      <c r="Z19" s="50">
        <f>'表1-资金筹措及还本付息表'!Z52</f>
        <v>0</v>
      </c>
      <c r="AA19" s="50">
        <f>'表1-资金筹措及还本付息表'!AA52</f>
        <v>0</v>
      </c>
    </row>
    <row r="20" spans="2:27">
      <c r="B20" s="103"/>
      <c r="C20" s="104" t="s">
        <v>490</v>
      </c>
      <c r="D20" s="66"/>
      <c r="E20" s="47" t="s">
        <v>106</v>
      </c>
      <c r="F20" s="50"/>
      <c r="G20" s="50"/>
      <c r="H20" s="50">
        <f>'表1-资金筹措及还本付息表'!H62</f>
        <v>0</v>
      </c>
      <c r="I20" s="50">
        <f>'表1-资金筹措及还本付息表'!I62</f>
        <v>0</v>
      </c>
      <c r="J20" s="50">
        <f>'表1-资金筹措及还本付息表'!J62</f>
        <v>0</v>
      </c>
      <c r="K20" s="50">
        <f>'表1-资金筹措及还本付息表'!K62</f>
        <v>0</v>
      </c>
      <c r="L20" s="50">
        <f>'表1-资金筹措及还本付息表'!L62</f>
        <v>0</v>
      </c>
      <c r="M20" s="50">
        <f>'表1-资金筹措及还本付息表'!M62</f>
        <v>0</v>
      </c>
      <c r="N20" s="50">
        <f>'表1-资金筹措及还本付息表'!N62</f>
        <v>0</v>
      </c>
      <c r="O20" s="50">
        <f>'表1-资金筹措及还本付息表'!O62</f>
        <v>0</v>
      </c>
      <c r="P20" s="50">
        <f>'表1-资金筹措及还本付息表'!P62</f>
        <v>0</v>
      </c>
      <c r="Q20" s="50">
        <f>'表1-资金筹措及还本付息表'!Q62</f>
        <v>0</v>
      </c>
      <c r="R20" s="50">
        <f>'表1-资金筹措及还本付息表'!R62</f>
        <v>0</v>
      </c>
      <c r="S20" s="50">
        <f>'表1-资金筹措及还本付息表'!S62</f>
        <v>0</v>
      </c>
      <c r="T20" s="50">
        <f>'表1-资金筹措及还本付息表'!T62</f>
        <v>0</v>
      </c>
      <c r="U20" s="50">
        <f>'表1-资金筹措及还本付息表'!U62</f>
        <v>0</v>
      </c>
      <c r="V20" s="50">
        <f>'表1-资金筹措及还本付息表'!V62</f>
        <v>0</v>
      </c>
      <c r="W20" s="50">
        <f>'表1-资金筹措及还本付息表'!W62</f>
        <v>0</v>
      </c>
      <c r="X20" s="50">
        <f>'表1-资金筹措及还本付息表'!X62</f>
        <v>0</v>
      </c>
      <c r="Y20" s="50">
        <f>'表1-资金筹措及还本付息表'!Y62</f>
        <v>0</v>
      </c>
      <c r="Z20" s="50">
        <f>'表1-资金筹措及还本付息表'!Z62</f>
        <v>0</v>
      </c>
      <c r="AA20" s="50">
        <f>'表1-资金筹措及还本付息表'!AA62</f>
        <v>105</v>
      </c>
    </row>
    <row r="21" spans="2:27">
      <c r="B21" s="103"/>
      <c r="C21" s="104" t="s">
        <v>491</v>
      </c>
      <c r="D21" s="66">
        <f t="shared" ca="1" si="1"/>
        <v>5768.0745031805509</v>
      </c>
      <c r="E21" s="47" t="s">
        <v>106</v>
      </c>
      <c r="F21" s="50"/>
      <c r="G21" s="50"/>
      <c r="H21" s="50">
        <f ca="1">'表1-资金筹措及还本付息表'!H53+'表1-资金筹措及还本付息表'!H63</f>
        <v>716.12681289756858</v>
      </c>
      <c r="I21" s="50">
        <f ca="1">'表1-资金筹措及还本付息表'!I53+'表1-资金筹措及还本付息表'!I63</f>
        <v>668.60202537106409</v>
      </c>
      <c r="J21" s="50">
        <f ca="1">'表1-资金筹措及还本付息表'!J53+'表1-资金筹措及还本付息表'!J63</f>
        <v>621.07723784455959</v>
      </c>
      <c r="K21" s="50">
        <f ca="1">'表1-资金筹措及还本付息表'!K53+'表1-资金筹措及还本付息表'!K63</f>
        <v>573.55245031805498</v>
      </c>
      <c r="L21" s="50">
        <f ca="1">'表1-资金筹措及还本付息表'!L53+'表1-资金筹措及还本付息表'!L63</f>
        <v>526.02766279155037</v>
      </c>
      <c r="M21" s="50">
        <f ca="1">'表1-资金筹措及还本付息表'!M53+'表1-资金筹措及还本付息表'!M63</f>
        <v>478.50287526504582</v>
      </c>
      <c r="N21" s="50">
        <f ca="1">'表1-资金筹措及还本付息表'!N53+'表1-资金筹措及还本付息表'!N63</f>
        <v>430.97808773854126</v>
      </c>
      <c r="O21" s="50">
        <f ca="1">'表1-资金筹措及还本付息表'!O53+'表1-资金筹措及还本付息表'!O63</f>
        <v>383.45330021203665</v>
      </c>
      <c r="P21" s="50">
        <f ca="1">'表1-资金筹措及还本付息表'!P53+'表1-资金筹措及还本付息表'!P63</f>
        <v>335.9285126855321</v>
      </c>
      <c r="Q21" s="50">
        <f ca="1">'表1-资金筹措及还本付息表'!Q53+'表1-资金筹措及还本付息表'!Q63</f>
        <v>288.40372515902754</v>
      </c>
      <c r="R21" s="50">
        <f ca="1">'表1-资金筹措及还本付息表'!R53+'表1-资金筹措及还本付息表'!R63</f>
        <v>240.87893763252293</v>
      </c>
      <c r="S21" s="50">
        <f ca="1">'表1-资金筹措及还本付息表'!S53+'表1-资金筹措及还本付息表'!S63</f>
        <v>193.35415010601838</v>
      </c>
      <c r="T21" s="50">
        <f ca="1">'表1-资金筹措及还本付息表'!T53+'表1-资金筹措及还本付息表'!T63</f>
        <v>145.8293625795138</v>
      </c>
      <c r="U21" s="50">
        <f ca="1">'表1-资金筹措及还本付息表'!U53+'表1-资金筹措及还本付息表'!U63</f>
        <v>98.304575053009216</v>
      </c>
      <c r="V21" s="50">
        <f ca="1">'表1-资金筹措及还本付息表'!V53+'表1-资金筹措及还本付息表'!V63</f>
        <v>50.779787526504656</v>
      </c>
      <c r="W21" s="50">
        <f>'表1-资金筹措及还本付息表'!W53+'表1-资金筹措及还本付息表'!W63</f>
        <v>3.2549999999999999</v>
      </c>
      <c r="X21" s="50">
        <f>'表1-资金筹措及还本付息表'!X53+'表1-资金筹措及还本付息表'!X63</f>
        <v>3.2549999999999999</v>
      </c>
      <c r="Y21" s="50">
        <f>'表1-资金筹措及还本付息表'!Y53+'表1-资金筹措及还本付息表'!Y63</f>
        <v>3.2549999999999999</v>
      </c>
      <c r="Z21" s="50">
        <f>'表1-资金筹措及还本付息表'!Z53+'表1-资金筹措及还本付息表'!Z63</f>
        <v>3.2549999999999999</v>
      </c>
      <c r="AA21" s="50">
        <f>'表1-资金筹措及还本付息表'!AA53+'表1-资金筹措及还本付息表'!AA63</f>
        <v>3.2549999999999999</v>
      </c>
    </row>
    <row r="22" spans="2:27">
      <c r="B22" s="64">
        <v>2.4</v>
      </c>
      <c r="C22" s="65" t="s">
        <v>492</v>
      </c>
      <c r="D22" s="66">
        <f t="shared" ca="1" si="1"/>
        <v>12630.900089192952</v>
      </c>
      <c r="E22" s="47" t="s">
        <v>106</v>
      </c>
      <c r="F22" s="50"/>
      <c r="G22" s="50"/>
      <c r="H22" s="50">
        <f ca="1">'表3-成本费用表'!H48</f>
        <v>465.9101691090583</v>
      </c>
      <c r="I22" s="50">
        <f ca="1">'表3-成本费用表'!I48</f>
        <v>465.9101691090583</v>
      </c>
      <c r="J22" s="50">
        <f ca="1">'表3-成本费用表'!J48</f>
        <v>465.9101691090583</v>
      </c>
      <c r="K22" s="50">
        <f ca="1">'表3-成本费用表'!K48</f>
        <v>465.9101691090583</v>
      </c>
      <c r="L22" s="50">
        <f ca="1">'表3-成本费用表'!L48</f>
        <v>465.9101691090583</v>
      </c>
      <c r="M22" s="50">
        <f ca="1">'表3-成本费用表'!M48</f>
        <v>576.33339267611825</v>
      </c>
      <c r="N22" s="50">
        <f ca="1">'表3-成本费用表'!N48</f>
        <v>576.33339267611825</v>
      </c>
      <c r="O22" s="50">
        <f ca="1">'表3-成本费用表'!O48</f>
        <v>576.33339267611825</v>
      </c>
      <c r="P22" s="50">
        <f ca="1">'表3-成本费用表'!P48</f>
        <v>576.33339267611825</v>
      </c>
      <c r="Q22" s="50">
        <f ca="1">'表3-成本费用表'!Q48</f>
        <v>576.33339267611825</v>
      </c>
      <c r="R22" s="50">
        <f ca="1">'表3-成本费用表'!R48</f>
        <v>686.75661624317729</v>
      </c>
      <c r="S22" s="50">
        <f ca="1">'表3-成本费用表'!S48</f>
        <v>686.75661624317729</v>
      </c>
      <c r="T22" s="50">
        <f ca="1">'表3-成本费用表'!T48</f>
        <v>686.75661624317729</v>
      </c>
      <c r="U22" s="50">
        <f ca="1">'表3-成本费用表'!U48</f>
        <v>686.75661624317729</v>
      </c>
      <c r="V22" s="50">
        <f ca="1">'表3-成本费用表'!V48</f>
        <v>686.75661624317729</v>
      </c>
      <c r="W22" s="50">
        <f ca="1">'表3-成本费用表'!W48</f>
        <v>797.17983981023724</v>
      </c>
      <c r="X22" s="50">
        <f ca="1">'表3-成本费用表'!X48</f>
        <v>797.17983981023724</v>
      </c>
      <c r="Y22" s="50">
        <f ca="1">'表3-成本费用表'!Y48</f>
        <v>797.17983981023724</v>
      </c>
      <c r="Z22" s="50">
        <f ca="1">'表3-成本费用表'!Z48</f>
        <v>797.17983981023724</v>
      </c>
      <c r="AA22" s="50">
        <f ca="1">'表3-成本费用表'!AA48</f>
        <v>797.17983981023724</v>
      </c>
    </row>
    <row r="23" spans="2:27">
      <c r="B23" s="64">
        <v>2.5</v>
      </c>
      <c r="C23" s="65" t="s">
        <v>238</v>
      </c>
      <c r="D23" s="66">
        <f t="shared" si="1"/>
        <v>0</v>
      </c>
      <c r="E23" s="47" t="s">
        <v>106</v>
      </c>
      <c r="F23" s="50"/>
      <c r="G23" s="50"/>
      <c r="H23" s="50">
        <f>'表3-成本费用表'!H62</f>
        <v>0</v>
      </c>
      <c r="I23" s="50">
        <f>'表3-成本费用表'!I62</f>
        <v>0</v>
      </c>
      <c r="J23" s="50">
        <f>'表3-成本费用表'!J62</f>
        <v>0</v>
      </c>
      <c r="K23" s="50">
        <f>'表3-成本费用表'!K62</f>
        <v>0</v>
      </c>
      <c r="L23" s="50">
        <f>'表3-成本费用表'!L62</f>
        <v>0</v>
      </c>
      <c r="M23" s="50">
        <f>'表3-成本费用表'!M62</f>
        <v>0</v>
      </c>
      <c r="N23" s="50">
        <f>'表3-成本费用表'!N62</f>
        <v>0</v>
      </c>
      <c r="O23" s="50">
        <f>'表3-成本费用表'!O62</f>
        <v>0</v>
      </c>
      <c r="P23" s="50">
        <f>'表3-成本费用表'!P62</f>
        <v>0</v>
      </c>
      <c r="Q23" s="50">
        <f>'表3-成本费用表'!Q62</f>
        <v>0</v>
      </c>
      <c r="R23" s="50">
        <f>'表3-成本费用表'!R62</f>
        <v>0</v>
      </c>
      <c r="S23" s="50">
        <f>'表3-成本费用表'!S62</f>
        <v>0</v>
      </c>
      <c r="T23" s="50">
        <f>'表3-成本费用表'!T62</f>
        <v>0</v>
      </c>
      <c r="U23" s="50">
        <f>'表3-成本费用表'!U62</f>
        <v>0</v>
      </c>
      <c r="V23" s="50">
        <f>'表3-成本费用表'!V62</f>
        <v>0</v>
      </c>
      <c r="W23" s="50">
        <f>'表3-成本费用表'!W62</f>
        <v>0</v>
      </c>
      <c r="X23" s="50">
        <f>'表3-成本费用表'!X62</f>
        <v>0</v>
      </c>
      <c r="Y23" s="50">
        <f>'表3-成本费用表'!Y62</f>
        <v>0</v>
      </c>
      <c r="Z23" s="50">
        <f>'表3-成本费用表'!Z62</f>
        <v>0</v>
      </c>
      <c r="AA23" s="50">
        <f>'表3-成本费用表'!AA62</f>
        <v>0</v>
      </c>
    </row>
    <row r="24" spans="2:27">
      <c r="B24" s="64">
        <v>2.6</v>
      </c>
      <c r="C24" s="65" t="s">
        <v>493</v>
      </c>
      <c r="D24" s="66">
        <f t="shared" ca="1" si="1"/>
        <v>4904.2102484356155</v>
      </c>
      <c r="E24" s="47" t="s">
        <v>106</v>
      </c>
      <c r="F24" s="50"/>
      <c r="G24" s="50"/>
      <c r="H24" s="50">
        <f ca="1">'表4-收入税金表'!H22</f>
        <v>0</v>
      </c>
      <c r="I24" s="50">
        <f ca="1">'表4-收入税金表'!I22</f>
        <v>0</v>
      </c>
      <c r="J24" s="50">
        <f ca="1">'表4-收入税金表'!J22</f>
        <v>0</v>
      </c>
      <c r="K24" s="50">
        <f ca="1">'表4-收入税金表'!K22</f>
        <v>0</v>
      </c>
      <c r="L24" s="50">
        <f ca="1">'表4-收入税金表'!L22</f>
        <v>0</v>
      </c>
      <c r="M24" s="50">
        <f ca="1">'表4-收入税金表'!M22</f>
        <v>0</v>
      </c>
      <c r="N24" s="50">
        <f ca="1">'表4-收入税金表'!N22</f>
        <v>219.66097753175683</v>
      </c>
      <c r="O24" s="50">
        <f ca="1">'表4-收入税金表'!O22</f>
        <v>364.597731526301</v>
      </c>
      <c r="P24" s="50">
        <f ca="1">'表4-收入税金表'!P22</f>
        <v>364.597731526301</v>
      </c>
      <c r="Q24" s="50">
        <f ca="1">'表4-收入税金表'!Q22</f>
        <v>364.597731526301</v>
      </c>
      <c r="R24" s="50">
        <f ca="1">'表4-收入税金表'!R22</f>
        <v>309.37649258824791</v>
      </c>
      <c r="S24" s="50">
        <f ca="1">'表4-收入税金表'!S22</f>
        <v>364.597731526301</v>
      </c>
      <c r="T24" s="50">
        <f ca="1">'表4-收入税金表'!T22</f>
        <v>364.597731526301</v>
      </c>
      <c r="U24" s="50">
        <f ca="1">'表4-收入税金表'!U22</f>
        <v>364.597731526301</v>
      </c>
      <c r="V24" s="50">
        <f ca="1">'表4-收入税金表'!V22</f>
        <v>364.597731526301</v>
      </c>
      <c r="W24" s="50">
        <f ca="1">'表4-收入税金表'!W22</f>
        <v>364.597731526301</v>
      </c>
      <c r="X24" s="50">
        <f ca="1">'表4-收入税金表'!X22</f>
        <v>364.597731526301</v>
      </c>
      <c r="Y24" s="50">
        <f ca="1">'表4-收入税金表'!Y22</f>
        <v>364.597731526301</v>
      </c>
      <c r="Z24" s="50">
        <f ca="1">'表4-收入税金表'!Z22</f>
        <v>364.597731526301</v>
      </c>
      <c r="AA24" s="50">
        <f ca="1">'表4-收入税金表'!AA22</f>
        <v>364.597731526301</v>
      </c>
    </row>
    <row r="25" spans="2:27">
      <c r="B25" s="64">
        <v>2.7</v>
      </c>
      <c r="C25" s="65" t="s">
        <v>452</v>
      </c>
      <c r="D25" s="66">
        <f t="shared" ca="1" si="1"/>
        <v>588.50522981227414</v>
      </c>
      <c r="E25" s="47" t="s">
        <v>106</v>
      </c>
      <c r="F25" s="50"/>
      <c r="G25" s="50"/>
      <c r="H25" s="50">
        <f ca="1">'表5-利润表-资本金'!H9</f>
        <v>0</v>
      </c>
      <c r="I25" s="50">
        <f ca="1">'表5-利润表-资本金'!I9</f>
        <v>0</v>
      </c>
      <c r="J25" s="50">
        <f ca="1">'表5-利润表-资本金'!J9</f>
        <v>0</v>
      </c>
      <c r="K25" s="50">
        <f ca="1">'表5-利润表-资本金'!K9</f>
        <v>0</v>
      </c>
      <c r="L25" s="50">
        <f ca="1">'表5-利润表-资本金'!L9</f>
        <v>0</v>
      </c>
      <c r="M25" s="50">
        <f ca="1">'表5-利润表-资本金'!M9</f>
        <v>0</v>
      </c>
      <c r="N25" s="50">
        <f ca="1">'表5-利润表-资本金'!N9</f>
        <v>26.359317303810823</v>
      </c>
      <c r="O25" s="50">
        <f ca="1">'表5-利润表-资本金'!O9</f>
        <v>43.751727783156127</v>
      </c>
      <c r="P25" s="50">
        <f ca="1">'表5-利润表-资本金'!P9</f>
        <v>43.751727783156127</v>
      </c>
      <c r="Q25" s="50">
        <f ca="1">'表5-利润表-资本金'!Q9</f>
        <v>43.751727783156127</v>
      </c>
      <c r="R25" s="50">
        <f ca="1">'表5-利润表-资本金'!R9</f>
        <v>37.125179110589748</v>
      </c>
      <c r="S25" s="50">
        <f ca="1">'表5-利润表-资本金'!S9</f>
        <v>43.751727783156127</v>
      </c>
      <c r="T25" s="50">
        <f ca="1">'表5-利润表-资本金'!T9</f>
        <v>43.751727783156127</v>
      </c>
      <c r="U25" s="50">
        <f ca="1">'表5-利润表-资本金'!U9</f>
        <v>43.751727783156127</v>
      </c>
      <c r="V25" s="50">
        <f ca="1">'表5-利润表-资本金'!V9</f>
        <v>43.751727783156127</v>
      </c>
      <c r="W25" s="50">
        <f ca="1">'表5-利润表-资本金'!W9</f>
        <v>43.751727783156127</v>
      </c>
      <c r="X25" s="50">
        <f ca="1">'表5-利润表-资本金'!X9</f>
        <v>43.751727783156127</v>
      </c>
      <c r="Y25" s="50">
        <f ca="1">'表5-利润表-资本金'!Y9</f>
        <v>43.751727783156127</v>
      </c>
      <c r="Z25" s="50">
        <f ca="1">'表5-利润表-资本金'!Z9</f>
        <v>43.751727783156127</v>
      </c>
      <c r="AA25" s="50">
        <f ca="1">'表5-利润表-资本金'!AA9</f>
        <v>43.751727783156127</v>
      </c>
    </row>
    <row r="26" spans="2:27">
      <c r="B26" s="64">
        <v>2.8</v>
      </c>
      <c r="C26" s="65" t="s">
        <v>494</v>
      </c>
      <c r="D26" s="66">
        <f t="shared" si="1"/>
        <v>480</v>
      </c>
      <c r="E26" s="47" t="s">
        <v>106</v>
      </c>
      <c r="F26" s="50"/>
      <c r="G26" s="50"/>
      <c r="H26" s="50">
        <f>参数输入表!H185</f>
        <v>0</v>
      </c>
      <c r="I26" s="50">
        <f>参数输入表!H186</f>
        <v>0</v>
      </c>
      <c r="J26" s="50">
        <f>参数输入表!H187</f>
        <v>0</v>
      </c>
      <c r="K26" s="50">
        <f>参数输入表!H188</f>
        <v>0</v>
      </c>
      <c r="L26" s="50">
        <f>参数输入表!H189</f>
        <v>0</v>
      </c>
      <c r="M26" s="50">
        <f>参数输入表!H190</f>
        <v>0</v>
      </c>
      <c r="N26" s="50">
        <f>参数输入表!H191</f>
        <v>0</v>
      </c>
      <c r="O26" s="50">
        <f>参数输入表!H192</f>
        <v>0</v>
      </c>
      <c r="P26" s="50">
        <f>参数输入表!H193</f>
        <v>0</v>
      </c>
      <c r="Q26" s="50">
        <f>参数输入表!H194</f>
        <v>0</v>
      </c>
      <c r="R26" s="50">
        <f>参数输入表!H195</f>
        <v>480</v>
      </c>
      <c r="S26" s="50">
        <f>参数输入表!H196</f>
        <v>0</v>
      </c>
      <c r="T26" s="50">
        <f>参数输入表!H197</f>
        <v>0</v>
      </c>
      <c r="U26" s="50">
        <f>参数输入表!H198</f>
        <v>0</v>
      </c>
      <c r="V26" s="50">
        <f>参数输入表!H199</f>
        <v>0</v>
      </c>
      <c r="W26" s="50">
        <f>参数输入表!H200</f>
        <v>0</v>
      </c>
      <c r="X26" s="50">
        <f>参数输入表!H201</f>
        <v>0</v>
      </c>
      <c r="Y26" s="50">
        <f>参数输入表!H202</f>
        <v>0</v>
      </c>
      <c r="Z26" s="50">
        <f>参数输入表!H203</f>
        <v>0</v>
      </c>
      <c r="AA26" s="50">
        <f>参数输入表!H204</f>
        <v>0</v>
      </c>
    </row>
    <row r="27" spans="2:27">
      <c r="B27" s="61">
        <v>3</v>
      </c>
      <c r="C27" s="62" t="s">
        <v>495</v>
      </c>
      <c r="D27" s="63">
        <f t="shared" ca="1" si="1"/>
        <v>17726.098280461698</v>
      </c>
      <c r="E27" s="47" t="s">
        <v>106</v>
      </c>
      <c r="F27" s="46">
        <f t="shared" ref="F27:AA27" ca="1" si="4">F5-F13</f>
        <v>-4950.4987006775591</v>
      </c>
      <c r="G27" s="67">
        <f t="shared" si="4"/>
        <v>0</v>
      </c>
      <c r="H27" s="46">
        <f t="shared" ca="1" si="4"/>
        <v>596.28280838602404</v>
      </c>
      <c r="I27" s="46">
        <f t="shared" ca="1" si="4"/>
        <v>688.80759591252854</v>
      </c>
      <c r="J27" s="46">
        <f t="shared" ca="1" si="4"/>
        <v>736.33238343903304</v>
      </c>
      <c r="K27" s="46">
        <f t="shared" ca="1" si="4"/>
        <v>783.85717096553753</v>
      </c>
      <c r="L27" s="46">
        <f t="shared" ca="1" si="4"/>
        <v>831.38195849204249</v>
      </c>
      <c r="M27" s="46">
        <f t="shared" ca="1" si="4"/>
        <v>794.22641155548672</v>
      </c>
      <c r="N27" s="46">
        <f t="shared" ca="1" si="4"/>
        <v>705.56139301230178</v>
      </c>
      <c r="O27" s="46">
        <f t="shared" ca="1" si="4"/>
        <v>663.22539306218914</v>
      </c>
      <c r="P27" s="46">
        <f t="shared" ca="1" si="4"/>
        <v>710.75018058869409</v>
      </c>
      <c r="Q27" s="46">
        <f t="shared" ca="1" si="4"/>
        <v>758.27496811519813</v>
      </c>
      <c r="R27" s="46">
        <f t="shared" ca="1" si="4"/>
        <v>249.61370021623725</v>
      </c>
      <c r="S27" s="46">
        <f t="shared" ca="1" si="4"/>
        <v>742.90131960114832</v>
      </c>
      <c r="T27" s="46">
        <f t="shared" ca="1" si="4"/>
        <v>790.42610712765327</v>
      </c>
      <c r="U27" s="46">
        <f t="shared" ca="1" si="4"/>
        <v>837.95089465415731</v>
      </c>
      <c r="V27" s="46">
        <f t="shared" ca="1" si="4"/>
        <v>885.47568218066226</v>
      </c>
      <c r="W27" s="46">
        <f t="shared" ca="1" si="4"/>
        <v>2142.710232987456</v>
      </c>
      <c r="X27" s="46">
        <f t="shared" ca="1" si="4"/>
        <v>2142.710232987456</v>
      </c>
      <c r="Y27" s="46">
        <f t="shared" ca="1" si="4"/>
        <v>2142.710232987456</v>
      </c>
      <c r="Z27" s="46">
        <f t="shared" ca="1" si="4"/>
        <v>2142.710232987456</v>
      </c>
      <c r="AA27" s="46">
        <f t="shared" ca="1" si="4"/>
        <v>3330.6880818805389</v>
      </c>
    </row>
    <row r="28" spans="2:27" hidden="1">
      <c r="B28" s="61">
        <v>4</v>
      </c>
      <c r="C28" s="68" t="s">
        <v>496</v>
      </c>
      <c r="D28" s="45"/>
      <c r="E28" s="47" t="s">
        <v>106</v>
      </c>
      <c r="F28" s="46">
        <f ca="1">F27</f>
        <v>-4950.4987006775591</v>
      </c>
      <c r="G28" s="67">
        <f>IF('表1-资金筹措及还本付息表'!G5&gt;0,F28+G27,0)</f>
        <v>0</v>
      </c>
      <c r="H28" s="46">
        <f t="shared" ref="H28:AA28" ca="1" si="5">G28+H27</f>
        <v>596.28280838602404</v>
      </c>
      <c r="I28" s="46">
        <f t="shared" ca="1" si="5"/>
        <v>1285.0904042985526</v>
      </c>
      <c r="J28" s="46">
        <f t="shared" ca="1" si="5"/>
        <v>2021.4227877375856</v>
      </c>
      <c r="K28" s="46">
        <f t="shared" ca="1" si="5"/>
        <v>2805.2799587031232</v>
      </c>
      <c r="L28" s="46">
        <f t="shared" ca="1" si="5"/>
        <v>3636.6619171951656</v>
      </c>
      <c r="M28" s="46">
        <f t="shared" ca="1" si="5"/>
        <v>4430.8883287506524</v>
      </c>
      <c r="N28" s="46">
        <f t="shared" ca="1" si="5"/>
        <v>5136.4497217629541</v>
      </c>
      <c r="O28" s="46">
        <f t="shared" ca="1" si="5"/>
        <v>5799.6751148251433</v>
      </c>
      <c r="P28" s="46">
        <f t="shared" ca="1" si="5"/>
        <v>6510.4252954138374</v>
      </c>
      <c r="Q28" s="46">
        <f t="shared" ca="1" si="5"/>
        <v>7268.7002635290355</v>
      </c>
      <c r="R28" s="46">
        <f t="shared" ca="1" si="5"/>
        <v>7518.3139637452732</v>
      </c>
      <c r="S28" s="46">
        <f t="shared" ca="1" si="5"/>
        <v>8261.2152833464206</v>
      </c>
      <c r="T28" s="46">
        <f t="shared" ca="1" si="5"/>
        <v>9051.641390474073</v>
      </c>
      <c r="U28" s="46">
        <f t="shared" ca="1" si="5"/>
        <v>9889.5922851282303</v>
      </c>
      <c r="V28" s="46">
        <f t="shared" ca="1" si="5"/>
        <v>10775.067967308893</v>
      </c>
      <c r="W28" s="46">
        <f t="shared" ca="1" si="5"/>
        <v>12917.778200296349</v>
      </c>
      <c r="X28" s="46">
        <f t="shared" ca="1" si="5"/>
        <v>15060.488433283805</v>
      </c>
      <c r="Y28" s="46">
        <f t="shared" ca="1" si="5"/>
        <v>17203.198666271259</v>
      </c>
      <c r="Z28" s="46">
        <f t="shared" ca="1" si="5"/>
        <v>19345.908899258713</v>
      </c>
      <c r="AA28" s="46">
        <f t="shared" ca="1" si="5"/>
        <v>22676.596981139253</v>
      </c>
    </row>
    <row r="29" spans="2:27">
      <c r="B29" s="61">
        <v>5</v>
      </c>
      <c r="C29" s="68" t="s">
        <v>463</v>
      </c>
      <c r="D29" s="63">
        <f ca="1">SUM(F29:AA29)</f>
        <v>4134.2748949523475</v>
      </c>
      <c r="E29" s="47" t="s">
        <v>106</v>
      </c>
      <c r="F29" s="46"/>
      <c r="G29" s="67"/>
      <c r="H29" s="46">
        <f>'表5-利润表-资本金'!H22</f>
        <v>0</v>
      </c>
      <c r="I29" s="46">
        <f>'表5-利润表-资本金'!I22</f>
        <v>0</v>
      </c>
      <c r="J29" s="46">
        <f>'表5-利润表-资本金'!J22</f>
        <v>0</v>
      </c>
      <c r="K29" s="46">
        <f ca="1">'表5-利润表-资本金'!K22</f>
        <v>40.185588816931954</v>
      </c>
      <c r="L29" s="46">
        <f ca="1">'表5-利润表-资本金'!L22</f>
        <v>46.126187257745016</v>
      </c>
      <c r="M29" s="46">
        <f ca="1">'表5-利润表-资本金'!M22</f>
        <v>41.111547476569342</v>
      </c>
      <c r="N29" s="46">
        <f ca="1">'表5-利润表-资本金'!N22</f>
        <v>114.97208470028178</v>
      </c>
      <c r="O29" s="46">
        <f ca="1">'表5-利润表-资本金'!O22</f>
        <v>140.6222732113896</v>
      </c>
      <c r="P29" s="46">
        <f ca="1">'表5-利润表-资本金'!P22</f>
        <v>152.50347009301572</v>
      </c>
      <c r="Q29" s="46">
        <f ca="1">'表5-利润表-资本金'!Q22</f>
        <v>164.38466697464185</v>
      </c>
      <c r="R29" s="46">
        <f ca="1">'表5-利润表-资本金'!R22</f>
        <v>133.32554469016699</v>
      </c>
      <c r="S29" s="46">
        <f ca="1">'表5-利润表-资本金'!S22</f>
        <v>150.45275927090813</v>
      </c>
      <c r="T29" s="46">
        <f ca="1">'表5-利润表-资本金'!T22</f>
        <v>162.33395615253426</v>
      </c>
      <c r="U29" s="46">
        <f ca="1">'表5-利润表-资本金'!U22</f>
        <v>174.21515303416049</v>
      </c>
      <c r="V29" s="46">
        <f ca="1">'表5-利润表-资本金'!V22</f>
        <v>186.09634991578662</v>
      </c>
      <c r="W29" s="46">
        <f ca="1">'表5-利润表-资本金'!W22</f>
        <v>525.58906267164309</v>
      </c>
      <c r="X29" s="46">
        <f ca="1">'表5-利润表-资本金'!X22</f>
        <v>525.58906267164309</v>
      </c>
      <c r="Y29" s="46">
        <f ca="1">'表5-利润表-资本金'!Y22</f>
        <v>525.58906267164309</v>
      </c>
      <c r="Z29" s="46">
        <f ca="1">'表5-利润表-资本金'!Z22</f>
        <v>525.58906267164309</v>
      </c>
      <c r="AA29" s="46">
        <f ca="1">'表5-利润表-资本金'!AA22</f>
        <v>525.58906267164309</v>
      </c>
    </row>
    <row r="30" spans="2:27">
      <c r="B30" s="69">
        <v>6</v>
      </c>
      <c r="C30" s="62" t="s">
        <v>497</v>
      </c>
      <c r="D30" s="70">
        <f t="shared" ca="1" si="1"/>
        <v>13591.823385509351</v>
      </c>
      <c r="E30" s="47" t="s">
        <v>106</v>
      </c>
      <c r="F30" s="46">
        <f ca="1">F27-F29</f>
        <v>-4950.4987006775591</v>
      </c>
      <c r="G30" s="67">
        <f t="shared" ref="G30:AA30" si="6">G27-G29</f>
        <v>0</v>
      </c>
      <c r="H30" s="46">
        <f t="shared" ca="1" si="6"/>
        <v>596.28280838602404</v>
      </c>
      <c r="I30" s="46">
        <f t="shared" ca="1" si="6"/>
        <v>688.80759591252854</v>
      </c>
      <c r="J30" s="46">
        <f t="shared" ca="1" si="6"/>
        <v>736.33238343903304</v>
      </c>
      <c r="K30" s="46">
        <f t="shared" ca="1" si="6"/>
        <v>743.67158214860558</v>
      </c>
      <c r="L30" s="46">
        <f t="shared" ca="1" si="6"/>
        <v>785.25577123429753</v>
      </c>
      <c r="M30" s="67">
        <f t="shared" ca="1" si="6"/>
        <v>753.11486407891744</v>
      </c>
      <c r="N30" s="46">
        <f t="shared" ca="1" si="6"/>
        <v>590.58930831201997</v>
      </c>
      <c r="O30" s="46">
        <f t="shared" ca="1" si="6"/>
        <v>522.60311985079954</v>
      </c>
      <c r="P30" s="46">
        <f t="shared" ca="1" si="6"/>
        <v>558.24671049567837</v>
      </c>
      <c r="Q30" s="46">
        <f t="shared" ca="1" si="6"/>
        <v>593.89030114055629</v>
      </c>
      <c r="R30" s="46">
        <f t="shared" ca="1" si="6"/>
        <v>116.28815552607026</v>
      </c>
      <c r="S30" s="46">
        <f t="shared" ca="1" si="6"/>
        <v>592.44856033024018</v>
      </c>
      <c r="T30" s="46">
        <f t="shared" ca="1" si="6"/>
        <v>628.09215097511901</v>
      </c>
      <c r="U30" s="46">
        <f t="shared" ca="1" si="6"/>
        <v>663.73574161999682</v>
      </c>
      <c r="V30" s="46">
        <f t="shared" ca="1" si="6"/>
        <v>699.37933226487564</v>
      </c>
      <c r="W30" s="46">
        <f t="shared" ca="1" si="6"/>
        <v>1617.1211703158128</v>
      </c>
      <c r="X30" s="46">
        <f t="shared" ca="1" si="6"/>
        <v>1617.1211703158128</v>
      </c>
      <c r="Y30" s="46">
        <f t="shared" ca="1" si="6"/>
        <v>1617.1211703158128</v>
      </c>
      <c r="Z30" s="46">
        <f t="shared" ca="1" si="6"/>
        <v>1617.1211703158128</v>
      </c>
      <c r="AA30" s="46">
        <f t="shared" ca="1" si="6"/>
        <v>2805.0990192088957</v>
      </c>
    </row>
    <row r="31" spans="2:27" hidden="1">
      <c r="B31" s="69">
        <v>7</v>
      </c>
      <c r="C31" s="68" t="s">
        <v>498</v>
      </c>
      <c r="D31" s="45"/>
      <c r="E31" s="47" t="s">
        <v>106</v>
      </c>
      <c r="F31" s="46">
        <f ca="1">F30</f>
        <v>-4950.4987006775591</v>
      </c>
      <c r="G31" s="67">
        <f>IF('表1-资金筹措及还本付息表'!G5&gt;0,F31+G30,0)</f>
        <v>0</v>
      </c>
      <c r="H31" s="46">
        <f t="shared" ref="H31:AA31" ca="1" si="7">G31+H30</f>
        <v>596.28280838602404</v>
      </c>
      <c r="I31" s="46">
        <f t="shared" ca="1" si="7"/>
        <v>1285.0904042985526</v>
      </c>
      <c r="J31" s="46">
        <f t="shared" ca="1" si="7"/>
        <v>2021.4227877375856</v>
      </c>
      <c r="K31" s="46">
        <f t="shared" ca="1" si="7"/>
        <v>2765.0943698861911</v>
      </c>
      <c r="L31" s="46">
        <f t="shared" ca="1" si="7"/>
        <v>3550.3501411204888</v>
      </c>
      <c r="M31" s="46">
        <f t="shared" ca="1" si="7"/>
        <v>4303.4650051994067</v>
      </c>
      <c r="N31" s="46">
        <f t="shared" ca="1" si="7"/>
        <v>4894.0543135114267</v>
      </c>
      <c r="O31" s="46">
        <f t="shared" ca="1" si="7"/>
        <v>5416.6574333622266</v>
      </c>
      <c r="P31" s="46">
        <f t="shared" ca="1" si="7"/>
        <v>5974.9041438579052</v>
      </c>
      <c r="Q31" s="46">
        <f t="shared" ca="1" si="7"/>
        <v>6568.7944449984616</v>
      </c>
      <c r="R31" s="46">
        <f t="shared" ca="1" si="7"/>
        <v>6685.0826005245317</v>
      </c>
      <c r="S31" s="46">
        <f t="shared" ca="1" si="7"/>
        <v>7277.5311608547718</v>
      </c>
      <c r="T31" s="46">
        <f t="shared" ca="1" si="7"/>
        <v>7905.6233118298906</v>
      </c>
      <c r="U31" s="46">
        <f t="shared" ca="1" si="7"/>
        <v>8569.3590534498871</v>
      </c>
      <c r="V31" s="46">
        <f t="shared" ca="1" si="7"/>
        <v>9268.7383857147634</v>
      </c>
      <c r="W31" s="46">
        <f t="shared" ca="1" si="7"/>
        <v>10885.859556030577</v>
      </c>
      <c r="X31" s="46">
        <f t="shared" ca="1" si="7"/>
        <v>12502.98072634639</v>
      </c>
      <c r="Y31" s="46">
        <f t="shared" ca="1" si="7"/>
        <v>14120.101896662203</v>
      </c>
      <c r="Z31" s="46">
        <f t="shared" ca="1" si="7"/>
        <v>15737.223066978017</v>
      </c>
      <c r="AA31" s="46">
        <f t="shared" ca="1" si="7"/>
        <v>18542.322086186912</v>
      </c>
    </row>
    <row r="33" spans="2:27">
      <c r="C33" s="45" t="s">
        <v>499</v>
      </c>
      <c r="D33" s="71">
        <f ca="1">IF('表1-资金筹措及还本付息表'!G5=0,IRR(E52:Y52),IRR(F27:AA27))</f>
        <v>0.15445235328109597</v>
      </c>
      <c r="E33" s="105"/>
      <c r="F33" s="105"/>
      <c r="G33" s="105"/>
      <c r="H33" s="105"/>
      <c r="I33" s="105"/>
      <c r="J33" s="105"/>
      <c r="K33" s="105"/>
      <c r="L33" s="105"/>
      <c r="M33" s="105"/>
      <c r="N33" s="105"/>
      <c r="O33" s="105"/>
      <c r="P33" s="105"/>
      <c r="Q33" s="105"/>
      <c r="R33" s="105"/>
      <c r="S33" s="105"/>
      <c r="T33" s="105"/>
      <c r="U33" s="105"/>
      <c r="V33" s="105"/>
      <c r="W33" s="105"/>
      <c r="X33" s="105"/>
      <c r="Y33" s="105"/>
      <c r="Z33" s="105"/>
      <c r="AA33" s="105"/>
    </row>
    <row r="34" spans="2:27">
      <c r="C34" s="45" t="s">
        <v>500</v>
      </c>
      <c r="D34" s="71">
        <f ca="1">IF('表1-资金筹措及还本付息表'!G5=0,IRR(E55:Y55),IRR(F30:AA30))</f>
        <v>0.13622614518422593</v>
      </c>
      <c r="E34" s="105"/>
      <c r="F34" s="105"/>
      <c r="G34" s="105"/>
      <c r="H34" s="105"/>
      <c r="I34" s="105"/>
      <c r="J34" s="105"/>
      <c r="K34" s="105"/>
      <c r="L34" s="105"/>
      <c r="M34" s="105"/>
      <c r="N34" s="105"/>
      <c r="O34" s="105"/>
      <c r="P34" s="105"/>
      <c r="Q34" s="105"/>
      <c r="R34" s="105"/>
      <c r="S34" s="105"/>
      <c r="T34" s="105"/>
      <c r="U34" s="105"/>
      <c r="V34" s="105"/>
      <c r="W34" s="105"/>
      <c r="X34" s="105"/>
      <c r="Y34" s="105"/>
      <c r="Z34" s="105"/>
      <c r="AA34" s="105"/>
    </row>
    <row r="35" spans="2:27">
      <c r="C35" s="45" t="s">
        <v>501</v>
      </c>
      <c r="D35" s="46">
        <f ca="1">MAX(F35:AA35)</f>
        <v>0</v>
      </c>
      <c r="E35" s="47" t="s">
        <v>55</v>
      </c>
      <c r="F35" s="50">
        <v>0</v>
      </c>
      <c r="G35" s="50">
        <v>0</v>
      </c>
      <c r="H35" s="50">
        <v>0</v>
      </c>
      <c r="I35" s="50">
        <f t="shared" ref="I35:AA35" ca="1" si="8">IF(I31/H31&lt;0,H4+ABS(H31/I30),0)</f>
        <v>0</v>
      </c>
      <c r="J35" s="50">
        <f t="shared" ca="1" si="8"/>
        <v>0</v>
      </c>
      <c r="K35" s="50">
        <f t="shared" ca="1" si="8"/>
        <v>0</v>
      </c>
      <c r="L35" s="50">
        <f t="shared" ca="1" si="8"/>
        <v>0</v>
      </c>
      <c r="M35" s="50">
        <f t="shared" ca="1" si="8"/>
        <v>0</v>
      </c>
      <c r="N35" s="50">
        <f t="shared" ca="1" si="8"/>
        <v>0</v>
      </c>
      <c r="O35" s="50">
        <f t="shared" ca="1" si="8"/>
        <v>0</v>
      </c>
      <c r="P35" s="50">
        <f t="shared" ca="1" si="8"/>
        <v>0</v>
      </c>
      <c r="Q35" s="50">
        <f t="shared" ca="1" si="8"/>
        <v>0</v>
      </c>
      <c r="R35" s="50">
        <f t="shared" ca="1" si="8"/>
        <v>0</v>
      </c>
      <c r="S35" s="50">
        <f t="shared" ca="1" si="8"/>
        <v>0</v>
      </c>
      <c r="T35" s="50">
        <f t="shared" ca="1" si="8"/>
        <v>0</v>
      </c>
      <c r="U35" s="50">
        <f t="shared" ca="1" si="8"/>
        <v>0</v>
      </c>
      <c r="V35" s="50">
        <f t="shared" ca="1" si="8"/>
        <v>0</v>
      </c>
      <c r="W35" s="50">
        <f t="shared" ca="1" si="8"/>
        <v>0</v>
      </c>
      <c r="X35" s="50">
        <f t="shared" ca="1" si="8"/>
        <v>0</v>
      </c>
      <c r="Y35" s="50">
        <f t="shared" ca="1" si="8"/>
        <v>0</v>
      </c>
      <c r="Z35" s="50">
        <f t="shared" ca="1" si="8"/>
        <v>0</v>
      </c>
      <c r="AA35" s="50">
        <f t="shared" ca="1" si="8"/>
        <v>0</v>
      </c>
    </row>
    <row r="37" spans="2:27" ht="21.5">
      <c r="C37" s="58" t="s">
        <v>440</v>
      </c>
    </row>
    <row r="38" spans="2:27" ht="21.5">
      <c r="C38" s="58" t="s">
        <v>502</v>
      </c>
    </row>
    <row r="39" spans="2:27" ht="21.5">
      <c r="C39" s="58" t="s">
        <v>503</v>
      </c>
    </row>
    <row r="40" spans="2:27" ht="21.5">
      <c r="C40" s="58" t="s">
        <v>504</v>
      </c>
    </row>
    <row r="41" spans="2:27" ht="21.5">
      <c r="C41" s="58" t="s">
        <v>505</v>
      </c>
    </row>
    <row r="42" spans="2:27">
      <c r="L42" s="106"/>
    </row>
    <row r="44" spans="2:27">
      <c r="C44" s="75" t="s">
        <v>506</v>
      </c>
      <c r="D44" s="76">
        <f ca="1">D30-'表5-利润表-资本金'!D23</f>
        <v>0</v>
      </c>
    </row>
    <row r="45" spans="2:27">
      <c r="C45" s="75"/>
      <c r="D45" s="76"/>
    </row>
    <row r="46" spans="2:27">
      <c r="B46" s="342" t="s">
        <v>507</v>
      </c>
      <c r="C46" s="342"/>
      <c r="D46" s="342"/>
    </row>
    <row r="47" spans="2:27">
      <c r="B47" s="342"/>
      <c r="C47" s="342"/>
      <c r="D47" s="342"/>
    </row>
    <row r="48" spans="2:27">
      <c r="B48" s="342"/>
      <c r="C48" s="342"/>
      <c r="D48" s="342"/>
    </row>
    <row r="50" spans="2:26">
      <c r="B50" s="337" t="s">
        <v>14</v>
      </c>
      <c r="C50" s="337" t="s">
        <v>320</v>
      </c>
      <c r="D50" s="337" t="s">
        <v>39</v>
      </c>
      <c r="E50" s="78" t="s">
        <v>43</v>
      </c>
      <c r="F50" s="78" t="s">
        <v>508</v>
      </c>
      <c r="G50" s="325" t="s">
        <v>54</v>
      </c>
      <c r="H50" s="325"/>
      <c r="I50" s="325"/>
      <c r="J50" s="325"/>
      <c r="K50" s="325"/>
      <c r="L50" s="325"/>
      <c r="M50" s="325"/>
      <c r="N50" s="325"/>
      <c r="O50" s="325"/>
      <c r="P50" s="325"/>
      <c r="Q50" s="325"/>
      <c r="R50" s="325"/>
      <c r="S50" s="325"/>
      <c r="T50" s="325"/>
      <c r="U50" s="325"/>
      <c r="V50" s="325"/>
      <c r="W50" s="325"/>
      <c r="X50" s="325"/>
      <c r="Y50" s="325"/>
      <c r="Z50" s="325"/>
    </row>
    <row r="51" spans="2:26">
      <c r="B51" s="338"/>
      <c r="C51" s="338"/>
      <c r="D51" s="338"/>
      <c r="E51" s="42">
        <v>1</v>
      </c>
      <c r="F51" s="43">
        <v>1</v>
      </c>
      <c r="G51" s="43">
        <v>2</v>
      </c>
      <c r="H51" s="43">
        <v>3</v>
      </c>
      <c r="I51" s="43">
        <v>4</v>
      </c>
      <c r="J51" s="43">
        <v>5</v>
      </c>
      <c r="K51" s="43">
        <v>6</v>
      </c>
      <c r="L51" s="43">
        <v>7</v>
      </c>
      <c r="M51" s="43">
        <v>8</v>
      </c>
      <c r="N51" s="43">
        <v>9</v>
      </c>
      <c r="O51" s="43">
        <v>10</v>
      </c>
      <c r="P51" s="43">
        <v>11</v>
      </c>
      <c r="Q51" s="43">
        <v>12</v>
      </c>
      <c r="R51" s="43">
        <v>13</v>
      </c>
      <c r="S51" s="43">
        <v>14</v>
      </c>
      <c r="T51" s="43">
        <v>15</v>
      </c>
      <c r="U51" s="43">
        <v>16</v>
      </c>
      <c r="V51" s="43">
        <v>17</v>
      </c>
      <c r="W51" s="43">
        <v>18</v>
      </c>
      <c r="X51" s="43">
        <v>19</v>
      </c>
      <c r="Y51" s="43">
        <v>20</v>
      </c>
    </row>
    <row r="52" spans="2:26">
      <c r="B52" s="61">
        <v>3</v>
      </c>
      <c r="C52" s="62" t="s">
        <v>495</v>
      </c>
      <c r="D52" s="47" t="s">
        <v>106</v>
      </c>
      <c r="E52" s="46">
        <f ca="1">F27</f>
        <v>-4950.4987006775591</v>
      </c>
      <c r="F52" s="46">
        <f ca="1">H27</f>
        <v>596.28280838602404</v>
      </c>
      <c r="G52" s="46">
        <f t="shared" ref="G52:Y52" ca="1" si="9">I27</f>
        <v>688.80759591252854</v>
      </c>
      <c r="H52" s="46">
        <f t="shared" ca="1" si="9"/>
        <v>736.33238343903304</v>
      </c>
      <c r="I52" s="46">
        <f t="shared" ca="1" si="9"/>
        <v>783.85717096553753</v>
      </c>
      <c r="J52" s="46">
        <f t="shared" ca="1" si="9"/>
        <v>831.38195849204249</v>
      </c>
      <c r="K52" s="46">
        <f t="shared" ca="1" si="9"/>
        <v>794.22641155548672</v>
      </c>
      <c r="L52" s="46">
        <f t="shared" ca="1" si="9"/>
        <v>705.56139301230178</v>
      </c>
      <c r="M52" s="46">
        <f t="shared" ca="1" si="9"/>
        <v>663.22539306218914</v>
      </c>
      <c r="N52" s="46">
        <f t="shared" ca="1" si="9"/>
        <v>710.75018058869409</v>
      </c>
      <c r="O52" s="46">
        <f t="shared" ca="1" si="9"/>
        <v>758.27496811519813</v>
      </c>
      <c r="P52" s="46">
        <f t="shared" ca="1" si="9"/>
        <v>249.61370021623725</v>
      </c>
      <c r="Q52" s="46">
        <f t="shared" ca="1" si="9"/>
        <v>742.90131960114832</v>
      </c>
      <c r="R52" s="46">
        <f t="shared" ca="1" si="9"/>
        <v>790.42610712765327</v>
      </c>
      <c r="S52" s="46">
        <f t="shared" ca="1" si="9"/>
        <v>837.95089465415731</v>
      </c>
      <c r="T52" s="46">
        <f t="shared" ca="1" si="9"/>
        <v>885.47568218066226</v>
      </c>
      <c r="U52" s="46">
        <f t="shared" ca="1" si="9"/>
        <v>2142.710232987456</v>
      </c>
      <c r="V52" s="46">
        <f t="shared" ca="1" si="9"/>
        <v>2142.710232987456</v>
      </c>
      <c r="W52" s="46">
        <f t="shared" ca="1" si="9"/>
        <v>2142.710232987456</v>
      </c>
      <c r="X52" s="46">
        <f t="shared" ca="1" si="9"/>
        <v>2142.710232987456</v>
      </c>
      <c r="Y52" s="46">
        <f t="shared" ca="1" si="9"/>
        <v>3330.6880818805389</v>
      </c>
    </row>
    <row r="53" spans="2:26">
      <c r="B53" s="61">
        <v>4</v>
      </c>
      <c r="C53" s="68" t="s">
        <v>496</v>
      </c>
      <c r="D53" s="47" t="s">
        <v>106</v>
      </c>
      <c r="E53" s="46">
        <f ca="1">E52</f>
        <v>-4950.4987006775591</v>
      </c>
      <c r="F53" s="46">
        <f ca="1">H28</f>
        <v>596.28280838602404</v>
      </c>
      <c r="G53" s="46">
        <f t="shared" ref="G53:Y53" ca="1" si="10">I28</f>
        <v>1285.0904042985526</v>
      </c>
      <c r="H53" s="46">
        <f t="shared" ca="1" si="10"/>
        <v>2021.4227877375856</v>
      </c>
      <c r="I53" s="46">
        <f t="shared" ca="1" si="10"/>
        <v>2805.2799587031232</v>
      </c>
      <c r="J53" s="46">
        <f t="shared" ca="1" si="10"/>
        <v>3636.6619171951656</v>
      </c>
      <c r="K53" s="46">
        <f t="shared" ca="1" si="10"/>
        <v>4430.8883287506524</v>
      </c>
      <c r="L53" s="46">
        <f t="shared" ca="1" si="10"/>
        <v>5136.4497217629541</v>
      </c>
      <c r="M53" s="46">
        <f t="shared" ca="1" si="10"/>
        <v>5799.6751148251433</v>
      </c>
      <c r="N53" s="46">
        <f t="shared" ca="1" si="10"/>
        <v>6510.4252954138374</v>
      </c>
      <c r="O53" s="46">
        <f t="shared" ca="1" si="10"/>
        <v>7268.7002635290355</v>
      </c>
      <c r="P53" s="46">
        <f t="shared" ca="1" si="10"/>
        <v>7518.3139637452732</v>
      </c>
      <c r="Q53" s="46">
        <f t="shared" ca="1" si="10"/>
        <v>8261.2152833464206</v>
      </c>
      <c r="R53" s="46">
        <f t="shared" ca="1" si="10"/>
        <v>9051.641390474073</v>
      </c>
      <c r="S53" s="46">
        <f t="shared" ca="1" si="10"/>
        <v>9889.5922851282303</v>
      </c>
      <c r="T53" s="46">
        <f t="shared" ca="1" si="10"/>
        <v>10775.067967308893</v>
      </c>
      <c r="U53" s="46">
        <f t="shared" ca="1" si="10"/>
        <v>12917.778200296349</v>
      </c>
      <c r="V53" s="46">
        <f t="shared" ca="1" si="10"/>
        <v>15060.488433283805</v>
      </c>
      <c r="W53" s="46">
        <f t="shared" ca="1" si="10"/>
        <v>17203.198666271259</v>
      </c>
      <c r="X53" s="46">
        <f t="shared" ca="1" si="10"/>
        <v>19345.908899258713</v>
      </c>
      <c r="Y53" s="46">
        <f t="shared" ca="1" si="10"/>
        <v>22676.596981139253</v>
      </c>
    </row>
    <row r="54" spans="2:26">
      <c r="B54" s="61">
        <v>5</v>
      </c>
      <c r="C54" s="68" t="s">
        <v>463</v>
      </c>
      <c r="D54" s="47" t="s">
        <v>106</v>
      </c>
      <c r="E54" s="46"/>
      <c r="F54" s="46">
        <f>H29</f>
        <v>0</v>
      </c>
      <c r="G54" s="46">
        <f t="shared" ref="G54:Y54" si="11">I29</f>
        <v>0</v>
      </c>
      <c r="H54" s="46">
        <f t="shared" si="11"/>
        <v>0</v>
      </c>
      <c r="I54" s="46">
        <f t="shared" ca="1" si="11"/>
        <v>40.185588816931954</v>
      </c>
      <c r="J54" s="46">
        <f t="shared" ca="1" si="11"/>
        <v>46.126187257745016</v>
      </c>
      <c r="K54" s="46">
        <f t="shared" ca="1" si="11"/>
        <v>41.111547476569342</v>
      </c>
      <c r="L54" s="46">
        <f t="shared" ca="1" si="11"/>
        <v>114.97208470028178</v>
      </c>
      <c r="M54" s="46">
        <f t="shared" ca="1" si="11"/>
        <v>140.6222732113896</v>
      </c>
      <c r="N54" s="46">
        <f t="shared" ca="1" si="11"/>
        <v>152.50347009301572</v>
      </c>
      <c r="O54" s="46">
        <f t="shared" ca="1" si="11"/>
        <v>164.38466697464185</v>
      </c>
      <c r="P54" s="46">
        <f t="shared" ca="1" si="11"/>
        <v>133.32554469016699</v>
      </c>
      <c r="Q54" s="46">
        <f t="shared" ca="1" si="11"/>
        <v>150.45275927090813</v>
      </c>
      <c r="R54" s="46">
        <f t="shared" ca="1" si="11"/>
        <v>162.33395615253426</v>
      </c>
      <c r="S54" s="46">
        <f t="shared" ca="1" si="11"/>
        <v>174.21515303416049</v>
      </c>
      <c r="T54" s="46">
        <f t="shared" ca="1" si="11"/>
        <v>186.09634991578662</v>
      </c>
      <c r="U54" s="46">
        <f t="shared" ca="1" si="11"/>
        <v>525.58906267164309</v>
      </c>
      <c r="V54" s="46">
        <f t="shared" ca="1" si="11"/>
        <v>525.58906267164309</v>
      </c>
      <c r="W54" s="46">
        <f t="shared" ca="1" si="11"/>
        <v>525.58906267164309</v>
      </c>
      <c r="X54" s="46">
        <f t="shared" ca="1" si="11"/>
        <v>525.58906267164309</v>
      </c>
      <c r="Y54" s="46">
        <f t="shared" ca="1" si="11"/>
        <v>525.58906267164309</v>
      </c>
    </row>
    <row r="55" spans="2:26">
      <c r="B55" s="69">
        <v>6</v>
      </c>
      <c r="C55" s="62" t="s">
        <v>497</v>
      </c>
      <c r="D55" s="47" t="s">
        <v>106</v>
      </c>
      <c r="E55" s="46">
        <f ca="1">E52-E54</f>
        <v>-4950.4987006775591</v>
      </c>
      <c r="F55" s="46">
        <f ca="1">H30</f>
        <v>596.28280838602404</v>
      </c>
      <c r="G55" s="46">
        <f t="shared" ref="G55:Y55" ca="1" si="12">G52-G54</f>
        <v>688.80759591252854</v>
      </c>
      <c r="H55" s="46">
        <f t="shared" ca="1" si="12"/>
        <v>736.33238343903304</v>
      </c>
      <c r="I55" s="46">
        <f t="shared" ca="1" si="12"/>
        <v>743.67158214860558</v>
      </c>
      <c r="J55" s="46">
        <f t="shared" ca="1" si="12"/>
        <v>785.25577123429753</v>
      </c>
      <c r="K55" s="46">
        <f t="shared" ca="1" si="12"/>
        <v>753.11486407891744</v>
      </c>
      <c r="L55" s="46">
        <f t="shared" ca="1" si="12"/>
        <v>590.58930831201997</v>
      </c>
      <c r="M55" s="46">
        <f t="shared" ca="1" si="12"/>
        <v>522.60311985079954</v>
      </c>
      <c r="N55" s="46">
        <f t="shared" ca="1" si="12"/>
        <v>558.24671049567837</v>
      </c>
      <c r="O55" s="46">
        <f t="shared" ca="1" si="12"/>
        <v>593.89030114055629</v>
      </c>
      <c r="P55" s="46">
        <f t="shared" ca="1" si="12"/>
        <v>116.28815552607026</v>
      </c>
      <c r="Q55" s="46">
        <f t="shared" ca="1" si="12"/>
        <v>592.44856033024018</v>
      </c>
      <c r="R55" s="46">
        <f t="shared" ca="1" si="12"/>
        <v>628.09215097511901</v>
      </c>
      <c r="S55" s="46">
        <f t="shared" ca="1" si="12"/>
        <v>663.73574161999682</v>
      </c>
      <c r="T55" s="46">
        <f t="shared" ca="1" si="12"/>
        <v>699.37933226487564</v>
      </c>
      <c r="U55" s="46">
        <f t="shared" ca="1" si="12"/>
        <v>1617.1211703158128</v>
      </c>
      <c r="V55" s="46">
        <f t="shared" ca="1" si="12"/>
        <v>1617.1211703158128</v>
      </c>
      <c r="W55" s="46">
        <f t="shared" ca="1" si="12"/>
        <v>1617.1211703158128</v>
      </c>
      <c r="X55" s="46">
        <f t="shared" ca="1" si="12"/>
        <v>1617.1211703158128</v>
      </c>
      <c r="Y55" s="46">
        <f t="shared" ca="1" si="12"/>
        <v>2805.0990192088957</v>
      </c>
    </row>
    <row r="56" spans="2:26">
      <c r="B56" s="69">
        <v>7</v>
      </c>
      <c r="C56" s="68" t="s">
        <v>498</v>
      </c>
      <c r="D56" s="47" t="s">
        <v>106</v>
      </c>
      <c r="E56" s="46">
        <f ca="1">E55</f>
        <v>-4950.4987006775591</v>
      </c>
      <c r="F56" s="46">
        <f ca="1">H31</f>
        <v>596.28280838602404</v>
      </c>
      <c r="G56" s="46">
        <f t="shared" ref="G56:Y56" ca="1" si="13">F56+G55</f>
        <v>1285.0904042985526</v>
      </c>
      <c r="H56" s="46">
        <f t="shared" ca="1" si="13"/>
        <v>2021.4227877375856</v>
      </c>
      <c r="I56" s="46">
        <f t="shared" ca="1" si="13"/>
        <v>2765.0943698861911</v>
      </c>
      <c r="J56" s="46">
        <f t="shared" ca="1" si="13"/>
        <v>3550.3501411204888</v>
      </c>
      <c r="K56" s="46">
        <f t="shared" ca="1" si="13"/>
        <v>4303.4650051994067</v>
      </c>
      <c r="L56" s="46">
        <f t="shared" ca="1" si="13"/>
        <v>4894.0543135114267</v>
      </c>
      <c r="M56" s="46">
        <f t="shared" ca="1" si="13"/>
        <v>5416.6574333622266</v>
      </c>
      <c r="N56" s="46">
        <f t="shared" ca="1" si="13"/>
        <v>5974.9041438579052</v>
      </c>
      <c r="O56" s="46">
        <f t="shared" ca="1" si="13"/>
        <v>6568.7944449984616</v>
      </c>
      <c r="P56" s="46">
        <f t="shared" ca="1" si="13"/>
        <v>6685.0826005245317</v>
      </c>
      <c r="Q56" s="46">
        <f t="shared" ca="1" si="13"/>
        <v>7277.5311608547718</v>
      </c>
      <c r="R56" s="46">
        <f t="shared" ca="1" si="13"/>
        <v>7905.6233118298906</v>
      </c>
      <c r="S56" s="46">
        <f t="shared" ca="1" si="13"/>
        <v>8569.3590534498871</v>
      </c>
      <c r="T56" s="46">
        <f t="shared" ca="1" si="13"/>
        <v>9268.7383857147634</v>
      </c>
      <c r="U56" s="46">
        <f t="shared" ca="1" si="13"/>
        <v>10885.859556030577</v>
      </c>
      <c r="V56" s="46">
        <f t="shared" ca="1" si="13"/>
        <v>12502.98072634639</v>
      </c>
      <c r="W56" s="46">
        <f t="shared" ca="1" si="13"/>
        <v>14120.101896662203</v>
      </c>
      <c r="X56" s="46">
        <f t="shared" ca="1" si="13"/>
        <v>15737.223066978017</v>
      </c>
      <c r="Y56" s="46">
        <f t="shared" ca="1" si="13"/>
        <v>18542.322086186912</v>
      </c>
    </row>
  </sheetData>
  <mergeCells count="11">
    <mergeCell ref="F3:G3"/>
    <mergeCell ref="H3:AA3"/>
    <mergeCell ref="G50:Z50"/>
    <mergeCell ref="B3:B4"/>
    <mergeCell ref="B50:B51"/>
    <mergeCell ref="C3:C4"/>
    <mergeCell ref="C50:C51"/>
    <mergeCell ref="D3:D4"/>
    <mergeCell ref="D50:D51"/>
    <mergeCell ref="E3:E4"/>
    <mergeCell ref="B46:D48"/>
  </mergeCells>
  <phoneticPr fontId="6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0"/>
  <sheetViews>
    <sheetView showGridLines="0" zoomScale="50" zoomScaleNormal="50" workbookViewId="0">
      <selection activeCell="H8" sqref="H8"/>
    </sheetView>
  </sheetViews>
  <sheetFormatPr defaultColWidth="8.81640625" defaultRowHeight="16.5"/>
  <cols>
    <col min="1" max="1" width="2.36328125" style="59" customWidth="1"/>
    <col min="2" max="2" width="8.81640625" style="59"/>
    <col min="3" max="3" width="35" style="59" customWidth="1"/>
    <col min="4" max="4" width="17.36328125" style="59" customWidth="1"/>
    <col min="5" max="5" width="10.81640625" style="59" customWidth="1"/>
    <col min="6" max="27" width="12.453125" style="59" customWidth="1"/>
    <col min="28" max="16384" width="8.81640625" style="59"/>
  </cols>
  <sheetData>
    <row r="1" spans="2:27" ht="9" customHeight="1"/>
    <row r="2" spans="2:27" ht="24" customHeight="1">
      <c r="B2" s="41" t="s">
        <v>509</v>
      </c>
    </row>
    <row r="3" spans="2:27">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s="79" customFormat="1">
      <c r="B5" s="80">
        <v>1</v>
      </c>
      <c r="C5" s="81" t="s">
        <v>451</v>
      </c>
      <c r="D5" s="82">
        <f>SUM(F5:AA5)</f>
        <v>55978.052107398202</v>
      </c>
      <c r="E5" s="83" t="s">
        <v>106</v>
      </c>
      <c r="F5" s="46"/>
      <c r="G5" s="46"/>
      <c r="H5" s="46">
        <f t="shared" ref="H5:AA5" si="0">SUM(H6:H7)</f>
        <v>2781.8166170265499</v>
      </c>
      <c r="I5" s="46">
        <f t="shared" si="0"/>
        <v>2781.8166170265499</v>
      </c>
      <c r="J5" s="46">
        <f t="shared" si="0"/>
        <v>2781.8166170265499</v>
      </c>
      <c r="K5" s="46">
        <f t="shared" si="0"/>
        <v>2781.8166170265499</v>
      </c>
      <c r="L5" s="46">
        <f t="shared" si="0"/>
        <v>2781.8166170265499</v>
      </c>
      <c r="M5" s="46">
        <f t="shared" si="0"/>
        <v>2804.5979348177002</v>
      </c>
      <c r="N5" s="46">
        <f t="shared" si="0"/>
        <v>2804.5979348177002</v>
      </c>
      <c r="O5" s="46">
        <f t="shared" si="0"/>
        <v>2804.5979348177002</v>
      </c>
      <c r="P5" s="46">
        <f t="shared" si="0"/>
        <v>2804.5979348177002</v>
      </c>
      <c r="Q5" s="46">
        <f t="shared" si="0"/>
        <v>2804.5979348177002</v>
      </c>
      <c r="R5" s="46">
        <f t="shared" si="0"/>
        <v>2804.5979348177002</v>
      </c>
      <c r="S5" s="46">
        <f t="shared" si="0"/>
        <v>2804.5979348177002</v>
      </c>
      <c r="T5" s="46">
        <f t="shared" si="0"/>
        <v>2804.5979348177002</v>
      </c>
      <c r="U5" s="46">
        <f t="shared" si="0"/>
        <v>2804.5979348177002</v>
      </c>
      <c r="V5" s="46">
        <f t="shared" si="0"/>
        <v>2804.5979348177002</v>
      </c>
      <c r="W5" s="46">
        <f t="shared" si="0"/>
        <v>2804.5979348177002</v>
      </c>
      <c r="X5" s="46">
        <f t="shared" si="0"/>
        <v>2804.5979348177002</v>
      </c>
      <c r="Y5" s="46">
        <f t="shared" si="0"/>
        <v>2804.5979348177002</v>
      </c>
      <c r="Z5" s="46">
        <f t="shared" si="0"/>
        <v>2804.5979348177002</v>
      </c>
      <c r="AA5" s="46">
        <f t="shared" si="0"/>
        <v>2804.5979348177002</v>
      </c>
    </row>
    <row r="6" spans="2:27">
      <c r="B6" s="84">
        <v>1.1000000000000001</v>
      </c>
      <c r="C6" s="85" t="s">
        <v>242</v>
      </c>
      <c r="D6" s="86">
        <f>SUM(F6:AA6)</f>
        <v>55978.052107398202</v>
      </c>
      <c r="E6" s="87" t="s">
        <v>106</v>
      </c>
      <c r="F6" s="50"/>
      <c r="G6" s="50"/>
      <c r="H6" s="50">
        <f>'表4-收入税金表'!H5</f>
        <v>2781.8166170265499</v>
      </c>
      <c r="I6" s="50">
        <f>'表4-收入税金表'!I5</f>
        <v>2781.8166170265499</v>
      </c>
      <c r="J6" s="50">
        <f>'表4-收入税金表'!J5</f>
        <v>2781.8166170265499</v>
      </c>
      <c r="K6" s="50">
        <f>'表4-收入税金表'!K5</f>
        <v>2781.8166170265499</v>
      </c>
      <c r="L6" s="50">
        <f>'表4-收入税金表'!L5</f>
        <v>2781.8166170265499</v>
      </c>
      <c r="M6" s="50">
        <f>'表4-收入税金表'!M5</f>
        <v>2804.5979348177002</v>
      </c>
      <c r="N6" s="50">
        <f>'表4-收入税金表'!N5</f>
        <v>2804.5979348177002</v>
      </c>
      <c r="O6" s="50">
        <f>'表4-收入税金表'!O5</f>
        <v>2804.5979348177002</v>
      </c>
      <c r="P6" s="50">
        <f>'表4-收入税金表'!P5</f>
        <v>2804.5979348177002</v>
      </c>
      <c r="Q6" s="50">
        <f>'表4-收入税金表'!Q5</f>
        <v>2804.5979348177002</v>
      </c>
      <c r="R6" s="50">
        <f>'表4-收入税金表'!R5</f>
        <v>2804.5979348177002</v>
      </c>
      <c r="S6" s="50">
        <f>'表4-收入税金表'!S5</f>
        <v>2804.5979348177002</v>
      </c>
      <c r="T6" s="50">
        <f>'表4-收入税金表'!T5</f>
        <v>2804.5979348177002</v>
      </c>
      <c r="U6" s="50">
        <f>'表4-收入税金表'!U5</f>
        <v>2804.5979348177002</v>
      </c>
      <c r="V6" s="50">
        <f>'表4-收入税金表'!V5</f>
        <v>2804.5979348177002</v>
      </c>
      <c r="W6" s="50">
        <f>'表4-收入税金表'!W5</f>
        <v>2804.5979348177002</v>
      </c>
      <c r="X6" s="50">
        <f>'表4-收入税金表'!X5</f>
        <v>2804.5979348177002</v>
      </c>
      <c r="Y6" s="50">
        <f>'表4-收入税金表'!Y5</f>
        <v>2804.5979348177002</v>
      </c>
      <c r="Z6" s="50">
        <f>'表4-收入税金表'!Z5</f>
        <v>2804.5979348177002</v>
      </c>
      <c r="AA6" s="50">
        <f>'表4-收入税金表'!AA5</f>
        <v>2804.5979348177002</v>
      </c>
    </row>
    <row r="7" spans="2:27">
      <c r="B7" s="88">
        <v>1.2</v>
      </c>
      <c r="C7" s="89" t="s">
        <v>259</v>
      </c>
      <c r="D7" s="86">
        <f>SUM(F7:AA7)</f>
        <v>0</v>
      </c>
      <c r="E7" s="87" t="s">
        <v>106</v>
      </c>
      <c r="F7" s="50"/>
      <c r="G7" s="50"/>
      <c r="H7" s="50">
        <f>'表4-收入税金表'!H16</f>
        <v>0</v>
      </c>
      <c r="I7" s="50">
        <f>'表4-收入税金表'!I16</f>
        <v>0</v>
      </c>
      <c r="J7" s="50">
        <f>'表4-收入税金表'!J16</f>
        <v>0</v>
      </c>
      <c r="K7" s="50">
        <f>'表4-收入税金表'!K16</f>
        <v>0</v>
      </c>
      <c r="L7" s="50">
        <f>'表4-收入税金表'!L16</f>
        <v>0</v>
      </c>
      <c r="M7" s="50">
        <f>'表4-收入税金表'!M16</f>
        <v>0</v>
      </c>
      <c r="N7" s="50">
        <f>'表4-收入税金表'!N16</f>
        <v>0</v>
      </c>
      <c r="O7" s="50">
        <f>'表4-收入税金表'!O16</f>
        <v>0</v>
      </c>
      <c r="P7" s="50">
        <f>'表4-收入税金表'!P16</f>
        <v>0</v>
      </c>
      <c r="Q7" s="50">
        <f>'表4-收入税金表'!Q16</f>
        <v>0</v>
      </c>
      <c r="R7" s="50">
        <f>'表4-收入税金表'!R16</f>
        <v>0</v>
      </c>
      <c r="S7" s="50">
        <f>'表4-收入税金表'!S16</f>
        <v>0</v>
      </c>
      <c r="T7" s="50">
        <f>'表4-收入税金表'!T16</f>
        <v>0</v>
      </c>
      <c r="U7" s="50">
        <f>'表4-收入税金表'!U16</f>
        <v>0</v>
      </c>
      <c r="V7" s="50">
        <f>'表4-收入税金表'!V16</f>
        <v>0</v>
      </c>
      <c r="W7" s="50">
        <f>'表4-收入税金表'!W16</f>
        <v>0</v>
      </c>
      <c r="X7" s="50">
        <f>'表4-收入税金表'!X16</f>
        <v>0</v>
      </c>
      <c r="Y7" s="50">
        <f>'表4-收入税金表'!Y16</f>
        <v>0</v>
      </c>
      <c r="Z7" s="50">
        <f>'表4-收入税金表'!Z16</f>
        <v>0</v>
      </c>
      <c r="AA7" s="50">
        <f>'表4-收入税金表'!AA16</f>
        <v>0</v>
      </c>
    </row>
    <row r="8" spans="2:27">
      <c r="B8" s="69">
        <v>2</v>
      </c>
      <c r="C8" s="90" t="s">
        <v>510</v>
      </c>
      <c r="D8" s="82">
        <f ca="1">SUM(F8:AA8)</f>
        <v>34347.479218161534</v>
      </c>
      <c r="E8" s="87" t="s">
        <v>106</v>
      </c>
      <c r="F8" s="50"/>
      <c r="G8" s="50"/>
      <c r="H8" s="46">
        <f ca="1">'表3-成本费用表'!H29</f>
        <v>1886.7794561730393</v>
      </c>
      <c r="I8" s="46">
        <f ca="1">'表3-成本费用表'!I29</f>
        <v>1886.7794561730393</v>
      </c>
      <c r="J8" s="46">
        <f ca="1">'表3-成本费用表'!J29</f>
        <v>1886.7794561730393</v>
      </c>
      <c r="K8" s="46">
        <f ca="1">'表3-成本费用表'!K29</f>
        <v>1886.7794561730393</v>
      </c>
      <c r="L8" s="46">
        <f ca="1">'表3-成本费用表'!L29</f>
        <v>1886.7794561730393</v>
      </c>
      <c r="M8" s="46">
        <f ca="1">'表3-成本费用表'!M29</f>
        <v>1997.2026797400995</v>
      </c>
      <c r="N8" s="46">
        <f ca="1">'表3-成本费用表'!N29</f>
        <v>1997.2026797400995</v>
      </c>
      <c r="O8" s="46">
        <f ca="1">'表3-成本费用表'!O29</f>
        <v>1997.2026797400995</v>
      </c>
      <c r="P8" s="46">
        <f ca="1">'表3-成本费用表'!P29</f>
        <v>1997.2026797400995</v>
      </c>
      <c r="Q8" s="46">
        <f ca="1">'表3-成本费用表'!Q29</f>
        <v>1997.2026797400995</v>
      </c>
      <c r="R8" s="46">
        <f ca="1">'表3-成本费用表'!R29</f>
        <v>2147.9798856080433</v>
      </c>
      <c r="S8" s="46">
        <f ca="1">'表3-成本费用表'!S29</f>
        <v>2147.9798856080433</v>
      </c>
      <c r="T8" s="46">
        <f ca="1">'表3-成本费用表'!T29</f>
        <v>2147.9798856080433</v>
      </c>
      <c r="U8" s="46">
        <f ca="1">'表3-成本费用表'!U29</f>
        <v>2147.9798856080433</v>
      </c>
      <c r="V8" s="46">
        <f ca="1">'表3-成本费用表'!V29</f>
        <v>2147.9798856080433</v>
      </c>
      <c r="W8" s="46">
        <f ca="1">'表3-成本费用表'!W29</f>
        <v>837.53382211112216</v>
      </c>
      <c r="X8" s="46">
        <f ca="1">'表3-成本费用表'!X29</f>
        <v>837.53382211112216</v>
      </c>
      <c r="Y8" s="46">
        <f ca="1">'表3-成本费用表'!Y29</f>
        <v>837.53382211112216</v>
      </c>
      <c r="Z8" s="46">
        <f ca="1">'表3-成本费用表'!Z29</f>
        <v>837.53382211112216</v>
      </c>
      <c r="AA8" s="46">
        <f ca="1">'表3-成本费用表'!AA29</f>
        <v>837.53382211112216</v>
      </c>
    </row>
    <row r="9" spans="2:27">
      <c r="B9" s="69">
        <v>3</v>
      </c>
      <c r="C9" s="91" t="s">
        <v>452</v>
      </c>
      <c r="D9" s="82">
        <f t="shared" ref="D9:D34" ca="1" si="1">SUM(F9:AA9)</f>
        <v>588.50522981227414</v>
      </c>
      <c r="E9" s="87" t="s">
        <v>106</v>
      </c>
      <c r="F9" s="50"/>
      <c r="G9" s="50"/>
      <c r="H9" s="46">
        <f ca="1">'表4-收入税金表'!H46+'表4-收入税金表'!H50</f>
        <v>0</v>
      </c>
      <c r="I9" s="46">
        <f ca="1">'表4-收入税金表'!I46+'表4-收入税金表'!I50</f>
        <v>0</v>
      </c>
      <c r="J9" s="46">
        <f ca="1">'表4-收入税金表'!J46+'表4-收入税金表'!J50</f>
        <v>0</v>
      </c>
      <c r="K9" s="46">
        <f ca="1">'表4-收入税金表'!K46+'表4-收入税金表'!K50</f>
        <v>0</v>
      </c>
      <c r="L9" s="46">
        <f ca="1">'表4-收入税金表'!L46+'表4-收入税金表'!L50</f>
        <v>0</v>
      </c>
      <c r="M9" s="46">
        <f ca="1">'表4-收入税金表'!M46+'表4-收入税金表'!M50</f>
        <v>0</v>
      </c>
      <c r="N9" s="46">
        <f ca="1">'表4-收入税金表'!N46+'表4-收入税金表'!N50</f>
        <v>26.359317303810823</v>
      </c>
      <c r="O9" s="46">
        <f ca="1">'表4-收入税金表'!O46+'表4-收入税金表'!O50</f>
        <v>43.751727783156127</v>
      </c>
      <c r="P9" s="46">
        <f ca="1">'表4-收入税金表'!P46+'表4-收入税金表'!P50</f>
        <v>43.751727783156127</v>
      </c>
      <c r="Q9" s="46">
        <f ca="1">'表4-收入税金表'!Q46+'表4-收入税金表'!Q50</f>
        <v>43.751727783156127</v>
      </c>
      <c r="R9" s="46">
        <f ca="1">'表4-收入税金表'!R46+'表4-收入税金表'!R50</f>
        <v>37.125179110589748</v>
      </c>
      <c r="S9" s="46">
        <f ca="1">'表4-收入税金表'!S46+'表4-收入税金表'!S50</f>
        <v>43.751727783156127</v>
      </c>
      <c r="T9" s="46">
        <f ca="1">'表4-收入税金表'!T46+'表4-收入税金表'!T50</f>
        <v>43.751727783156127</v>
      </c>
      <c r="U9" s="46">
        <f ca="1">'表4-收入税金表'!U46+'表4-收入税金表'!U50</f>
        <v>43.751727783156127</v>
      </c>
      <c r="V9" s="46">
        <f ca="1">'表4-收入税金表'!V46+'表4-收入税金表'!V50</f>
        <v>43.751727783156127</v>
      </c>
      <c r="W9" s="46">
        <f ca="1">'表4-收入税金表'!W46+'表4-收入税金表'!W50</f>
        <v>43.751727783156127</v>
      </c>
      <c r="X9" s="46">
        <f ca="1">'表4-收入税金表'!X46+'表4-收入税金表'!X50</f>
        <v>43.751727783156127</v>
      </c>
      <c r="Y9" s="46">
        <f ca="1">'表4-收入税金表'!Y46+'表4-收入税金表'!Y50</f>
        <v>43.751727783156127</v>
      </c>
      <c r="Z9" s="46">
        <f ca="1">'表4-收入税金表'!Z46+'表4-收入税金表'!Z50</f>
        <v>43.751727783156127</v>
      </c>
      <c r="AA9" s="46">
        <f ca="1">'表4-收入税金表'!AA46+'表4-收入税金表'!AA50</f>
        <v>43.751727783156127</v>
      </c>
    </row>
    <row r="10" spans="2:27" s="79" customFormat="1">
      <c r="B10" s="69">
        <v>4</v>
      </c>
      <c r="C10" s="81" t="s">
        <v>263</v>
      </c>
      <c r="D10" s="82">
        <f t="shared" ca="1" si="1"/>
        <v>2452.1051242178078</v>
      </c>
      <c r="E10" s="83" t="s">
        <v>106</v>
      </c>
      <c r="F10" s="46"/>
      <c r="G10" s="46"/>
      <c r="H10" s="46">
        <f ca="1">SUM(H11:H12)</f>
        <v>0</v>
      </c>
      <c r="I10" s="46">
        <f t="shared" ref="I10:AA10" ca="1" si="2">SUM(I11:I12)</f>
        <v>0</v>
      </c>
      <c r="J10" s="46">
        <f t="shared" ca="1" si="2"/>
        <v>0</v>
      </c>
      <c r="K10" s="46">
        <f t="shared" ca="1" si="2"/>
        <v>0</v>
      </c>
      <c r="L10" s="46">
        <f t="shared" ca="1" si="2"/>
        <v>0</v>
      </c>
      <c r="M10" s="46">
        <f t="shared" ca="1" si="2"/>
        <v>0</v>
      </c>
      <c r="N10" s="46">
        <f t="shared" ca="1" si="2"/>
        <v>109.83048876587841</v>
      </c>
      <c r="O10" s="46">
        <f t="shared" ca="1" si="2"/>
        <v>182.2988657631505</v>
      </c>
      <c r="P10" s="46">
        <f t="shared" ca="1" si="2"/>
        <v>182.2988657631505</v>
      </c>
      <c r="Q10" s="46">
        <f t="shared" ca="1" si="2"/>
        <v>182.2988657631505</v>
      </c>
      <c r="R10" s="46">
        <f t="shared" ca="1" si="2"/>
        <v>154.68824629412396</v>
      </c>
      <c r="S10" s="46">
        <f t="shared" ca="1" si="2"/>
        <v>182.2988657631505</v>
      </c>
      <c r="T10" s="46">
        <f t="shared" ca="1" si="2"/>
        <v>182.2988657631505</v>
      </c>
      <c r="U10" s="46">
        <f t="shared" ca="1" si="2"/>
        <v>182.2988657631505</v>
      </c>
      <c r="V10" s="46">
        <f t="shared" ca="1" si="2"/>
        <v>182.2988657631505</v>
      </c>
      <c r="W10" s="46">
        <f t="shared" ca="1" si="2"/>
        <v>182.2988657631505</v>
      </c>
      <c r="X10" s="46">
        <f t="shared" ca="1" si="2"/>
        <v>182.2988657631505</v>
      </c>
      <c r="Y10" s="46">
        <f t="shared" ca="1" si="2"/>
        <v>182.2988657631505</v>
      </c>
      <c r="Z10" s="46">
        <f t="shared" ca="1" si="2"/>
        <v>182.2988657631505</v>
      </c>
      <c r="AA10" s="46">
        <f t="shared" ca="1" si="2"/>
        <v>182.2988657631505</v>
      </c>
    </row>
    <row r="11" spans="2:27">
      <c r="B11" s="88">
        <v>4.0999999999999996</v>
      </c>
      <c r="C11" s="92" t="s">
        <v>453</v>
      </c>
      <c r="D11" s="86">
        <f t="shared" si="1"/>
        <v>0</v>
      </c>
      <c r="E11" s="87" t="s">
        <v>106</v>
      </c>
      <c r="F11" s="50"/>
      <c r="G11" s="50"/>
      <c r="H11" s="50">
        <f>参数输入表!H246</f>
        <v>0</v>
      </c>
      <c r="I11" s="50">
        <f>参数输入表!H247</f>
        <v>0</v>
      </c>
      <c r="J11" s="50">
        <f>参数输入表!H248</f>
        <v>0</v>
      </c>
      <c r="K11" s="50">
        <f>参数输入表!H249</f>
        <v>0</v>
      </c>
      <c r="L11" s="50">
        <f>参数输入表!H250</f>
        <v>0</v>
      </c>
      <c r="M11" s="50">
        <f>参数输入表!H251</f>
        <v>0</v>
      </c>
      <c r="N11" s="50">
        <f>参数输入表!H252</f>
        <v>0</v>
      </c>
      <c r="O11" s="50">
        <f>参数输入表!H253</f>
        <v>0</v>
      </c>
      <c r="P11" s="50">
        <f>参数输入表!H254</f>
        <v>0</v>
      </c>
      <c r="Q11" s="50">
        <f>参数输入表!H255</f>
        <v>0</v>
      </c>
      <c r="R11" s="50">
        <f>参数输入表!H256</f>
        <v>0</v>
      </c>
      <c r="S11" s="50">
        <f>参数输入表!H257</f>
        <v>0</v>
      </c>
      <c r="T11" s="50">
        <f>参数输入表!H258</f>
        <v>0</v>
      </c>
      <c r="U11" s="50">
        <f>参数输入表!H259</f>
        <v>0</v>
      </c>
      <c r="V11" s="50">
        <f>参数输入表!H260</f>
        <v>0</v>
      </c>
      <c r="W11" s="50">
        <f>参数输入表!H261</f>
        <v>0</v>
      </c>
      <c r="X11" s="50">
        <f>参数输入表!H262</f>
        <v>0</v>
      </c>
      <c r="Y11" s="50">
        <f>参数输入表!H263</f>
        <v>0</v>
      </c>
      <c r="Z11" s="50">
        <f>参数输入表!H264</f>
        <v>0</v>
      </c>
      <c r="AA11" s="50">
        <f>参数输入表!H265</f>
        <v>0</v>
      </c>
    </row>
    <row r="12" spans="2:27">
      <c r="B12" s="88">
        <v>4.2</v>
      </c>
      <c r="C12" s="92" t="s">
        <v>454</v>
      </c>
      <c r="D12" s="86">
        <f t="shared" ca="1" si="1"/>
        <v>2452.1051242178078</v>
      </c>
      <c r="E12" s="87" t="s">
        <v>106</v>
      </c>
      <c r="F12" s="50"/>
      <c r="G12" s="50"/>
      <c r="H12" s="50">
        <f ca="1">'表4-收入税金表'!H19</f>
        <v>0</v>
      </c>
      <c r="I12" s="50">
        <f ca="1">'表4-收入税金表'!I19</f>
        <v>0</v>
      </c>
      <c r="J12" s="50">
        <f ca="1">'表4-收入税金表'!J19</f>
        <v>0</v>
      </c>
      <c r="K12" s="50">
        <f ca="1">'表4-收入税金表'!K19</f>
        <v>0</v>
      </c>
      <c r="L12" s="50">
        <f ca="1">'表4-收入税金表'!L19</f>
        <v>0</v>
      </c>
      <c r="M12" s="50">
        <f ca="1">'表4-收入税金表'!M19</f>
        <v>0</v>
      </c>
      <c r="N12" s="50">
        <f ca="1">'表4-收入税金表'!N19</f>
        <v>109.83048876587841</v>
      </c>
      <c r="O12" s="50">
        <f ca="1">'表4-收入税金表'!O19</f>
        <v>182.2988657631505</v>
      </c>
      <c r="P12" s="50">
        <f ca="1">'表4-收入税金表'!P19</f>
        <v>182.2988657631505</v>
      </c>
      <c r="Q12" s="50">
        <f ca="1">'表4-收入税金表'!Q19</f>
        <v>182.2988657631505</v>
      </c>
      <c r="R12" s="50">
        <f ca="1">'表4-收入税金表'!R19</f>
        <v>154.68824629412396</v>
      </c>
      <c r="S12" s="50">
        <f ca="1">'表4-收入税金表'!S19</f>
        <v>182.2988657631505</v>
      </c>
      <c r="T12" s="50">
        <f ca="1">'表4-收入税金表'!T19</f>
        <v>182.2988657631505</v>
      </c>
      <c r="U12" s="50">
        <f ca="1">'表4-收入税金表'!U19</f>
        <v>182.2988657631505</v>
      </c>
      <c r="V12" s="50">
        <f ca="1">'表4-收入税金表'!V19</f>
        <v>182.2988657631505</v>
      </c>
      <c r="W12" s="50">
        <f ca="1">'表4-收入税金表'!W19</f>
        <v>182.2988657631505</v>
      </c>
      <c r="X12" s="50">
        <f ca="1">'表4-收入税金表'!X19</f>
        <v>182.2988657631505</v>
      </c>
      <c r="Y12" s="50">
        <f ca="1">'表4-收入税金表'!Y19</f>
        <v>182.2988657631505</v>
      </c>
      <c r="Z12" s="50">
        <f ca="1">'表4-收入税金表'!Z19</f>
        <v>182.2988657631505</v>
      </c>
      <c r="AA12" s="50">
        <f ca="1">'表4-收入税金表'!AA19</f>
        <v>182.2988657631505</v>
      </c>
    </row>
    <row r="13" spans="2:27">
      <c r="B13" s="69">
        <v>5</v>
      </c>
      <c r="C13" s="90" t="s">
        <v>238</v>
      </c>
      <c r="D13" s="82">
        <f t="shared" si="1"/>
        <v>0</v>
      </c>
      <c r="E13" s="87" t="s">
        <v>106</v>
      </c>
      <c r="F13" s="50"/>
      <c r="G13" s="50"/>
      <c r="H13" s="46">
        <f>'表3-成本费用表'!H24</f>
        <v>0</v>
      </c>
      <c r="I13" s="46">
        <f>'表3-成本费用表'!I24</f>
        <v>0</v>
      </c>
      <c r="J13" s="46">
        <f>'表3-成本费用表'!J24</f>
        <v>0</v>
      </c>
      <c r="K13" s="46">
        <f>'表3-成本费用表'!K24</f>
        <v>0</v>
      </c>
      <c r="L13" s="46">
        <f>'表3-成本费用表'!L24</f>
        <v>0</v>
      </c>
      <c r="M13" s="46">
        <f>'表3-成本费用表'!M24</f>
        <v>0</v>
      </c>
      <c r="N13" s="46">
        <f>'表3-成本费用表'!N24</f>
        <v>0</v>
      </c>
      <c r="O13" s="46">
        <f>'表3-成本费用表'!O24</f>
        <v>0</v>
      </c>
      <c r="P13" s="46">
        <f>'表3-成本费用表'!P24</f>
        <v>0</v>
      </c>
      <c r="Q13" s="46">
        <f>'表3-成本费用表'!Q24</f>
        <v>0</v>
      </c>
      <c r="R13" s="46">
        <f>'表3-成本费用表'!R24</f>
        <v>0</v>
      </c>
      <c r="S13" s="46">
        <f>'表3-成本费用表'!S24</f>
        <v>0</v>
      </c>
      <c r="T13" s="46">
        <f>'表3-成本费用表'!T24</f>
        <v>0</v>
      </c>
      <c r="U13" s="46">
        <f>'表3-成本费用表'!U24</f>
        <v>0</v>
      </c>
      <c r="V13" s="46">
        <f>'表3-成本费用表'!V24</f>
        <v>0</v>
      </c>
      <c r="W13" s="46">
        <f>'表3-成本费用表'!W24</f>
        <v>0</v>
      </c>
      <c r="X13" s="46">
        <f>'表3-成本费用表'!X24</f>
        <v>0</v>
      </c>
      <c r="Y13" s="46">
        <f>'表3-成本费用表'!Y24</f>
        <v>0</v>
      </c>
      <c r="Z13" s="46">
        <f>'表3-成本费用表'!Z24</f>
        <v>0</v>
      </c>
      <c r="AA13" s="46">
        <f>'表3-成本费用表'!AA24</f>
        <v>0</v>
      </c>
    </row>
    <row r="14" spans="2:27" s="79" customFormat="1">
      <c r="B14" s="69">
        <v>6</v>
      </c>
      <c r="C14" s="90" t="s">
        <v>455</v>
      </c>
      <c r="D14" s="82">
        <f t="shared" ca="1" si="1"/>
        <v>23494.172783642258</v>
      </c>
      <c r="E14" s="83" t="s">
        <v>106</v>
      </c>
      <c r="F14" s="46"/>
      <c r="G14" s="46"/>
      <c r="H14" s="46">
        <f ca="1">H5+H10-H8-H9-H13</f>
        <v>895.03716085351061</v>
      </c>
      <c r="I14" s="46">
        <f t="shared" ref="I14:AA14" ca="1" si="3">I5+I10-I8-I9-I13</f>
        <v>895.03716085351061</v>
      </c>
      <c r="J14" s="46">
        <f t="shared" ca="1" si="3"/>
        <v>895.03716085351061</v>
      </c>
      <c r="K14" s="46">
        <f t="shared" ca="1" si="3"/>
        <v>895.03716085351061</v>
      </c>
      <c r="L14" s="46">
        <f t="shared" ca="1" si="3"/>
        <v>895.03716085351061</v>
      </c>
      <c r="M14" s="46">
        <f t="shared" ca="1" si="3"/>
        <v>807.39525507760072</v>
      </c>
      <c r="N14" s="46">
        <f t="shared" ca="1" si="3"/>
        <v>890.86642653966817</v>
      </c>
      <c r="O14" s="46">
        <f t="shared" ca="1" si="3"/>
        <v>945.94239305759493</v>
      </c>
      <c r="P14" s="46">
        <f t="shared" ca="1" si="3"/>
        <v>945.94239305759493</v>
      </c>
      <c r="Q14" s="46">
        <f t="shared" ca="1" si="3"/>
        <v>945.94239305759493</v>
      </c>
      <c r="R14" s="46">
        <f t="shared" ca="1" si="3"/>
        <v>774.18111639319102</v>
      </c>
      <c r="S14" s="46">
        <f t="shared" ca="1" si="3"/>
        <v>795.16518718965108</v>
      </c>
      <c r="T14" s="46">
        <f t="shared" ca="1" si="3"/>
        <v>795.16518718965108</v>
      </c>
      <c r="U14" s="46">
        <f t="shared" ca="1" si="3"/>
        <v>795.16518718965108</v>
      </c>
      <c r="V14" s="46">
        <f t="shared" ca="1" si="3"/>
        <v>795.16518718965108</v>
      </c>
      <c r="W14" s="46">
        <f t="shared" ca="1" si="3"/>
        <v>2105.6112506865725</v>
      </c>
      <c r="X14" s="46">
        <f t="shared" ca="1" si="3"/>
        <v>2105.6112506865725</v>
      </c>
      <c r="Y14" s="46">
        <f t="shared" ca="1" si="3"/>
        <v>2105.6112506865725</v>
      </c>
      <c r="Z14" s="46">
        <f t="shared" ca="1" si="3"/>
        <v>2105.6112506865725</v>
      </c>
      <c r="AA14" s="46">
        <f t="shared" ca="1" si="3"/>
        <v>2105.6112506865725</v>
      </c>
    </row>
    <row r="15" spans="2:27">
      <c r="B15" s="69">
        <v>7</v>
      </c>
      <c r="C15" s="93" t="s">
        <v>456</v>
      </c>
      <c r="D15" s="82">
        <f t="shared" ca="1" si="1"/>
        <v>0</v>
      </c>
      <c r="E15" s="87" t="s">
        <v>106</v>
      </c>
      <c r="F15" s="50"/>
      <c r="G15" s="50"/>
      <c r="H15" s="46">
        <f>SUM(H16:H20)</f>
        <v>0</v>
      </c>
      <c r="I15" s="46">
        <f t="shared" ref="I15:AA15" ca="1" si="4">SUM(I16:I20)</f>
        <v>0</v>
      </c>
      <c r="J15" s="46">
        <f t="shared" ca="1" si="4"/>
        <v>0</v>
      </c>
      <c r="K15" s="46">
        <f t="shared" ca="1" si="4"/>
        <v>0</v>
      </c>
      <c r="L15" s="46">
        <f t="shared" ca="1" si="4"/>
        <v>0</v>
      </c>
      <c r="M15" s="46">
        <f t="shared" ca="1" si="4"/>
        <v>0</v>
      </c>
      <c r="N15" s="46">
        <f t="shared" ca="1" si="4"/>
        <v>0</v>
      </c>
      <c r="O15" s="46">
        <f t="shared" ca="1" si="4"/>
        <v>0</v>
      </c>
      <c r="P15" s="46">
        <f t="shared" ca="1" si="4"/>
        <v>0</v>
      </c>
      <c r="Q15" s="46">
        <f t="shared" ca="1" si="4"/>
        <v>0</v>
      </c>
      <c r="R15" s="46">
        <f t="shared" ca="1" si="4"/>
        <v>0</v>
      </c>
      <c r="S15" s="46">
        <f t="shared" ca="1" si="4"/>
        <v>0</v>
      </c>
      <c r="T15" s="46">
        <f t="shared" ca="1" si="4"/>
        <v>0</v>
      </c>
      <c r="U15" s="46">
        <f t="shared" ca="1" si="4"/>
        <v>0</v>
      </c>
      <c r="V15" s="46">
        <f t="shared" ca="1" si="4"/>
        <v>0</v>
      </c>
      <c r="W15" s="46">
        <f t="shared" ca="1" si="4"/>
        <v>0</v>
      </c>
      <c r="X15" s="46">
        <f t="shared" ca="1" si="4"/>
        <v>0</v>
      </c>
      <c r="Y15" s="46">
        <f t="shared" ca="1" si="4"/>
        <v>0</v>
      </c>
      <c r="Z15" s="46">
        <f t="shared" ca="1" si="4"/>
        <v>0</v>
      </c>
      <c r="AA15" s="46">
        <f t="shared" ca="1" si="4"/>
        <v>0</v>
      </c>
    </row>
    <row r="16" spans="2:27">
      <c r="B16" s="47"/>
      <c r="C16" s="94" t="s">
        <v>457</v>
      </c>
      <c r="D16" s="95"/>
      <c r="E16" s="87" t="s">
        <v>106</v>
      </c>
      <c r="F16" s="50"/>
      <c r="G16" s="50"/>
      <c r="H16" s="50"/>
      <c r="I16" s="96">
        <f ca="1">IF(H14&gt;0,0,IF(I14&lt;0,0,MIN(I14-SUM(I17:I20),-H14)))</f>
        <v>0</v>
      </c>
      <c r="J16" s="96">
        <f t="shared" ref="J16:AA16" ca="1" si="5">IF(I14&gt;0,0,IF(J14&lt;0,0,MIN(J14-SUM(J17:J20),-I14)))</f>
        <v>0</v>
      </c>
      <c r="K16" s="96">
        <f t="shared" ca="1" si="5"/>
        <v>0</v>
      </c>
      <c r="L16" s="96">
        <f t="shared" ca="1" si="5"/>
        <v>0</v>
      </c>
      <c r="M16" s="96">
        <f t="shared" ca="1" si="5"/>
        <v>0</v>
      </c>
      <c r="N16" s="96">
        <f t="shared" ca="1" si="5"/>
        <v>0</v>
      </c>
      <c r="O16" s="96">
        <f t="shared" ca="1" si="5"/>
        <v>0</v>
      </c>
      <c r="P16" s="96">
        <f t="shared" ca="1" si="5"/>
        <v>0</v>
      </c>
      <c r="Q16" s="96">
        <f t="shared" ca="1" si="5"/>
        <v>0</v>
      </c>
      <c r="R16" s="96">
        <f t="shared" ca="1" si="5"/>
        <v>0</v>
      </c>
      <c r="S16" s="96">
        <f t="shared" ca="1" si="5"/>
        <v>0</v>
      </c>
      <c r="T16" s="96">
        <f t="shared" ca="1" si="5"/>
        <v>0</v>
      </c>
      <c r="U16" s="96">
        <f t="shared" ca="1" si="5"/>
        <v>0</v>
      </c>
      <c r="V16" s="96">
        <f t="shared" ca="1" si="5"/>
        <v>0</v>
      </c>
      <c r="W16" s="96">
        <f t="shared" ca="1" si="5"/>
        <v>0</v>
      </c>
      <c r="X16" s="96">
        <f t="shared" ca="1" si="5"/>
        <v>0</v>
      </c>
      <c r="Y16" s="96">
        <f t="shared" ca="1" si="5"/>
        <v>0</v>
      </c>
      <c r="Z16" s="96">
        <f t="shared" ca="1" si="5"/>
        <v>0</v>
      </c>
      <c r="AA16" s="96">
        <f t="shared" ca="1" si="5"/>
        <v>0</v>
      </c>
    </row>
    <row r="17" spans="2:27">
      <c r="B17" s="47"/>
      <c r="C17" s="94" t="s">
        <v>458</v>
      </c>
      <c r="D17" s="95"/>
      <c r="E17" s="87" t="s">
        <v>106</v>
      </c>
      <c r="F17" s="50"/>
      <c r="G17" s="50"/>
      <c r="H17" s="50"/>
      <c r="I17" s="50"/>
      <c r="J17" s="96">
        <f ca="1">IF(H14&gt;0,0,IF(J14&lt;0,0,MIN(J14-SUM(J18:J20),-H14-I16)))</f>
        <v>0</v>
      </c>
      <c r="K17" s="96">
        <f t="shared" ref="K17:AA17" ca="1" si="6">IF(I14&gt;0,0,IF(K14&lt;0,0,MIN(K14-SUM(K18:K20),-I14-J16)))</f>
        <v>0</v>
      </c>
      <c r="L17" s="96">
        <f t="shared" ca="1" si="6"/>
        <v>0</v>
      </c>
      <c r="M17" s="96">
        <f t="shared" ca="1" si="6"/>
        <v>0</v>
      </c>
      <c r="N17" s="96">
        <f t="shared" ca="1" si="6"/>
        <v>0</v>
      </c>
      <c r="O17" s="96">
        <f t="shared" ca="1" si="6"/>
        <v>0</v>
      </c>
      <c r="P17" s="96">
        <f t="shared" ca="1" si="6"/>
        <v>0</v>
      </c>
      <c r="Q17" s="96">
        <f t="shared" ca="1" si="6"/>
        <v>0</v>
      </c>
      <c r="R17" s="96">
        <f t="shared" ca="1" si="6"/>
        <v>0</v>
      </c>
      <c r="S17" s="96">
        <f t="shared" ca="1" si="6"/>
        <v>0</v>
      </c>
      <c r="T17" s="96">
        <f t="shared" ca="1" si="6"/>
        <v>0</v>
      </c>
      <c r="U17" s="96">
        <f t="shared" ca="1" si="6"/>
        <v>0</v>
      </c>
      <c r="V17" s="96">
        <f t="shared" ca="1" si="6"/>
        <v>0</v>
      </c>
      <c r="W17" s="96">
        <f t="shared" ca="1" si="6"/>
        <v>0</v>
      </c>
      <c r="X17" s="96">
        <f t="shared" ca="1" si="6"/>
        <v>0</v>
      </c>
      <c r="Y17" s="96">
        <f t="shared" ca="1" si="6"/>
        <v>0</v>
      </c>
      <c r="Z17" s="96">
        <f t="shared" ca="1" si="6"/>
        <v>0</v>
      </c>
      <c r="AA17" s="96">
        <f t="shared" ca="1" si="6"/>
        <v>0</v>
      </c>
    </row>
    <row r="18" spans="2:27">
      <c r="B18" s="47"/>
      <c r="C18" s="94" t="s">
        <v>459</v>
      </c>
      <c r="D18" s="95"/>
      <c r="E18" s="87" t="s">
        <v>106</v>
      </c>
      <c r="F18" s="50"/>
      <c r="G18" s="50"/>
      <c r="H18" s="50"/>
      <c r="I18" s="50"/>
      <c r="J18" s="50"/>
      <c r="K18" s="96">
        <f ca="1">IF(H14&gt;0,0,IF(K14&lt;0,0,MIN(K14-SUM(K19:K20),-H14-I16-J17)))</f>
        <v>0</v>
      </c>
      <c r="L18" s="96">
        <f t="shared" ref="L18:AA18" ca="1" si="7">IF(I14&gt;0,0,IF(L14&lt;0,0,MIN(L14-SUM(L19:L20),-I14-J16-K17)))</f>
        <v>0</v>
      </c>
      <c r="M18" s="96">
        <f t="shared" ca="1" si="7"/>
        <v>0</v>
      </c>
      <c r="N18" s="96">
        <f t="shared" ca="1" si="7"/>
        <v>0</v>
      </c>
      <c r="O18" s="96">
        <f t="shared" ca="1" si="7"/>
        <v>0</v>
      </c>
      <c r="P18" s="96">
        <f t="shared" ca="1" si="7"/>
        <v>0</v>
      </c>
      <c r="Q18" s="96">
        <f t="shared" ca="1" si="7"/>
        <v>0</v>
      </c>
      <c r="R18" s="96">
        <f t="shared" ca="1" si="7"/>
        <v>0</v>
      </c>
      <c r="S18" s="96">
        <f t="shared" ca="1" si="7"/>
        <v>0</v>
      </c>
      <c r="T18" s="96">
        <f t="shared" ca="1" si="7"/>
        <v>0</v>
      </c>
      <c r="U18" s="96">
        <f t="shared" ca="1" si="7"/>
        <v>0</v>
      </c>
      <c r="V18" s="96">
        <f t="shared" ca="1" si="7"/>
        <v>0</v>
      </c>
      <c r="W18" s="96">
        <f t="shared" ca="1" si="7"/>
        <v>0</v>
      </c>
      <c r="X18" s="96">
        <f t="shared" ca="1" si="7"/>
        <v>0</v>
      </c>
      <c r="Y18" s="96">
        <f t="shared" ca="1" si="7"/>
        <v>0</v>
      </c>
      <c r="Z18" s="96">
        <f t="shared" ca="1" si="7"/>
        <v>0</v>
      </c>
      <c r="AA18" s="96">
        <f t="shared" ca="1" si="7"/>
        <v>0</v>
      </c>
    </row>
    <row r="19" spans="2:27">
      <c r="B19" s="47"/>
      <c r="C19" s="94" t="s">
        <v>460</v>
      </c>
      <c r="D19" s="95"/>
      <c r="E19" s="87" t="s">
        <v>106</v>
      </c>
      <c r="F19" s="50"/>
      <c r="G19" s="50"/>
      <c r="H19" s="50"/>
      <c r="I19" s="50"/>
      <c r="J19" s="50"/>
      <c r="K19" s="50"/>
      <c r="L19" s="96">
        <f ca="1">IF(H14&gt;0,0,IF(L14&lt;0,0,MIN(L14-L20,-H14-I16-J17-K18)))</f>
        <v>0</v>
      </c>
      <c r="M19" s="96">
        <f t="shared" ref="M19:AA19" ca="1" si="8">IF(I14&gt;0,0,IF(M14&lt;0,0,MIN(M14-M20,-I14-J16-K17-L18)))</f>
        <v>0</v>
      </c>
      <c r="N19" s="96">
        <f t="shared" ca="1" si="8"/>
        <v>0</v>
      </c>
      <c r="O19" s="96">
        <f t="shared" ca="1" si="8"/>
        <v>0</v>
      </c>
      <c r="P19" s="96">
        <f t="shared" ca="1" si="8"/>
        <v>0</v>
      </c>
      <c r="Q19" s="96">
        <f t="shared" ca="1" si="8"/>
        <v>0</v>
      </c>
      <c r="R19" s="96">
        <f t="shared" ca="1" si="8"/>
        <v>0</v>
      </c>
      <c r="S19" s="96">
        <f t="shared" ca="1" si="8"/>
        <v>0</v>
      </c>
      <c r="T19" s="96">
        <f t="shared" ca="1" si="8"/>
        <v>0</v>
      </c>
      <c r="U19" s="96">
        <f t="shared" ca="1" si="8"/>
        <v>0</v>
      </c>
      <c r="V19" s="96">
        <f t="shared" ca="1" si="8"/>
        <v>0</v>
      </c>
      <c r="W19" s="96">
        <f t="shared" ca="1" si="8"/>
        <v>0</v>
      </c>
      <c r="X19" s="96">
        <f t="shared" ca="1" si="8"/>
        <v>0</v>
      </c>
      <c r="Y19" s="96">
        <f t="shared" ca="1" si="8"/>
        <v>0</v>
      </c>
      <c r="Z19" s="96">
        <f t="shared" ca="1" si="8"/>
        <v>0</v>
      </c>
      <c r="AA19" s="96">
        <f t="shared" ca="1" si="8"/>
        <v>0</v>
      </c>
    </row>
    <row r="20" spans="2:27">
      <c r="B20" s="47"/>
      <c r="C20" s="94" t="s">
        <v>461</v>
      </c>
      <c r="D20" s="95"/>
      <c r="E20" s="87" t="s">
        <v>106</v>
      </c>
      <c r="F20" s="50"/>
      <c r="G20" s="50"/>
      <c r="H20" s="50"/>
      <c r="I20" s="50"/>
      <c r="J20" s="50"/>
      <c r="K20" s="50"/>
      <c r="L20" s="50"/>
      <c r="M20" s="96">
        <f ca="1">IF(H14&gt;0,0,IF(M14&lt;0,0,MIN(M14,-H14-I16-J17-K18-L19)))</f>
        <v>0</v>
      </c>
      <c r="N20" s="96">
        <f t="shared" ref="N20:AA20" ca="1" si="9">IF(I14&gt;0,0,IF(N14&lt;0,0,MIN(N14,-I14-J16-K17-L18-M19)))</f>
        <v>0</v>
      </c>
      <c r="O20" s="96">
        <f t="shared" ca="1" si="9"/>
        <v>0</v>
      </c>
      <c r="P20" s="96">
        <f t="shared" ca="1" si="9"/>
        <v>0</v>
      </c>
      <c r="Q20" s="96">
        <f t="shared" ca="1" si="9"/>
        <v>0</v>
      </c>
      <c r="R20" s="96">
        <f t="shared" ca="1" si="9"/>
        <v>0</v>
      </c>
      <c r="S20" s="96">
        <f t="shared" ca="1" si="9"/>
        <v>0</v>
      </c>
      <c r="T20" s="96">
        <f t="shared" ca="1" si="9"/>
        <v>0</v>
      </c>
      <c r="U20" s="96">
        <f t="shared" ca="1" si="9"/>
        <v>0</v>
      </c>
      <c r="V20" s="96">
        <f t="shared" ca="1" si="9"/>
        <v>0</v>
      </c>
      <c r="W20" s="96">
        <f t="shared" ca="1" si="9"/>
        <v>0</v>
      </c>
      <c r="X20" s="96">
        <f t="shared" ca="1" si="9"/>
        <v>0</v>
      </c>
      <c r="Y20" s="96">
        <f t="shared" ca="1" si="9"/>
        <v>0</v>
      </c>
      <c r="Z20" s="96">
        <f t="shared" ca="1" si="9"/>
        <v>0</v>
      </c>
      <c r="AA20" s="96">
        <f t="shared" ca="1" si="9"/>
        <v>0</v>
      </c>
    </row>
    <row r="21" spans="2:27" s="79" customFormat="1">
      <c r="B21" s="69">
        <v>8</v>
      </c>
      <c r="C21" s="93" t="s">
        <v>462</v>
      </c>
      <c r="D21" s="82">
        <f t="shared" ca="1" si="1"/>
        <v>23494.172783642258</v>
      </c>
      <c r="E21" s="83" t="s">
        <v>106</v>
      </c>
      <c r="F21" s="46"/>
      <c r="G21" s="46"/>
      <c r="H21" s="46">
        <f t="shared" ref="H21:AA21" ca="1" si="10">IF(H14-H15&gt;0,H14-H15,0)</f>
        <v>895.03716085351061</v>
      </c>
      <c r="I21" s="46">
        <f t="shared" ca="1" si="10"/>
        <v>895.03716085351061</v>
      </c>
      <c r="J21" s="46">
        <f t="shared" ca="1" si="10"/>
        <v>895.03716085351061</v>
      </c>
      <c r="K21" s="46">
        <f t="shared" ca="1" si="10"/>
        <v>895.03716085351061</v>
      </c>
      <c r="L21" s="46">
        <f t="shared" ca="1" si="10"/>
        <v>895.03716085351061</v>
      </c>
      <c r="M21" s="46">
        <f t="shared" ca="1" si="10"/>
        <v>807.39525507760072</v>
      </c>
      <c r="N21" s="46">
        <f t="shared" ca="1" si="10"/>
        <v>890.86642653966817</v>
      </c>
      <c r="O21" s="46">
        <f t="shared" ca="1" si="10"/>
        <v>945.94239305759493</v>
      </c>
      <c r="P21" s="46">
        <f t="shared" ca="1" si="10"/>
        <v>945.94239305759493</v>
      </c>
      <c r="Q21" s="46">
        <f t="shared" ca="1" si="10"/>
        <v>945.94239305759493</v>
      </c>
      <c r="R21" s="46">
        <f t="shared" ca="1" si="10"/>
        <v>774.18111639319102</v>
      </c>
      <c r="S21" s="46">
        <f t="shared" ca="1" si="10"/>
        <v>795.16518718965108</v>
      </c>
      <c r="T21" s="46">
        <f t="shared" ca="1" si="10"/>
        <v>795.16518718965108</v>
      </c>
      <c r="U21" s="46">
        <f t="shared" ca="1" si="10"/>
        <v>795.16518718965108</v>
      </c>
      <c r="V21" s="46">
        <f t="shared" ca="1" si="10"/>
        <v>795.16518718965108</v>
      </c>
      <c r="W21" s="46">
        <f t="shared" ca="1" si="10"/>
        <v>2105.6112506865725</v>
      </c>
      <c r="X21" s="46">
        <f t="shared" ca="1" si="10"/>
        <v>2105.6112506865725</v>
      </c>
      <c r="Y21" s="46">
        <f t="shared" ca="1" si="10"/>
        <v>2105.6112506865725</v>
      </c>
      <c r="Z21" s="46">
        <f t="shared" ca="1" si="10"/>
        <v>2105.6112506865725</v>
      </c>
      <c r="AA21" s="46">
        <f t="shared" ca="1" si="10"/>
        <v>2105.6112506865725</v>
      </c>
    </row>
    <row r="22" spans="2:27" s="79" customFormat="1">
      <c r="B22" s="69">
        <v>9</v>
      </c>
      <c r="C22" s="93" t="s">
        <v>511</v>
      </c>
      <c r="D22" s="82">
        <f t="shared" ca="1" si="1"/>
        <v>4877.5816281723546</v>
      </c>
      <c r="E22" s="83" t="s">
        <v>106</v>
      </c>
      <c r="F22" s="46"/>
      <c r="G22" s="46"/>
      <c r="H22" s="46">
        <f>IF(参数输入表!$H$268="三免三减半",0,H21*参数输入表!$H$269)</f>
        <v>0</v>
      </c>
      <c r="I22" s="46">
        <f>IF(参数输入表!$H$268="三免三减半",0,I21*参数输入表!$H$269)</f>
        <v>0</v>
      </c>
      <c r="J22" s="46">
        <f>IF(参数输入表!$H$268="三免三减半",0,J21*参数输入表!$H$269)</f>
        <v>0</v>
      </c>
      <c r="K22" s="46">
        <f ca="1">IF(参数输入表!$H$268="三免三减半",K21*参数输入表!$H$269/2,K21*参数输入表!$H$269)</f>
        <v>111.87964510668883</v>
      </c>
      <c r="L22" s="46">
        <f ca="1">IF(参数输入表!$H$268="三免三减半",L21*参数输入表!$H$269/2,L21*参数输入表!$H$269)</f>
        <v>111.87964510668883</v>
      </c>
      <c r="M22" s="46">
        <f ca="1">IF(参数输入表!$H$268="三免三减半",M21*参数输入表!$H$269/2,M21*参数输入表!$H$269)</f>
        <v>100.92440688470009</v>
      </c>
      <c r="N22" s="46">
        <f ca="1">N21*参数输入表!$H$269</f>
        <v>222.71660663491704</v>
      </c>
      <c r="O22" s="46">
        <f ca="1">O21*参数输入表!$H$269</f>
        <v>236.48559826439873</v>
      </c>
      <c r="P22" s="46">
        <f ca="1">P21*参数输入表!$H$269</f>
        <v>236.48559826439873</v>
      </c>
      <c r="Q22" s="46">
        <f ca="1">Q21*参数输入表!$H$269</f>
        <v>236.48559826439873</v>
      </c>
      <c r="R22" s="46">
        <f ca="1">R21*参数输入表!$H$269</f>
        <v>193.54527909829775</v>
      </c>
      <c r="S22" s="46">
        <f ca="1">S21*参数输入表!$H$269</f>
        <v>198.79129679741277</v>
      </c>
      <c r="T22" s="46">
        <f ca="1">T21*参数输入表!$H$269</f>
        <v>198.79129679741277</v>
      </c>
      <c r="U22" s="46">
        <f ca="1">U21*参数输入表!$H$269</f>
        <v>198.79129679741277</v>
      </c>
      <c r="V22" s="46">
        <f ca="1">V21*参数输入表!$H$269</f>
        <v>198.79129679741277</v>
      </c>
      <c r="W22" s="46">
        <f ca="1">W21*参数输入表!$H$269</f>
        <v>526.40281267164312</v>
      </c>
      <c r="X22" s="46">
        <f ca="1">X21*参数输入表!$H$269</f>
        <v>526.40281267164312</v>
      </c>
      <c r="Y22" s="46">
        <f ca="1">Y21*参数输入表!$H$269</f>
        <v>526.40281267164312</v>
      </c>
      <c r="Z22" s="46">
        <f ca="1">Z21*参数输入表!$H$269</f>
        <v>526.40281267164312</v>
      </c>
      <c r="AA22" s="46">
        <f ca="1">AA21*参数输入表!$H$269</f>
        <v>526.40281267164312</v>
      </c>
    </row>
    <row r="23" spans="2:27" s="79" customFormat="1">
      <c r="B23" s="69">
        <v>10</v>
      </c>
      <c r="C23" s="93" t="s">
        <v>512</v>
      </c>
      <c r="D23" s="97">
        <f t="shared" ca="1" si="1"/>
        <v>18616.591155469912</v>
      </c>
      <c r="E23" s="83" t="s">
        <v>106</v>
      </c>
      <c r="F23" s="46"/>
      <c r="G23" s="46"/>
      <c r="H23" s="46">
        <f t="shared" ref="H23:AA23" ca="1" si="11">H14-H22</f>
        <v>895.03716085351061</v>
      </c>
      <c r="I23" s="46">
        <f t="shared" ca="1" si="11"/>
        <v>895.03716085351061</v>
      </c>
      <c r="J23" s="46">
        <f t="shared" ca="1" si="11"/>
        <v>895.03716085351061</v>
      </c>
      <c r="K23" s="46">
        <f t="shared" ca="1" si="11"/>
        <v>783.15751574682179</v>
      </c>
      <c r="L23" s="46">
        <f t="shared" ca="1" si="11"/>
        <v>783.15751574682179</v>
      </c>
      <c r="M23" s="46">
        <f t="shared" ca="1" si="11"/>
        <v>706.47084819290058</v>
      </c>
      <c r="N23" s="46">
        <f t="shared" ca="1" si="11"/>
        <v>668.1498199047511</v>
      </c>
      <c r="O23" s="46">
        <f t="shared" ca="1" si="11"/>
        <v>709.4567947931962</v>
      </c>
      <c r="P23" s="46">
        <f t="shared" ca="1" si="11"/>
        <v>709.4567947931962</v>
      </c>
      <c r="Q23" s="46">
        <f t="shared" ca="1" si="11"/>
        <v>709.4567947931962</v>
      </c>
      <c r="R23" s="46">
        <f t="shared" ca="1" si="11"/>
        <v>580.63583729489324</v>
      </c>
      <c r="S23" s="46">
        <f t="shared" ca="1" si="11"/>
        <v>596.37389039223831</v>
      </c>
      <c r="T23" s="46">
        <f t="shared" ca="1" si="11"/>
        <v>596.37389039223831</v>
      </c>
      <c r="U23" s="46">
        <f t="shared" ca="1" si="11"/>
        <v>596.37389039223831</v>
      </c>
      <c r="V23" s="46">
        <f t="shared" ca="1" si="11"/>
        <v>596.37389039223831</v>
      </c>
      <c r="W23" s="46">
        <f t="shared" ca="1" si="11"/>
        <v>1579.2084380149295</v>
      </c>
      <c r="X23" s="46">
        <f t="shared" ca="1" si="11"/>
        <v>1579.2084380149295</v>
      </c>
      <c r="Y23" s="46">
        <f t="shared" ca="1" si="11"/>
        <v>1579.2084380149295</v>
      </c>
      <c r="Z23" s="46">
        <f t="shared" ca="1" si="11"/>
        <v>1579.2084380149295</v>
      </c>
      <c r="AA23" s="46">
        <f t="shared" ca="1" si="11"/>
        <v>1579.2084380149295</v>
      </c>
    </row>
    <row r="24" spans="2:27">
      <c r="B24" s="88">
        <v>11</v>
      </c>
      <c r="C24" s="98" t="s">
        <v>465</v>
      </c>
      <c r="D24" s="86">
        <f t="shared" ca="1" si="1"/>
        <v>0</v>
      </c>
      <c r="E24" s="87" t="s">
        <v>106</v>
      </c>
      <c r="F24" s="50">
        <v>0</v>
      </c>
      <c r="G24" s="50">
        <v>0</v>
      </c>
      <c r="H24" s="50">
        <f>G32</f>
        <v>0</v>
      </c>
      <c r="I24" s="50">
        <f ca="1">H32</f>
        <v>0</v>
      </c>
      <c r="J24" s="50">
        <f t="shared" ref="J24:AA24" ca="1" si="12">I32</f>
        <v>0</v>
      </c>
      <c r="K24" s="50">
        <f t="shared" ca="1" si="12"/>
        <v>0</v>
      </c>
      <c r="L24" s="50">
        <f t="shared" ca="1" si="12"/>
        <v>0</v>
      </c>
      <c r="M24" s="50">
        <f t="shared" ca="1" si="12"/>
        <v>0</v>
      </c>
      <c r="N24" s="50">
        <f t="shared" ca="1" si="12"/>
        <v>0</v>
      </c>
      <c r="O24" s="50">
        <f t="shared" ca="1" si="12"/>
        <v>0</v>
      </c>
      <c r="P24" s="50">
        <f t="shared" ca="1" si="12"/>
        <v>0</v>
      </c>
      <c r="Q24" s="50">
        <f t="shared" ca="1" si="12"/>
        <v>0</v>
      </c>
      <c r="R24" s="50">
        <f t="shared" ca="1" si="12"/>
        <v>0</v>
      </c>
      <c r="S24" s="50">
        <f t="shared" ca="1" si="12"/>
        <v>0</v>
      </c>
      <c r="T24" s="50">
        <f t="shared" ca="1" si="12"/>
        <v>0</v>
      </c>
      <c r="U24" s="50">
        <f t="shared" ca="1" si="12"/>
        <v>0</v>
      </c>
      <c r="V24" s="50">
        <f t="shared" ca="1" si="12"/>
        <v>0</v>
      </c>
      <c r="W24" s="50">
        <f t="shared" ca="1" si="12"/>
        <v>0</v>
      </c>
      <c r="X24" s="50">
        <f t="shared" ca="1" si="12"/>
        <v>0</v>
      </c>
      <c r="Y24" s="50">
        <f t="shared" ca="1" si="12"/>
        <v>0</v>
      </c>
      <c r="Z24" s="50">
        <f t="shared" ca="1" si="12"/>
        <v>0</v>
      </c>
      <c r="AA24" s="50">
        <f t="shared" ca="1" si="12"/>
        <v>0</v>
      </c>
    </row>
    <row r="25" spans="2:27">
      <c r="B25" s="88">
        <v>12</v>
      </c>
      <c r="C25" s="98" t="s">
        <v>513</v>
      </c>
      <c r="D25" s="86">
        <f t="shared" ca="1" si="1"/>
        <v>18616.591155469912</v>
      </c>
      <c r="E25" s="87" t="s">
        <v>106</v>
      </c>
      <c r="F25" s="50"/>
      <c r="G25" s="50"/>
      <c r="H25" s="50">
        <f ca="1">H23+H24</f>
        <v>895.03716085351061</v>
      </c>
      <c r="I25" s="50">
        <f t="shared" ref="I25:AA25" ca="1" si="13">I23+I24</f>
        <v>895.03716085351061</v>
      </c>
      <c r="J25" s="50">
        <f t="shared" ca="1" si="13"/>
        <v>895.03716085351061</v>
      </c>
      <c r="K25" s="50">
        <f t="shared" ca="1" si="13"/>
        <v>783.15751574682179</v>
      </c>
      <c r="L25" s="50">
        <f t="shared" ca="1" si="13"/>
        <v>783.15751574682179</v>
      </c>
      <c r="M25" s="50">
        <f t="shared" ca="1" si="13"/>
        <v>706.47084819290058</v>
      </c>
      <c r="N25" s="50">
        <f t="shared" ca="1" si="13"/>
        <v>668.1498199047511</v>
      </c>
      <c r="O25" s="50">
        <f t="shared" ca="1" si="13"/>
        <v>709.4567947931962</v>
      </c>
      <c r="P25" s="50">
        <f t="shared" ca="1" si="13"/>
        <v>709.4567947931962</v>
      </c>
      <c r="Q25" s="50">
        <f t="shared" ca="1" si="13"/>
        <v>709.4567947931962</v>
      </c>
      <c r="R25" s="50">
        <f t="shared" ca="1" si="13"/>
        <v>580.63583729489324</v>
      </c>
      <c r="S25" s="50">
        <f t="shared" ca="1" si="13"/>
        <v>596.37389039223831</v>
      </c>
      <c r="T25" s="50">
        <f t="shared" ca="1" si="13"/>
        <v>596.37389039223831</v>
      </c>
      <c r="U25" s="50">
        <f t="shared" ca="1" si="13"/>
        <v>596.37389039223831</v>
      </c>
      <c r="V25" s="50">
        <f t="shared" ca="1" si="13"/>
        <v>596.37389039223831</v>
      </c>
      <c r="W25" s="50">
        <f t="shared" ca="1" si="13"/>
        <v>1579.2084380149295</v>
      </c>
      <c r="X25" s="50">
        <f t="shared" ca="1" si="13"/>
        <v>1579.2084380149295</v>
      </c>
      <c r="Y25" s="50">
        <f t="shared" ca="1" si="13"/>
        <v>1579.2084380149295</v>
      </c>
      <c r="Z25" s="50">
        <f t="shared" ca="1" si="13"/>
        <v>1579.2084380149295</v>
      </c>
      <c r="AA25" s="50">
        <f t="shared" ca="1" si="13"/>
        <v>1579.2084380149295</v>
      </c>
    </row>
    <row r="26" spans="2:27">
      <c r="B26" s="88">
        <v>13</v>
      </c>
      <c r="C26" s="98" t="s">
        <v>467</v>
      </c>
      <c r="D26" s="86">
        <f t="shared" ca="1" si="1"/>
        <v>1861.6591155469914</v>
      </c>
      <c r="E26" s="87" t="s">
        <v>106</v>
      </c>
      <c r="F26" s="50"/>
      <c r="G26" s="50"/>
      <c r="H26" s="50">
        <f ca="1">IF(H25&lt;=0,0,H25*参数输入表!$H$97)</f>
        <v>89.503716085351073</v>
      </c>
      <c r="I26" s="50">
        <f ca="1">IF(H28&gt;=参数输入表!$H$96,0,IF(I25&lt;0,0,IF(I25*参数输入表!$H$97&gt;=I27,I27,I25*参数输入表!$H$97)))</f>
        <v>89.503716085351073</v>
      </c>
      <c r="J26" s="50">
        <f ca="1">IF(I28&gt;=参数输入表!$H$96,0,IF(J25&lt;0,0,IF(J25*参数输入表!$H$97&gt;=J27,J27,J25*参数输入表!$H$97)))</f>
        <v>89.503716085351073</v>
      </c>
      <c r="K26" s="50">
        <f ca="1">IF(J28&gt;=参数输入表!$H$96,0,IF(K25&lt;0,0,IF(K25*参数输入表!$H$97&gt;=K27,K27,K25*参数输入表!$H$97)))</f>
        <v>78.315751574682182</v>
      </c>
      <c r="L26" s="50">
        <f ca="1">IF(K28&gt;=参数输入表!$H$96,0,IF(L25&lt;0,0,IF(L25*参数输入表!$H$97&gt;=L27,L27,L25*参数输入表!$H$97)))</f>
        <v>78.315751574682182</v>
      </c>
      <c r="M26" s="50">
        <f ca="1">IF(L28&gt;=参数输入表!$H$96,0,IF(M25&lt;0,0,IF(M25*参数输入表!$H$97&gt;=M27,M27,M25*参数输入表!$H$97)))</f>
        <v>70.647084819290058</v>
      </c>
      <c r="N26" s="50">
        <f ca="1">IF(M28&gt;=参数输入表!$H$96,0,IF(N25&lt;0,0,IF(N25*参数输入表!$H$97&gt;=N27,N27,N25*参数输入表!$H$97)))</f>
        <v>66.814981990475118</v>
      </c>
      <c r="O26" s="50">
        <f ca="1">IF(N28&gt;=参数输入表!$H$96,0,IF(O25&lt;0,0,IF(O25*参数输入表!$H$97&gt;=O27,O27,O25*参数输入表!$H$97)))</f>
        <v>70.945679479319622</v>
      </c>
      <c r="P26" s="50">
        <f ca="1">IF(O28&gt;=参数输入表!$H$96,0,IF(P25&lt;0,0,IF(P25*参数输入表!$H$97&gt;=P27,P27,P25*参数输入表!$H$97)))</f>
        <v>70.945679479319622</v>
      </c>
      <c r="Q26" s="50">
        <f ca="1">IF(P28&gt;=参数输入表!$H$96,0,IF(Q25&lt;0,0,IF(Q25*参数输入表!$H$97&gt;=Q27,Q27,Q25*参数输入表!$H$97)))</f>
        <v>70.945679479319622</v>
      </c>
      <c r="R26" s="50">
        <f ca="1">IF(Q28&gt;=参数输入表!$H$96,0,IF(R25&lt;0,0,IF(R25*参数输入表!$H$97&gt;=R27,R27,R25*参数输入表!$H$97)))</f>
        <v>58.063583729489324</v>
      </c>
      <c r="S26" s="50">
        <f ca="1">IF(R28&gt;=参数输入表!$H$96,0,IF(S25&lt;0,0,IF(S25*参数输入表!$H$97&gt;=S27,S27,S25*参数输入表!$H$97)))</f>
        <v>59.637389039223834</v>
      </c>
      <c r="T26" s="50">
        <f ca="1">IF(S28&gt;=参数输入表!$H$96,0,IF(T25&lt;0,0,IF(T25*参数输入表!$H$97&gt;=T27,T27,T25*参数输入表!$H$97)))</f>
        <v>59.637389039223834</v>
      </c>
      <c r="U26" s="50">
        <f ca="1">IF(T28&gt;=参数输入表!$H$96,0,IF(U25&lt;0,0,IF(U25*参数输入表!$H$97&gt;=U27,U27,U25*参数输入表!$H$97)))</f>
        <v>59.637389039223834</v>
      </c>
      <c r="V26" s="50">
        <f ca="1">IF(U28&gt;=参数输入表!$H$96,0,IF(V25&lt;0,0,IF(V25*参数输入表!$H$97&gt;=V27,V27,V25*参数输入表!$H$97)))</f>
        <v>59.637389039223834</v>
      </c>
      <c r="W26" s="50">
        <f ca="1">IF(V28&gt;=参数输入表!$H$96,0,IF(W25&lt;0,0,IF(W25*参数输入表!$H$97&gt;=W27,W27,W25*参数输入表!$H$97)))</f>
        <v>157.92084380149296</v>
      </c>
      <c r="X26" s="50">
        <f ca="1">IF(W28&gt;=参数输入表!$H$96,0,IF(X25&lt;0,0,IF(X25*参数输入表!$H$97&gt;=X27,X27,X25*参数输入表!$H$97)))</f>
        <v>157.92084380149296</v>
      </c>
      <c r="Y26" s="50">
        <f ca="1">IF(X28&gt;=参数输入表!$H$96,0,IF(Y25&lt;0,0,IF(Y25*参数输入表!$H$97&gt;=Y27,Y27,Y25*参数输入表!$H$97)))</f>
        <v>157.92084380149296</v>
      </c>
      <c r="Z26" s="50">
        <f ca="1">IF(Y28&gt;=参数输入表!$H$96,0,IF(Z25&lt;0,0,IF(Z25*参数输入表!$H$97&gt;=Z27,Z27,Z25*参数输入表!$H$97)))</f>
        <v>157.92084380149296</v>
      </c>
      <c r="AA26" s="50">
        <f ca="1">IF(Z28&gt;=参数输入表!$H$96,0,IF(AA25&lt;0,0,IF(AA25*参数输入表!$H$97&gt;=AA27,AA27,AA25*参数输入表!$H$97)))</f>
        <v>157.92084380149296</v>
      </c>
    </row>
    <row r="27" spans="2:27">
      <c r="B27" s="47"/>
      <c r="C27" s="94" t="s">
        <v>468</v>
      </c>
      <c r="D27" s="95"/>
      <c r="E27" s="87" t="s">
        <v>106</v>
      </c>
      <c r="F27" s="50"/>
      <c r="G27" s="50"/>
      <c r="H27" s="50">
        <f ca="1">参数输入表!$H$96</f>
        <v>2475.2493503387805</v>
      </c>
      <c r="I27" s="50">
        <f ca="1">参数输入表!$H$96-H28</f>
        <v>2385.7456342534292</v>
      </c>
      <c r="J27" s="50">
        <f ca="1">参数输入表!$H$96-I28</f>
        <v>2296.2419181680784</v>
      </c>
      <c r="K27" s="50">
        <f ca="1">参数输入表!$H$96-J28</f>
        <v>2206.7382020827272</v>
      </c>
      <c r="L27" s="50">
        <f ca="1">参数输入表!$H$96-K28</f>
        <v>2128.4224505080451</v>
      </c>
      <c r="M27" s="50">
        <f ca="1">参数输入表!$H$96-L28</f>
        <v>2050.1066989333631</v>
      </c>
      <c r="N27" s="50">
        <f ca="1">参数输入表!$H$96-M28</f>
        <v>1979.4596141140728</v>
      </c>
      <c r="O27" s="50">
        <f ca="1">参数输入表!$H$96-N28</f>
        <v>1912.6446321235976</v>
      </c>
      <c r="P27" s="50">
        <f ca="1">参数输入表!$H$96-O28</f>
        <v>1841.6989526442781</v>
      </c>
      <c r="Q27" s="50">
        <f ca="1">参数输入表!$H$96-P28</f>
        <v>1770.7532731649585</v>
      </c>
      <c r="R27" s="50">
        <f ca="1">参数输入表!$H$96-Q28</f>
        <v>1699.8075936856387</v>
      </c>
      <c r="S27" s="50">
        <f ca="1">参数输入表!$H$96-R28</f>
        <v>1641.7440099561495</v>
      </c>
      <c r="T27" s="50">
        <f ca="1">参数输入表!$H$96-S28</f>
        <v>1582.1066209169255</v>
      </c>
      <c r="U27" s="50">
        <f ca="1">参数输入表!$H$96-T28</f>
        <v>1522.4692318777015</v>
      </c>
      <c r="V27" s="50">
        <f ca="1">参数输入表!$H$96-U28</f>
        <v>1462.8318428384778</v>
      </c>
      <c r="W27" s="50">
        <f ca="1">参数输入表!$H$96-V28</f>
        <v>1403.194453799254</v>
      </c>
      <c r="X27" s="50">
        <f ca="1">参数输入表!$H$96-W28</f>
        <v>1245.273609997761</v>
      </c>
      <c r="Y27" s="50">
        <f ca="1">参数输入表!$H$96-X28</f>
        <v>1087.352766196268</v>
      </c>
      <c r="Z27" s="50">
        <f ca="1">参数输入表!$H$96-Y28</f>
        <v>929.43192239477503</v>
      </c>
      <c r="AA27" s="50">
        <f ca="1">参数输入表!$H$96-Z28</f>
        <v>771.51107859328204</v>
      </c>
    </row>
    <row r="28" spans="2:27">
      <c r="B28" s="47"/>
      <c r="C28" s="94" t="s">
        <v>469</v>
      </c>
      <c r="D28" s="95"/>
      <c r="E28" s="87" t="s">
        <v>106</v>
      </c>
      <c r="F28" s="50"/>
      <c r="G28" s="50"/>
      <c r="H28" s="50">
        <f ca="1">H26</f>
        <v>89.503716085351073</v>
      </c>
      <c r="I28" s="50">
        <f ca="1">I26+H28</f>
        <v>179.00743217070215</v>
      </c>
      <c r="J28" s="50">
        <f t="shared" ref="J28:AA28" ca="1" si="14">J26+I28</f>
        <v>268.51114825605322</v>
      </c>
      <c r="K28" s="50">
        <f t="shared" ca="1" si="14"/>
        <v>346.82689983073539</v>
      </c>
      <c r="L28" s="50">
        <f t="shared" ca="1" si="14"/>
        <v>425.14265140541755</v>
      </c>
      <c r="M28" s="50">
        <f t="shared" ca="1" si="14"/>
        <v>495.78973622470761</v>
      </c>
      <c r="N28" s="50">
        <f t="shared" ca="1" si="14"/>
        <v>562.60471821518274</v>
      </c>
      <c r="O28" s="50">
        <f t="shared" ca="1" si="14"/>
        <v>633.55039769450241</v>
      </c>
      <c r="P28" s="50">
        <f t="shared" ca="1" si="14"/>
        <v>704.49607717382207</v>
      </c>
      <c r="Q28" s="50">
        <f t="shared" ca="1" si="14"/>
        <v>775.44175665314174</v>
      </c>
      <c r="R28" s="50">
        <f t="shared" ca="1" si="14"/>
        <v>833.50534038263106</v>
      </c>
      <c r="S28" s="50">
        <f t="shared" ca="1" si="14"/>
        <v>893.14272942185494</v>
      </c>
      <c r="T28" s="50">
        <f t="shared" ca="1" si="14"/>
        <v>952.78011846107881</v>
      </c>
      <c r="U28" s="50">
        <f t="shared" ca="1" si="14"/>
        <v>1012.4175075003027</v>
      </c>
      <c r="V28" s="50">
        <f t="shared" ca="1" si="14"/>
        <v>1072.0548965395265</v>
      </c>
      <c r="W28" s="50">
        <f t="shared" ca="1" si="14"/>
        <v>1229.9757403410194</v>
      </c>
      <c r="X28" s="50">
        <f t="shared" ca="1" si="14"/>
        <v>1387.8965841425124</v>
      </c>
      <c r="Y28" s="50">
        <f t="shared" ca="1" si="14"/>
        <v>1545.8174279440054</v>
      </c>
      <c r="Z28" s="50">
        <f t="shared" ca="1" si="14"/>
        <v>1703.7382717454984</v>
      </c>
      <c r="AA28" s="50">
        <f t="shared" ca="1" si="14"/>
        <v>1861.6591155469914</v>
      </c>
    </row>
    <row r="29" spans="2:27">
      <c r="B29" s="88">
        <v>14</v>
      </c>
      <c r="C29" s="98" t="s">
        <v>470</v>
      </c>
      <c r="D29" s="86">
        <f t="shared" ca="1" si="1"/>
        <v>16754.932039922918</v>
      </c>
      <c r="E29" s="87" t="s">
        <v>106</v>
      </c>
      <c r="F29" s="50"/>
      <c r="G29" s="50"/>
      <c r="H29" s="50">
        <f ca="1">H25-H26</f>
        <v>805.5334447681596</v>
      </c>
      <c r="I29" s="50">
        <f t="shared" ref="I29:AA29" ca="1" si="15">I25-I26</f>
        <v>805.5334447681596</v>
      </c>
      <c r="J29" s="50">
        <f t="shared" ca="1" si="15"/>
        <v>805.5334447681596</v>
      </c>
      <c r="K29" s="50">
        <f t="shared" ca="1" si="15"/>
        <v>704.84176417213962</v>
      </c>
      <c r="L29" s="50">
        <f t="shared" ca="1" si="15"/>
        <v>704.84176417213962</v>
      </c>
      <c r="M29" s="50">
        <f t="shared" ca="1" si="15"/>
        <v>635.82376337361052</v>
      </c>
      <c r="N29" s="50">
        <f t="shared" ca="1" si="15"/>
        <v>601.33483791427602</v>
      </c>
      <c r="O29" s="50">
        <f t="shared" ca="1" si="15"/>
        <v>638.51111531387653</v>
      </c>
      <c r="P29" s="50">
        <f t="shared" ca="1" si="15"/>
        <v>638.51111531387653</v>
      </c>
      <c r="Q29" s="50">
        <f t="shared" ca="1" si="15"/>
        <v>638.51111531387653</v>
      </c>
      <c r="R29" s="50">
        <f t="shared" ca="1" si="15"/>
        <v>522.57225356540391</v>
      </c>
      <c r="S29" s="50">
        <f t="shared" ca="1" si="15"/>
        <v>536.73650135301443</v>
      </c>
      <c r="T29" s="50">
        <f t="shared" ca="1" si="15"/>
        <v>536.73650135301443</v>
      </c>
      <c r="U29" s="50">
        <f t="shared" ca="1" si="15"/>
        <v>536.73650135301443</v>
      </c>
      <c r="V29" s="50">
        <f t="shared" ca="1" si="15"/>
        <v>536.73650135301443</v>
      </c>
      <c r="W29" s="50">
        <f t="shared" ca="1" si="15"/>
        <v>1421.2875942134365</v>
      </c>
      <c r="X29" s="50">
        <f t="shared" ca="1" si="15"/>
        <v>1421.2875942134365</v>
      </c>
      <c r="Y29" s="50">
        <f t="shared" ca="1" si="15"/>
        <v>1421.2875942134365</v>
      </c>
      <c r="Z29" s="50">
        <f t="shared" ca="1" si="15"/>
        <v>1421.2875942134365</v>
      </c>
      <c r="AA29" s="50">
        <f t="shared" ca="1" si="15"/>
        <v>1421.2875942134365</v>
      </c>
    </row>
    <row r="30" spans="2:27">
      <c r="B30" s="88">
        <v>15</v>
      </c>
      <c r="C30" s="98" t="s">
        <v>471</v>
      </c>
      <c r="D30" s="86">
        <f t="shared" ca="1" si="1"/>
        <v>0</v>
      </c>
      <c r="E30" s="87" t="s">
        <v>106</v>
      </c>
      <c r="F30" s="50"/>
      <c r="G30" s="50"/>
      <c r="H30" s="50">
        <f ca="1">H29*参数输入表!$H$98</f>
        <v>0</v>
      </c>
      <c r="I30" s="50">
        <f ca="1">I29*参数输入表!$H$98</f>
        <v>0</v>
      </c>
      <c r="J30" s="50">
        <f ca="1">J29*参数输入表!$H$98</f>
        <v>0</v>
      </c>
      <c r="K30" s="50">
        <f ca="1">K29*参数输入表!$H$98</f>
        <v>0</v>
      </c>
      <c r="L30" s="50">
        <f ca="1">L29*参数输入表!$H$98</f>
        <v>0</v>
      </c>
      <c r="M30" s="50">
        <f ca="1">M29*参数输入表!$H$98</f>
        <v>0</v>
      </c>
      <c r="N30" s="50">
        <f ca="1">N29*参数输入表!$H$98</f>
        <v>0</v>
      </c>
      <c r="O30" s="50">
        <f ca="1">O29*参数输入表!$H$98</f>
        <v>0</v>
      </c>
      <c r="P30" s="50">
        <f ca="1">P29*参数输入表!$H$98</f>
        <v>0</v>
      </c>
      <c r="Q30" s="50">
        <f ca="1">Q29*参数输入表!$H$98</f>
        <v>0</v>
      </c>
      <c r="R30" s="50">
        <f ca="1">R29*参数输入表!$H$98</f>
        <v>0</v>
      </c>
      <c r="S30" s="50">
        <f ca="1">S29*参数输入表!$H$98</f>
        <v>0</v>
      </c>
      <c r="T30" s="50">
        <f ca="1">T29*参数输入表!$H$98</f>
        <v>0</v>
      </c>
      <c r="U30" s="50">
        <f ca="1">U29*参数输入表!$H$98</f>
        <v>0</v>
      </c>
      <c r="V30" s="50">
        <f ca="1">V29*参数输入表!$H$98</f>
        <v>0</v>
      </c>
      <c r="W30" s="50">
        <f ca="1">W29*参数输入表!$H$98</f>
        <v>0</v>
      </c>
      <c r="X30" s="50">
        <f ca="1">X29*参数输入表!$H$98</f>
        <v>0</v>
      </c>
      <c r="Y30" s="50">
        <f ca="1">Y29*参数输入表!$H$98</f>
        <v>0</v>
      </c>
      <c r="Z30" s="50">
        <f ca="1">Z29*参数输入表!$H$98</f>
        <v>0</v>
      </c>
      <c r="AA30" s="50">
        <f ca="1">AA29*参数输入表!$H$98</f>
        <v>0</v>
      </c>
    </row>
    <row r="31" spans="2:27">
      <c r="B31" s="88">
        <v>16</v>
      </c>
      <c r="C31" s="98" t="s">
        <v>472</v>
      </c>
      <c r="D31" s="86">
        <f t="shared" ca="1" si="1"/>
        <v>16754.932039922918</v>
      </c>
      <c r="E31" s="87" t="s">
        <v>106</v>
      </c>
      <c r="F31" s="50"/>
      <c r="G31" s="50"/>
      <c r="H31" s="50">
        <f ca="1">H29-H30</f>
        <v>805.5334447681596</v>
      </c>
      <c r="I31" s="50">
        <f t="shared" ref="I31:AA31" ca="1" si="16">I29-I30</f>
        <v>805.5334447681596</v>
      </c>
      <c r="J31" s="50">
        <f t="shared" ca="1" si="16"/>
        <v>805.5334447681596</v>
      </c>
      <c r="K31" s="50">
        <f t="shared" ca="1" si="16"/>
        <v>704.84176417213962</v>
      </c>
      <c r="L31" s="50">
        <f t="shared" ca="1" si="16"/>
        <v>704.84176417213962</v>
      </c>
      <c r="M31" s="50">
        <f t="shared" ca="1" si="16"/>
        <v>635.82376337361052</v>
      </c>
      <c r="N31" s="50">
        <f t="shared" ca="1" si="16"/>
        <v>601.33483791427602</v>
      </c>
      <c r="O31" s="50">
        <f t="shared" ca="1" si="16"/>
        <v>638.51111531387653</v>
      </c>
      <c r="P31" s="50">
        <f t="shared" ca="1" si="16"/>
        <v>638.51111531387653</v>
      </c>
      <c r="Q31" s="50">
        <f t="shared" ca="1" si="16"/>
        <v>638.51111531387653</v>
      </c>
      <c r="R31" s="50">
        <f t="shared" ca="1" si="16"/>
        <v>522.57225356540391</v>
      </c>
      <c r="S31" s="50">
        <f t="shared" ca="1" si="16"/>
        <v>536.73650135301443</v>
      </c>
      <c r="T31" s="50">
        <f t="shared" ca="1" si="16"/>
        <v>536.73650135301443</v>
      </c>
      <c r="U31" s="50">
        <f t="shared" ca="1" si="16"/>
        <v>536.73650135301443</v>
      </c>
      <c r="V31" s="50">
        <f t="shared" ca="1" si="16"/>
        <v>536.73650135301443</v>
      </c>
      <c r="W31" s="50">
        <f t="shared" ca="1" si="16"/>
        <v>1421.2875942134365</v>
      </c>
      <c r="X31" s="50">
        <f t="shared" ca="1" si="16"/>
        <v>1421.2875942134365</v>
      </c>
      <c r="Y31" s="50">
        <f t="shared" ca="1" si="16"/>
        <v>1421.2875942134365</v>
      </c>
      <c r="Z31" s="50">
        <f t="shared" ca="1" si="16"/>
        <v>1421.2875942134365</v>
      </c>
      <c r="AA31" s="50">
        <f t="shared" ca="1" si="16"/>
        <v>1421.2875942134365</v>
      </c>
    </row>
    <row r="32" spans="2:27">
      <c r="B32" s="88">
        <v>17</v>
      </c>
      <c r="C32" s="98" t="s">
        <v>473</v>
      </c>
      <c r="D32" s="86">
        <f t="shared" ca="1" si="1"/>
        <v>0</v>
      </c>
      <c r="E32" s="87" t="s">
        <v>106</v>
      </c>
      <c r="F32" s="50"/>
      <c r="G32" s="50"/>
      <c r="H32" s="50">
        <f ca="1">H29-H30-H31</f>
        <v>0</v>
      </c>
      <c r="I32" s="50">
        <f t="shared" ref="I32:AA32" ca="1" si="17">I29-I30-I31</f>
        <v>0</v>
      </c>
      <c r="J32" s="50">
        <f t="shared" ca="1" si="17"/>
        <v>0</v>
      </c>
      <c r="K32" s="50">
        <f t="shared" ca="1" si="17"/>
        <v>0</v>
      </c>
      <c r="L32" s="50">
        <f t="shared" ca="1" si="17"/>
        <v>0</v>
      </c>
      <c r="M32" s="50">
        <f t="shared" ca="1" si="17"/>
        <v>0</v>
      </c>
      <c r="N32" s="50">
        <f t="shared" ca="1" si="17"/>
        <v>0</v>
      </c>
      <c r="O32" s="50">
        <f t="shared" ca="1" si="17"/>
        <v>0</v>
      </c>
      <c r="P32" s="50">
        <f t="shared" ca="1" si="17"/>
        <v>0</v>
      </c>
      <c r="Q32" s="50">
        <f t="shared" ca="1" si="17"/>
        <v>0</v>
      </c>
      <c r="R32" s="50">
        <f t="shared" ca="1" si="17"/>
        <v>0</v>
      </c>
      <c r="S32" s="50">
        <f t="shared" ca="1" si="17"/>
        <v>0</v>
      </c>
      <c r="T32" s="50">
        <f t="shared" ca="1" si="17"/>
        <v>0</v>
      </c>
      <c r="U32" s="50">
        <f t="shared" ca="1" si="17"/>
        <v>0</v>
      </c>
      <c r="V32" s="50">
        <f t="shared" ca="1" si="17"/>
        <v>0</v>
      </c>
      <c r="W32" s="50">
        <f t="shared" ca="1" si="17"/>
        <v>0</v>
      </c>
      <c r="X32" s="50">
        <f t="shared" ca="1" si="17"/>
        <v>0</v>
      </c>
      <c r="Y32" s="50">
        <f t="shared" ca="1" si="17"/>
        <v>0</v>
      </c>
      <c r="Z32" s="50">
        <f t="shared" ca="1" si="17"/>
        <v>0</v>
      </c>
      <c r="AA32" s="50">
        <f t="shared" ca="1" si="17"/>
        <v>0</v>
      </c>
    </row>
    <row r="33" spans="2:27">
      <c r="B33" s="88">
        <v>18</v>
      </c>
      <c r="C33" s="98" t="s">
        <v>474</v>
      </c>
      <c r="D33" s="86">
        <f t="shared" ca="1" si="1"/>
        <v>29262.247286822818</v>
      </c>
      <c r="E33" s="87" t="s">
        <v>106</v>
      </c>
      <c r="F33" s="50"/>
      <c r="G33" s="50"/>
      <c r="H33" s="50">
        <f ca="1">H14+'表1-资金筹措及还本付息表'!H93</f>
        <v>1611.1639737510791</v>
      </c>
      <c r="I33" s="50">
        <f ca="1">I14+'表1-资金筹措及还本付息表'!I93</f>
        <v>1563.6391862245746</v>
      </c>
      <c r="J33" s="50">
        <f ca="1">J14+'表1-资金筹措及还本付息表'!J93</f>
        <v>1516.1143986980701</v>
      </c>
      <c r="K33" s="50">
        <f ca="1">K14+'表1-资金筹措及还本付息表'!K93</f>
        <v>1468.5896111715656</v>
      </c>
      <c r="L33" s="50">
        <f ca="1">L14+'表1-资金筹措及还本付息表'!L93</f>
        <v>1421.0648236450611</v>
      </c>
      <c r="M33" s="50">
        <f ca="1">M14+'表1-资金筹措及还本付息表'!M93</f>
        <v>1285.8981303426465</v>
      </c>
      <c r="N33" s="50">
        <f ca="1">N14+'表1-资金筹措及还本付息表'!N93</f>
        <v>1321.8445142782093</v>
      </c>
      <c r="O33" s="50">
        <f ca="1">O14+'表1-资金筹措及还本付息表'!O93</f>
        <v>1329.3956932696315</v>
      </c>
      <c r="P33" s="50">
        <f ca="1">P14+'表1-资金筹措及还本付息表'!P93</f>
        <v>1281.870905743127</v>
      </c>
      <c r="Q33" s="50">
        <f ca="1">Q14+'表1-资金筹措及还本付息表'!Q93</f>
        <v>1234.3461182166225</v>
      </c>
      <c r="R33" s="50">
        <f ca="1">R14+'表1-资金筹措及还本付息表'!R93</f>
        <v>1015.060054025714</v>
      </c>
      <c r="S33" s="50">
        <f ca="1">S14+'表1-资金筹措及还本付息表'!S93</f>
        <v>988.5193372956694</v>
      </c>
      <c r="T33" s="50">
        <f ca="1">T14+'表1-资金筹措及还本付息表'!T93</f>
        <v>940.99454976916491</v>
      </c>
      <c r="U33" s="50">
        <f ca="1">U14+'表1-资金筹措及还本付息表'!U93</f>
        <v>893.46976224266029</v>
      </c>
      <c r="V33" s="50">
        <f ca="1">V14+'表1-资金筹措及还本付息表'!V93</f>
        <v>845.94497471615568</v>
      </c>
      <c r="W33" s="50">
        <f ca="1">W14+'表1-资金筹措及还本付息表'!W93</f>
        <v>2108.8662506865726</v>
      </c>
      <c r="X33" s="50">
        <f ca="1">X14+'表1-资金筹措及还本付息表'!X93</f>
        <v>2108.8662506865726</v>
      </c>
      <c r="Y33" s="50">
        <f ca="1">Y14+'表1-资金筹措及还本付息表'!Y93</f>
        <v>2108.8662506865726</v>
      </c>
      <c r="Z33" s="50">
        <f ca="1">Z14+'表1-资金筹措及还本付息表'!Z93</f>
        <v>2108.8662506865726</v>
      </c>
      <c r="AA33" s="50">
        <f ca="1">AA14+'表1-资金筹措及还本付息表'!AA93</f>
        <v>2108.8662506865726</v>
      </c>
    </row>
    <row r="34" spans="2:27">
      <c r="B34" s="88">
        <v>19</v>
      </c>
      <c r="C34" s="98" t="s">
        <v>475</v>
      </c>
      <c r="D34" s="86">
        <f t="shared" ca="1" si="1"/>
        <v>50978.826415791365</v>
      </c>
      <c r="E34" s="87" t="s">
        <v>106</v>
      </c>
      <c r="F34" s="50"/>
      <c r="G34" s="50"/>
      <c r="H34" s="50">
        <f ca="1">H33+'表2-折旧摊销表'!H38</f>
        <v>3032.0332608150602</v>
      </c>
      <c r="I34" s="50">
        <f ca="1">I33+'表2-折旧摊销表'!I38</f>
        <v>2984.5084732885557</v>
      </c>
      <c r="J34" s="50">
        <f ca="1">J33+'表2-折旧摊销表'!J38</f>
        <v>2936.9836857620512</v>
      </c>
      <c r="K34" s="50">
        <f ca="1">K33+'表2-折旧摊销表'!K38</f>
        <v>2889.4588982355467</v>
      </c>
      <c r="L34" s="50">
        <f ca="1">L33+'表2-折旧摊销表'!L38</f>
        <v>2841.9341107090422</v>
      </c>
      <c r="M34" s="50">
        <f ca="1">M33+'表2-折旧摊销表'!M38</f>
        <v>2706.7674174066278</v>
      </c>
      <c r="N34" s="50">
        <f ca="1">N33+'表2-折旧摊销表'!N38</f>
        <v>2742.7138013421904</v>
      </c>
      <c r="O34" s="50">
        <f ca="1">O33+'表2-折旧摊销表'!O38</f>
        <v>2750.2649803336126</v>
      </c>
      <c r="P34" s="50">
        <f ca="1">P33+'表2-折旧摊销表'!P38</f>
        <v>2702.7401928071081</v>
      </c>
      <c r="Q34" s="50">
        <f ca="1">Q33+'表2-折旧摊销表'!Q38</f>
        <v>2655.2154052806036</v>
      </c>
      <c r="R34" s="50">
        <f ca="1">R33+'表2-折旧摊销表'!R38</f>
        <v>2476.2833233905803</v>
      </c>
      <c r="S34" s="50">
        <f ca="1">S33+'表2-折旧摊销表'!S38</f>
        <v>2449.7426066605358</v>
      </c>
      <c r="T34" s="50">
        <f ca="1">T33+'表2-折旧摊销表'!T38</f>
        <v>2402.2178191340308</v>
      </c>
      <c r="U34" s="50">
        <f ca="1">U33+'表2-折旧摊销表'!U38</f>
        <v>2354.6930316075263</v>
      </c>
      <c r="V34" s="50">
        <f ca="1">V33+'表2-折旧摊销表'!V38</f>
        <v>2307.1682440810218</v>
      </c>
      <c r="W34" s="50">
        <f ca="1">W33+'表2-折旧摊销表'!W38</f>
        <v>2149.2202329874576</v>
      </c>
      <c r="X34" s="50">
        <f ca="1">X33+'表2-折旧摊销表'!X38</f>
        <v>2149.2202329874576</v>
      </c>
      <c r="Y34" s="50">
        <f ca="1">Y33+'表2-折旧摊销表'!Y38</f>
        <v>2149.2202329874576</v>
      </c>
      <c r="Z34" s="50">
        <f ca="1">Z33+'表2-折旧摊销表'!Z38</f>
        <v>2149.2202329874576</v>
      </c>
      <c r="AA34" s="50">
        <f ca="1">AA33+'表2-折旧摊销表'!AA38</f>
        <v>2149.2202329874576</v>
      </c>
    </row>
    <row r="38" spans="2:27" ht="21.5">
      <c r="C38" s="58" t="s">
        <v>440</v>
      </c>
    </row>
    <row r="39" spans="2:27" ht="21.5">
      <c r="C39" s="58" t="s">
        <v>441</v>
      </c>
    </row>
    <row r="40" spans="2:27">
      <c r="C40" s="99"/>
    </row>
  </sheetData>
  <mergeCells count="6">
    <mergeCell ref="F3:G3"/>
    <mergeCell ref="H3:AA3"/>
    <mergeCell ref="B3:B4"/>
    <mergeCell ref="C3:C4"/>
    <mergeCell ref="D3:D4"/>
    <mergeCell ref="E3:E4"/>
  </mergeCells>
  <phoneticPr fontId="6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8"/>
  <sheetViews>
    <sheetView showGridLines="0" zoomScale="50" zoomScaleNormal="50" workbookViewId="0">
      <pane xSplit="1" ySplit="4" topLeftCell="B9" activePane="bottomRight" state="frozen"/>
      <selection pane="topRight"/>
      <selection pane="bottomLeft"/>
      <selection pane="bottomRight" activeCell="D26" sqref="D26"/>
    </sheetView>
  </sheetViews>
  <sheetFormatPr defaultColWidth="8.81640625" defaultRowHeight="16.5"/>
  <cols>
    <col min="1" max="1" width="2.36328125" style="59" customWidth="1"/>
    <col min="2" max="2" width="8.81640625" style="59"/>
    <col min="3" max="3" width="29.54296875" style="59" customWidth="1"/>
    <col min="4" max="4" width="15.36328125" style="59" customWidth="1"/>
    <col min="5" max="5" width="13" style="59" customWidth="1"/>
    <col min="6" max="6" width="14.6328125" style="59" customWidth="1"/>
    <col min="7" max="7" width="12.36328125" style="59" customWidth="1"/>
    <col min="8" max="9" width="16.36328125" style="59" customWidth="1"/>
    <col min="10" max="15" width="14.6328125" style="59" customWidth="1"/>
    <col min="16" max="16" width="13.54296875" style="59" customWidth="1"/>
    <col min="17" max="17" width="14.6328125" style="59" customWidth="1"/>
    <col min="18" max="26" width="13.54296875" style="59" customWidth="1"/>
    <col min="27" max="27" width="15.36328125" style="59" customWidth="1"/>
    <col min="28" max="16384" width="8.81640625" style="59"/>
  </cols>
  <sheetData>
    <row r="1" spans="2:27" ht="4.5" customHeight="1"/>
    <row r="2" spans="2:27" ht="21.65" customHeight="1">
      <c r="B2" s="60" t="s">
        <v>514</v>
      </c>
    </row>
    <row r="3" spans="2:27">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7">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7">
      <c r="B5" s="61">
        <v>1</v>
      </c>
      <c r="C5" s="62" t="s">
        <v>480</v>
      </c>
      <c r="D5" s="63">
        <f ca="1">SUM(F5:AA5)</f>
        <v>67000.281854470886</v>
      </c>
      <c r="E5" s="47" t="s">
        <v>106</v>
      </c>
      <c r="F5" s="46">
        <f t="shared" ref="F5:AA5" si="0">SUM(F6:F11)</f>
        <v>0</v>
      </c>
      <c r="G5" s="46">
        <f t="shared" si="0"/>
        <v>0</v>
      </c>
      <c r="H5" s="46">
        <f t="shared" ca="1" si="0"/>
        <v>3143.4527772400002</v>
      </c>
      <c r="I5" s="46">
        <f t="shared" ca="1" si="0"/>
        <v>3143.4527772400002</v>
      </c>
      <c r="J5" s="46">
        <f t="shared" ca="1" si="0"/>
        <v>3143.4527772400002</v>
      </c>
      <c r="K5" s="46">
        <f t="shared" ca="1" si="0"/>
        <v>3143.4527772400002</v>
      </c>
      <c r="L5" s="46">
        <f t="shared" ca="1" si="0"/>
        <v>3143.4527772400002</v>
      </c>
      <c r="M5" s="46">
        <f t="shared" ca="1" si="0"/>
        <v>3169.1956663440001</v>
      </c>
      <c r="N5" s="46">
        <f t="shared" ca="1" si="0"/>
        <v>3279.0261551098783</v>
      </c>
      <c r="O5" s="46">
        <f t="shared" ca="1" si="0"/>
        <v>3351.4945321071505</v>
      </c>
      <c r="P5" s="46">
        <f t="shared" ca="1" si="0"/>
        <v>3351.4945321071505</v>
      </c>
      <c r="Q5" s="46">
        <f t="shared" ca="1" si="0"/>
        <v>3351.4945321071505</v>
      </c>
      <c r="R5" s="46">
        <f t="shared" ca="1" si="0"/>
        <v>3323.883912638124</v>
      </c>
      <c r="S5" s="46">
        <f t="shared" ca="1" si="0"/>
        <v>3351.4945321071505</v>
      </c>
      <c r="T5" s="46">
        <f t="shared" ca="1" si="0"/>
        <v>3351.4945321071505</v>
      </c>
      <c r="U5" s="46">
        <f t="shared" ca="1" si="0"/>
        <v>3351.4945321071505</v>
      </c>
      <c r="V5" s="46">
        <f t="shared" ca="1" si="0"/>
        <v>3351.4945321071505</v>
      </c>
      <c r="W5" s="46">
        <f t="shared" ca="1" si="0"/>
        <v>3351.4945321071505</v>
      </c>
      <c r="X5" s="46">
        <f t="shared" ca="1" si="0"/>
        <v>3351.4945321071505</v>
      </c>
      <c r="Y5" s="46">
        <f t="shared" ca="1" si="0"/>
        <v>3351.4945321071505</v>
      </c>
      <c r="Z5" s="46">
        <f t="shared" ca="1" si="0"/>
        <v>3351.4945321071505</v>
      </c>
      <c r="AA5" s="46">
        <f t="shared" ca="1" si="0"/>
        <v>4644.4723810002333</v>
      </c>
    </row>
    <row r="6" spans="2:27">
      <c r="B6" s="64">
        <v>1.1000000000000001</v>
      </c>
      <c r="C6" s="65" t="s">
        <v>243</v>
      </c>
      <c r="D6" s="66">
        <f>SUM(F6:AA6)</f>
        <v>63255.198881359996</v>
      </c>
      <c r="E6" s="47" t="s">
        <v>106</v>
      </c>
      <c r="F6" s="50"/>
      <c r="G6" s="50"/>
      <c r="H6" s="50">
        <f>('表4-收入税金表'!H6+'表4-收入税金表'!H24)</f>
        <v>3143.4527772400002</v>
      </c>
      <c r="I6" s="50">
        <f>('表4-收入税金表'!I6+'表4-收入税金表'!I24)</f>
        <v>3143.4527772400002</v>
      </c>
      <c r="J6" s="50">
        <f>('表4-收入税金表'!J6+'表4-收入税金表'!J24)</f>
        <v>3143.4527772400002</v>
      </c>
      <c r="K6" s="50">
        <f>('表4-收入税金表'!K6+'表4-收入税金表'!K24)</f>
        <v>3143.4527772400002</v>
      </c>
      <c r="L6" s="50">
        <f>('表4-收入税金表'!L6+'表4-收入税金表'!L24)</f>
        <v>3143.4527772400002</v>
      </c>
      <c r="M6" s="50">
        <f>('表4-收入税金表'!M6+'表4-收入税金表'!M24)</f>
        <v>3169.1956663440001</v>
      </c>
      <c r="N6" s="50">
        <f>('表4-收入税金表'!N6+'表4-收入税金表'!N24)</f>
        <v>3169.1956663440001</v>
      </c>
      <c r="O6" s="50">
        <f>('表4-收入税金表'!O6+'表4-收入税金表'!O24)</f>
        <v>3169.1956663440001</v>
      </c>
      <c r="P6" s="50">
        <f>('表4-收入税金表'!P6+'表4-收入税金表'!P24)</f>
        <v>3169.1956663440001</v>
      </c>
      <c r="Q6" s="50">
        <f>('表4-收入税金表'!Q6+'表4-收入税金表'!Q24)</f>
        <v>3169.1956663440001</v>
      </c>
      <c r="R6" s="50">
        <f>('表4-收入税金表'!R6+'表4-收入税金表'!R24)</f>
        <v>3169.1956663440001</v>
      </c>
      <c r="S6" s="50">
        <f>('表4-收入税金表'!S6+'表4-收入税金表'!S24)</f>
        <v>3169.1956663440001</v>
      </c>
      <c r="T6" s="50">
        <f>('表4-收入税金表'!T6+'表4-收入税金表'!T24)</f>
        <v>3169.1956663440001</v>
      </c>
      <c r="U6" s="50">
        <f>('表4-收入税金表'!U6+'表4-收入税金表'!U24)</f>
        <v>3169.1956663440001</v>
      </c>
      <c r="V6" s="50">
        <f>('表4-收入税金表'!V6+'表4-收入税金表'!V24)</f>
        <v>3169.1956663440001</v>
      </c>
      <c r="W6" s="50">
        <f>('表4-收入税金表'!W6+'表4-收入税金表'!W24)</f>
        <v>3169.1956663440001</v>
      </c>
      <c r="X6" s="50">
        <f>('表4-收入税金表'!X6+'表4-收入税金表'!X24)</f>
        <v>3169.1956663440001</v>
      </c>
      <c r="Y6" s="50">
        <f>('表4-收入税金表'!Y6+'表4-收入税金表'!Y24)</f>
        <v>3169.1956663440001</v>
      </c>
      <c r="Z6" s="50">
        <f>('表4-收入税金表'!Z6+'表4-收入税金表'!Z24)</f>
        <v>3169.1956663440001</v>
      </c>
      <c r="AA6" s="50">
        <f>('表4-收入税金表'!AA6+'表4-收入税金表'!AA24)</f>
        <v>3169.1956663440001</v>
      </c>
    </row>
    <row r="7" spans="2:27">
      <c r="B7" s="64">
        <v>1.2</v>
      </c>
      <c r="C7" s="65" t="s">
        <v>259</v>
      </c>
      <c r="D7" s="66">
        <f t="shared" ref="D7:D23" si="1">SUM(F7:AA7)</f>
        <v>0</v>
      </c>
      <c r="E7" s="47" t="s">
        <v>106</v>
      </c>
      <c r="F7" s="50"/>
      <c r="G7" s="50"/>
      <c r="H7" s="50">
        <f>('表4-收入税金表'!H16+'表4-收入税金表'!H25)</f>
        <v>0</v>
      </c>
      <c r="I7" s="50">
        <f>('表4-收入税金表'!I16+'表4-收入税金表'!I25)</f>
        <v>0</v>
      </c>
      <c r="J7" s="50">
        <f>('表4-收入税金表'!J16+'表4-收入税金表'!J25)</f>
        <v>0</v>
      </c>
      <c r="K7" s="50">
        <f>('表4-收入税金表'!K16+'表4-收入税金表'!K25)</f>
        <v>0</v>
      </c>
      <c r="L7" s="50">
        <f>('表4-收入税金表'!L16+'表4-收入税金表'!L25)</f>
        <v>0</v>
      </c>
      <c r="M7" s="50">
        <f>('表4-收入税金表'!M16+'表4-收入税金表'!M25)</f>
        <v>0</v>
      </c>
      <c r="N7" s="50">
        <f>('表4-收入税金表'!N16+'表4-收入税金表'!N25)</f>
        <v>0</v>
      </c>
      <c r="O7" s="50">
        <f>('表4-收入税金表'!O16+'表4-收入税金表'!O25)</f>
        <v>0</v>
      </c>
      <c r="P7" s="50">
        <f>('表4-收入税金表'!P16+'表4-收入税金表'!P25)</f>
        <v>0</v>
      </c>
      <c r="Q7" s="50">
        <f>('表4-收入税金表'!Q16+'表4-收入税金表'!Q25)</f>
        <v>0</v>
      </c>
      <c r="R7" s="50">
        <f>('表4-收入税金表'!R16+'表4-收入税金表'!R25)</f>
        <v>0</v>
      </c>
      <c r="S7" s="50">
        <f>('表4-收入税金表'!S16+'表4-收入税金表'!S25)</f>
        <v>0</v>
      </c>
      <c r="T7" s="50">
        <f>('表4-收入税金表'!T16+'表4-收入税金表'!T25)</f>
        <v>0</v>
      </c>
      <c r="U7" s="50">
        <f>('表4-收入税金表'!U16+'表4-收入税金表'!U25)</f>
        <v>0</v>
      </c>
      <c r="V7" s="50">
        <f>('表4-收入税金表'!V16+'表4-收入税金表'!V25)</f>
        <v>0</v>
      </c>
      <c r="W7" s="50">
        <f>('表4-收入税金表'!W16+'表4-收入税金表'!W25)</f>
        <v>0</v>
      </c>
      <c r="X7" s="50">
        <f>('表4-收入税金表'!X16+'表4-收入税金表'!X25)</f>
        <v>0</v>
      </c>
      <c r="Y7" s="50">
        <f>('表4-收入税金表'!Y16+'表4-收入税金表'!Y25)</f>
        <v>0</v>
      </c>
      <c r="Z7" s="50">
        <f>('表4-收入税金表'!Z16+'表4-收入税金表'!Z25)</f>
        <v>0</v>
      </c>
      <c r="AA7" s="50">
        <f>('表4-收入税金表'!AA16+'表4-收入税金表'!AA25)</f>
        <v>0</v>
      </c>
    </row>
    <row r="8" spans="2:27">
      <c r="B8" s="64">
        <v>1.3</v>
      </c>
      <c r="C8" s="65" t="s">
        <v>413</v>
      </c>
      <c r="D8" s="66">
        <f t="shared" si="1"/>
        <v>0</v>
      </c>
      <c r="E8" s="47" t="s">
        <v>106</v>
      </c>
      <c r="F8" s="50"/>
      <c r="G8" s="50"/>
      <c r="H8" s="50">
        <f>参数输入表!H244</f>
        <v>0</v>
      </c>
      <c r="I8" s="50"/>
      <c r="J8" s="50"/>
      <c r="K8" s="50"/>
      <c r="L8" s="50"/>
      <c r="M8" s="50"/>
      <c r="N8" s="50"/>
      <c r="O8" s="50"/>
      <c r="P8" s="50"/>
      <c r="Q8" s="50"/>
      <c r="R8" s="50"/>
      <c r="S8" s="50"/>
      <c r="T8" s="50"/>
      <c r="U8" s="50"/>
      <c r="V8" s="50"/>
      <c r="W8" s="50"/>
      <c r="X8" s="50"/>
      <c r="Y8" s="50"/>
      <c r="Z8" s="50"/>
      <c r="AA8" s="50"/>
    </row>
    <row r="9" spans="2:27">
      <c r="B9" s="64">
        <v>1.4</v>
      </c>
      <c r="C9" s="65" t="s">
        <v>481</v>
      </c>
      <c r="D9" s="66">
        <f t="shared" ca="1" si="1"/>
        <v>1142.9778488930826</v>
      </c>
      <c r="E9" s="47" t="s">
        <v>106</v>
      </c>
      <c r="F9" s="50"/>
      <c r="G9" s="50"/>
      <c r="H9" s="50">
        <v>0</v>
      </c>
      <c r="I9" s="50">
        <v>0</v>
      </c>
      <c r="J9" s="50">
        <v>0</v>
      </c>
      <c r="K9" s="50">
        <v>0</v>
      </c>
      <c r="L9" s="50">
        <v>0</v>
      </c>
      <c r="M9" s="50">
        <v>0</v>
      </c>
      <c r="N9" s="50">
        <v>0</v>
      </c>
      <c r="O9" s="50">
        <v>0</v>
      </c>
      <c r="P9" s="50">
        <v>0</v>
      </c>
      <c r="Q9" s="50">
        <v>0</v>
      </c>
      <c r="R9" s="50">
        <v>0</v>
      </c>
      <c r="S9" s="50">
        <v>0</v>
      </c>
      <c r="T9" s="50">
        <v>0</v>
      </c>
      <c r="U9" s="50">
        <v>0</v>
      </c>
      <c r="V9" s="50">
        <v>0</v>
      </c>
      <c r="W9" s="50">
        <v>0</v>
      </c>
      <c r="X9" s="50">
        <v>0</v>
      </c>
      <c r="Y9" s="50">
        <v>0</v>
      </c>
      <c r="Z9" s="50">
        <v>0</v>
      </c>
      <c r="AA9" s="50">
        <f ca="1">'表6-现金流量表-资本金'!AA10</f>
        <v>1142.9778488930826</v>
      </c>
    </row>
    <row r="10" spans="2:27">
      <c r="B10" s="64">
        <v>1.5</v>
      </c>
      <c r="C10" s="65" t="s">
        <v>482</v>
      </c>
      <c r="D10" s="66">
        <f t="shared" si="1"/>
        <v>150</v>
      </c>
      <c r="E10" s="47" t="s">
        <v>106</v>
      </c>
      <c r="F10" s="50"/>
      <c r="G10" s="50"/>
      <c r="H10" s="50"/>
      <c r="I10" s="50"/>
      <c r="J10" s="50"/>
      <c r="K10" s="50"/>
      <c r="L10" s="50"/>
      <c r="M10" s="50"/>
      <c r="N10" s="50"/>
      <c r="O10" s="50"/>
      <c r="P10" s="50"/>
      <c r="Q10" s="50"/>
      <c r="R10" s="50"/>
      <c r="S10" s="50"/>
      <c r="T10" s="50"/>
      <c r="U10" s="50"/>
      <c r="V10" s="50"/>
      <c r="W10" s="50"/>
      <c r="X10" s="50"/>
      <c r="Y10" s="50"/>
      <c r="Z10" s="50"/>
      <c r="AA10" s="50">
        <f>参数输入表!H81</f>
        <v>150</v>
      </c>
    </row>
    <row r="11" spans="2:27">
      <c r="B11" s="64">
        <v>1.6</v>
      </c>
      <c r="C11" s="65" t="s">
        <v>414</v>
      </c>
      <c r="D11" s="66">
        <f t="shared" ca="1" si="1"/>
        <v>2452.1051242178078</v>
      </c>
      <c r="E11" s="47" t="s">
        <v>106</v>
      </c>
      <c r="F11" s="50"/>
      <c r="G11" s="50"/>
      <c r="H11" s="50">
        <f ca="1">'表4-收入税金表'!H19</f>
        <v>0</v>
      </c>
      <c r="I11" s="50">
        <f ca="1">'表4-收入税金表'!I19</f>
        <v>0</v>
      </c>
      <c r="J11" s="50">
        <f ca="1">'表4-收入税金表'!J19</f>
        <v>0</v>
      </c>
      <c r="K11" s="50">
        <f ca="1">'表4-收入税金表'!K19</f>
        <v>0</v>
      </c>
      <c r="L11" s="50">
        <f ca="1">'表4-收入税金表'!L19</f>
        <v>0</v>
      </c>
      <c r="M11" s="50">
        <f ca="1">'表4-收入税金表'!M19</f>
        <v>0</v>
      </c>
      <c r="N11" s="50">
        <f ca="1">'表4-收入税金表'!N19</f>
        <v>109.83048876587841</v>
      </c>
      <c r="O11" s="50">
        <f ca="1">'表4-收入税金表'!O19</f>
        <v>182.2988657631505</v>
      </c>
      <c r="P11" s="50">
        <f ca="1">'表4-收入税金表'!P19</f>
        <v>182.2988657631505</v>
      </c>
      <c r="Q11" s="50">
        <f ca="1">'表4-收入税金表'!Q19</f>
        <v>182.2988657631505</v>
      </c>
      <c r="R11" s="50">
        <f ca="1">'表4-收入税金表'!R19</f>
        <v>154.68824629412396</v>
      </c>
      <c r="S11" s="50">
        <f ca="1">'表4-收入税金表'!S19</f>
        <v>182.2988657631505</v>
      </c>
      <c r="T11" s="50">
        <f ca="1">'表4-收入税金表'!T19</f>
        <v>182.2988657631505</v>
      </c>
      <c r="U11" s="50">
        <f ca="1">'表4-收入税金表'!U19</f>
        <v>182.2988657631505</v>
      </c>
      <c r="V11" s="50">
        <f ca="1">'表4-收入税金表'!V19</f>
        <v>182.2988657631505</v>
      </c>
      <c r="W11" s="50">
        <f ca="1">'表4-收入税金表'!W19</f>
        <v>182.2988657631505</v>
      </c>
      <c r="X11" s="50">
        <f ca="1">'表4-收入税金表'!X19</f>
        <v>182.2988657631505</v>
      </c>
      <c r="Y11" s="50">
        <f ca="1">'表4-收入税金表'!Y19</f>
        <v>182.2988657631505</v>
      </c>
      <c r="Z11" s="50">
        <f ca="1">'表4-收入税金表'!Z19</f>
        <v>182.2988657631505</v>
      </c>
      <c r="AA11" s="50">
        <f ca="1">'表4-收入税金表'!AA19</f>
        <v>182.2988657631505</v>
      </c>
    </row>
    <row r="12" spans="2:27">
      <c r="B12" s="61">
        <v>2</v>
      </c>
      <c r="C12" s="62" t="s">
        <v>483</v>
      </c>
      <c r="D12" s="63">
        <f t="shared" ca="1" si="1"/>
        <v>43155.97556744083</v>
      </c>
      <c r="E12" s="47" t="s">
        <v>106</v>
      </c>
      <c r="F12" s="46">
        <f>SUM(F13:F19)</f>
        <v>24402.36</v>
      </c>
      <c r="G12" s="46">
        <f t="shared" ref="G12:AA12" si="2">SUM(G13:G19)</f>
        <v>0</v>
      </c>
      <c r="H12" s="46">
        <f t="shared" ca="1" si="2"/>
        <v>615.9101691090583</v>
      </c>
      <c r="I12" s="46">
        <f t="shared" ca="1" si="2"/>
        <v>465.9101691090583</v>
      </c>
      <c r="J12" s="46">
        <f t="shared" ca="1" si="2"/>
        <v>465.9101691090583</v>
      </c>
      <c r="K12" s="46">
        <f t="shared" ca="1" si="2"/>
        <v>465.9101691090583</v>
      </c>
      <c r="L12" s="46">
        <f t="shared" ca="1" si="2"/>
        <v>465.9101691090583</v>
      </c>
      <c r="M12" s="46">
        <f t="shared" ca="1" si="2"/>
        <v>576.33339267611825</v>
      </c>
      <c r="N12" s="46">
        <f t="shared" ca="1" si="2"/>
        <v>822.35368751168596</v>
      </c>
      <c r="O12" s="46">
        <f t="shared" ca="1" si="2"/>
        <v>984.68285198557533</v>
      </c>
      <c r="P12" s="46">
        <f t="shared" ca="1" si="2"/>
        <v>984.68285198557533</v>
      </c>
      <c r="Q12" s="46">
        <f t="shared" ca="1" si="2"/>
        <v>984.68285198557533</v>
      </c>
      <c r="R12" s="46">
        <f t="shared" ca="1" si="2"/>
        <v>1513.2582879420149</v>
      </c>
      <c r="S12" s="46">
        <f t="shared" ca="1" si="2"/>
        <v>1095.1060755526346</v>
      </c>
      <c r="T12" s="46">
        <f t="shared" ca="1" si="2"/>
        <v>1095.1060755526346</v>
      </c>
      <c r="U12" s="46">
        <f t="shared" ca="1" si="2"/>
        <v>1095.1060755526346</v>
      </c>
      <c r="V12" s="46">
        <f t="shared" ca="1" si="2"/>
        <v>1095.1060755526346</v>
      </c>
      <c r="W12" s="46">
        <f t="shared" ca="1" si="2"/>
        <v>1205.5292991196943</v>
      </c>
      <c r="X12" s="46">
        <f t="shared" ca="1" si="2"/>
        <v>1205.5292991196943</v>
      </c>
      <c r="Y12" s="46">
        <f t="shared" ca="1" si="2"/>
        <v>1205.5292991196943</v>
      </c>
      <c r="Z12" s="46">
        <f t="shared" ca="1" si="2"/>
        <v>1205.5292991196943</v>
      </c>
      <c r="AA12" s="46">
        <f t="shared" ca="1" si="2"/>
        <v>1205.5292991196943</v>
      </c>
    </row>
    <row r="13" spans="2:27">
      <c r="B13" s="64">
        <v>2.1</v>
      </c>
      <c r="C13" s="65" t="s">
        <v>515</v>
      </c>
      <c r="D13" s="66">
        <f t="shared" si="1"/>
        <v>24402.36</v>
      </c>
      <c r="E13" s="47" t="s">
        <v>106</v>
      </c>
      <c r="F13" s="50">
        <f>'表1-资金筹措及还本付息表'!F7</f>
        <v>24402.36</v>
      </c>
      <c r="G13" s="50">
        <f>'表1-资金筹措及还本付息表'!G7</f>
        <v>0</v>
      </c>
      <c r="H13" s="50"/>
      <c r="I13" s="50"/>
      <c r="J13" s="50"/>
      <c r="K13" s="50"/>
      <c r="L13" s="50"/>
      <c r="M13" s="50"/>
      <c r="N13" s="50"/>
      <c r="O13" s="50"/>
      <c r="P13" s="50"/>
      <c r="Q13" s="50"/>
      <c r="R13" s="50"/>
      <c r="S13" s="50"/>
      <c r="T13" s="50"/>
      <c r="U13" s="50"/>
      <c r="V13" s="50"/>
      <c r="W13" s="50"/>
      <c r="X13" s="50"/>
      <c r="Y13" s="50"/>
      <c r="Z13" s="50"/>
      <c r="AA13" s="50"/>
    </row>
    <row r="14" spans="2:27">
      <c r="B14" s="64">
        <v>2.2000000000000002</v>
      </c>
      <c r="C14" s="65" t="s">
        <v>29</v>
      </c>
      <c r="D14" s="66">
        <f t="shared" si="1"/>
        <v>150</v>
      </c>
      <c r="E14" s="47" t="s">
        <v>106</v>
      </c>
      <c r="F14" s="50"/>
      <c r="G14" s="50"/>
      <c r="H14" s="50">
        <f>参数输入表!H81</f>
        <v>150</v>
      </c>
      <c r="I14" s="50"/>
      <c r="J14" s="50"/>
      <c r="K14" s="50"/>
      <c r="L14" s="50"/>
      <c r="M14" s="50"/>
      <c r="N14" s="50"/>
      <c r="O14" s="50"/>
      <c r="P14" s="50"/>
      <c r="Q14" s="50"/>
      <c r="R14" s="50"/>
      <c r="S14" s="50"/>
      <c r="T14" s="50"/>
      <c r="U14" s="50"/>
      <c r="V14" s="50"/>
      <c r="W14" s="50"/>
      <c r="X14" s="50"/>
      <c r="Y14" s="50"/>
      <c r="Z14" s="50"/>
      <c r="AA14" s="50"/>
    </row>
    <row r="15" spans="2:27">
      <c r="B15" s="64">
        <v>2.2999999999999998</v>
      </c>
      <c r="C15" s="65" t="s">
        <v>492</v>
      </c>
      <c r="D15" s="66">
        <f t="shared" ca="1" si="1"/>
        <v>12630.900089192952</v>
      </c>
      <c r="E15" s="47" t="s">
        <v>106</v>
      </c>
      <c r="F15" s="50"/>
      <c r="G15" s="50"/>
      <c r="H15" s="50">
        <f ca="1">'表3-成本费用表'!H48</f>
        <v>465.9101691090583</v>
      </c>
      <c r="I15" s="50">
        <f ca="1">'表3-成本费用表'!I48</f>
        <v>465.9101691090583</v>
      </c>
      <c r="J15" s="50">
        <f ca="1">'表3-成本费用表'!J48</f>
        <v>465.9101691090583</v>
      </c>
      <c r="K15" s="50">
        <f ca="1">'表3-成本费用表'!K48</f>
        <v>465.9101691090583</v>
      </c>
      <c r="L15" s="50">
        <f ca="1">'表3-成本费用表'!L48</f>
        <v>465.9101691090583</v>
      </c>
      <c r="M15" s="50">
        <f ca="1">'表3-成本费用表'!M48</f>
        <v>576.33339267611825</v>
      </c>
      <c r="N15" s="50">
        <f ca="1">'表3-成本费用表'!N48</f>
        <v>576.33339267611825</v>
      </c>
      <c r="O15" s="50">
        <f ca="1">'表3-成本费用表'!O48</f>
        <v>576.33339267611825</v>
      </c>
      <c r="P15" s="50">
        <f ca="1">'表3-成本费用表'!P48</f>
        <v>576.33339267611825</v>
      </c>
      <c r="Q15" s="50">
        <f ca="1">'表3-成本费用表'!Q48</f>
        <v>576.33339267611825</v>
      </c>
      <c r="R15" s="50">
        <f ca="1">'表3-成本费用表'!R48</f>
        <v>686.75661624317729</v>
      </c>
      <c r="S15" s="50">
        <f ca="1">'表3-成本费用表'!S48</f>
        <v>686.75661624317729</v>
      </c>
      <c r="T15" s="50">
        <f ca="1">'表3-成本费用表'!T48</f>
        <v>686.75661624317729</v>
      </c>
      <c r="U15" s="50">
        <f ca="1">'表3-成本费用表'!U48</f>
        <v>686.75661624317729</v>
      </c>
      <c r="V15" s="50">
        <f ca="1">'表3-成本费用表'!V48</f>
        <v>686.75661624317729</v>
      </c>
      <c r="W15" s="50">
        <f ca="1">'表3-成本费用表'!W48</f>
        <v>797.17983981023724</v>
      </c>
      <c r="X15" s="50">
        <f ca="1">'表3-成本费用表'!X48</f>
        <v>797.17983981023724</v>
      </c>
      <c r="Y15" s="50">
        <f ca="1">'表3-成本费用表'!Y48</f>
        <v>797.17983981023724</v>
      </c>
      <c r="Z15" s="50">
        <f ca="1">'表3-成本费用表'!Z48</f>
        <v>797.17983981023724</v>
      </c>
      <c r="AA15" s="50">
        <f ca="1">'表3-成本费用表'!AA48</f>
        <v>797.17983981023724</v>
      </c>
    </row>
    <row r="16" spans="2:27">
      <c r="B16" s="64">
        <v>2.4</v>
      </c>
      <c r="C16" s="65" t="s">
        <v>238</v>
      </c>
      <c r="D16" s="66">
        <f t="shared" si="1"/>
        <v>0</v>
      </c>
      <c r="E16" s="47" t="s">
        <v>106</v>
      </c>
      <c r="F16" s="50"/>
      <c r="G16" s="50"/>
      <c r="H16" s="50">
        <f>'表3-成本费用表'!H62</f>
        <v>0</v>
      </c>
      <c r="I16" s="50">
        <f>'表3-成本费用表'!I62</f>
        <v>0</v>
      </c>
      <c r="J16" s="50">
        <f>'表3-成本费用表'!J62</f>
        <v>0</v>
      </c>
      <c r="K16" s="50">
        <f>'表3-成本费用表'!K62</f>
        <v>0</v>
      </c>
      <c r="L16" s="50">
        <f>'表3-成本费用表'!L62</f>
        <v>0</v>
      </c>
      <c r="M16" s="50">
        <f>'表3-成本费用表'!M62</f>
        <v>0</v>
      </c>
      <c r="N16" s="50">
        <f>'表3-成本费用表'!N62</f>
        <v>0</v>
      </c>
      <c r="O16" s="50">
        <f>'表3-成本费用表'!O62</f>
        <v>0</v>
      </c>
      <c r="P16" s="50">
        <f>'表3-成本费用表'!P62</f>
        <v>0</v>
      </c>
      <c r="Q16" s="50">
        <f>'表3-成本费用表'!Q62</f>
        <v>0</v>
      </c>
      <c r="R16" s="50">
        <f>'表3-成本费用表'!R62</f>
        <v>0</v>
      </c>
      <c r="S16" s="50">
        <f>'表3-成本费用表'!S62</f>
        <v>0</v>
      </c>
      <c r="T16" s="50">
        <f>'表3-成本费用表'!T62</f>
        <v>0</v>
      </c>
      <c r="U16" s="50">
        <f>'表3-成本费用表'!U62</f>
        <v>0</v>
      </c>
      <c r="V16" s="50">
        <f>'表3-成本费用表'!V62</f>
        <v>0</v>
      </c>
      <c r="W16" s="50">
        <f>'表3-成本费用表'!W62</f>
        <v>0</v>
      </c>
      <c r="X16" s="50">
        <f>'表3-成本费用表'!X62</f>
        <v>0</v>
      </c>
      <c r="Y16" s="50">
        <f>'表3-成本费用表'!Y62</f>
        <v>0</v>
      </c>
      <c r="Z16" s="50">
        <f>'表3-成本费用表'!Z62</f>
        <v>0</v>
      </c>
      <c r="AA16" s="50">
        <f>'表3-成本费用表'!AA62</f>
        <v>0</v>
      </c>
    </row>
    <row r="17" spans="2:27">
      <c r="B17" s="64">
        <v>2.5</v>
      </c>
      <c r="C17" s="65" t="s">
        <v>493</v>
      </c>
      <c r="D17" s="66">
        <f t="shared" ca="1" si="1"/>
        <v>4904.2102484356155</v>
      </c>
      <c r="E17" s="47" t="s">
        <v>106</v>
      </c>
      <c r="F17" s="50"/>
      <c r="G17" s="50"/>
      <c r="H17" s="50">
        <f ca="1">'表4-收入税金表'!H22</f>
        <v>0</v>
      </c>
      <c r="I17" s="50">
        <f ca="1">'表4-收入税金表'!I22</f>
        <v>0</v>
      </c>
      <c r="J17" s="50">
        <f ca="1">'表4-收入税金表'!J22</f>
        <v>0</v>
      </c>
      <c r="K17" s="50">
        <f ca="1">'表4-收入税金表'!K22</f>
        <v>0</v>
      </c>
      <c r="L17" s="50">
        <f ca="1">'表4-收入税金表'!L22</f>
        <v>0</v>
      </c>
      <c r="M17" s="50">
        <f ca="1">'表4-收入税金表'!M22</f>
        <v>0</v>
      </c>
      <c r="N17" s="50">
        <f ca="1">'表4-收入税金表'!N22</f>
        <v>219.66097753175683</v>
      </c>
      <c r="O17" s="50">
        <f ca="1">'表4-收入税金表'!O22</f>
        <v>364.597731526301</v>
      </c>
      <c r="P17" s="50">
        <f ca="1">'表4-收入税金表'!P22</f>
        <v>364.597731526301</v>
      </c>
      <c r="Q17" s="50">
        <f ca="1">'表4-收入税金表'!Q22</f>
        <v>364.597731526301</v>
      </c>
      <c r="R17" s="50">
        <f ca="1">'表4-收入税金表'!R22</f>
        <v>309.37649258824791</v>
      </c>
      <c r="S17" s="50">
        <f ca="1">'表4-收入税金表'!S22</f>
        <v>364.597731526301</v>
      </c>
      <c r="T17" s="50">
        <f ca="1">'表4-收入税金表'!T22</f>
        <v>364.597731526301</v>
      </c>
      <c r="U17" s="50">
        <f ca="1">'表4-收入税金表'!U22</f>
        <v>364.597731526301</v>
      </c>
      <c r="V17" s="50">
        <f ca="1">'表4-收入税金表'!V22</f>
        <v>364.597731526301</v>
      </c>
      <c r="W17" s="50">
        <f ca="1">'表4-收入税金表'!W22</f>
        <v>364.597731526301</v>
      </c>
      <c r="X17" s="50">
        <f ca="1">'表4-收入税金表'!X22</f>
        <v>364.597731526301</v>
      </c>
      <c r="Y17" s="50">
        <f ca="1">'表4-收入税金表'!Y22</f>
        <v>364.597731526301</v>
      </c>
      <c r="Z17" s="50">
        <f ca="1">'表4-收入税金表'!Z22</f>
        <v>364.597731526301</v>
      </c>
      <c r="AA17" s="50">
        <f ca="1">'表4-收入税金表'!AA22</f>
        <v>364.597731526301</v>
      </c>
    </row>
    <row r="18" spans="2:27">
      <c r="B18" s="64">
        <v>2.6</v>
      </c>
      <c r="C18" s="65" t="s">
        <v>452</v>
      </c>
      <c r="D18" s="66">
        <f t="shared" ca="1" si="1"/>
        <v>588.50522981227414</v>
      </c>
      <c r="E18" s="47" t="s">
        <v>106</v>
      </c>
      <c r="F18" s="50"/>
      <c r="G18" s="50"/>
      <c r="H18" s="50">
        <f ca="1">'表4-收入税金表'!H46+'表4-收入税金表'!H50</f>
        <v>0</v>
      </c>
      <c r="I18" s="50">
        <f ca="1">'表4-收入税金表'!I46+'表4-收入税金表'!I50</f>
        <v>0</v>
      </c>
      <c r="J18" s="50">
        <f ca="1">'表4-收入税金表'!J46+'表4-收入税金表'!J50</f>
        <v>0</v>
      </c>
      <c r="K18" s="50">
        <f ca="1">'表4-收入税金表'!K46+'表4-收入税金表'!K50</f>
        <v>0</v>
      </c>
      <c r="L18" s="50">
        <f ca="1">'表4-收入税金表'!L46+'表4-收入税金表'!L50</f>
        <v>0</v>
      </c>
      <c r="M18" s="50">
        <f ca="1">'表4-收入税金表'!M46+'表4-收入税金表'!M50</f>
        <v>0</v>
      </c>
      <c r="N18" s="50">
        <f ca="1">'表4-收入税金表'!N46+'表4-收入税金表'!N50</f>
        <v>26.359317303810823</v>
      </c>
      <c r="O18" s="50">
        <f ca="1">'表4-收入税金表'!O46+'表4-收入税金表'!O50</f>
        <v>43.751727783156127</v>
      </c>
      <c r="P18" s="50">
        <f ca="1">'表4-收入税金表'!P46+'表4-收入税金表'!P50</f>
        <v>43.751727783156127</v>
      </c>
      <c r="Q18" s="50">
        <f ca="1">'表4-收入税金表'!Q46+'表4-收入税金表'!Q50</f>
        <v>43.751727783156127</v>
      </c>
      <c r="R18" s="50">
        <f ca="1">'表4-收入税金表'!R46+'表4-收入税金表'!R50</f>
        <v>37.125179110589748</v>
      </c>
      <c r="S18" s="50">
        <f ca="1">'表4-收入税金表'!S46+'表4-收入税金表'!S50</f>
        <v>43.751727783156127</v>
      </c>
      <c r="T18" s="50">
        <f ca="1">'表4-收入税金表'!T46+'表4-收入税金表'!T50</f>
        <v>43.751727783156127</v>
      </c>
      <c r="U18" s="50">
        <f ca="1">'表4-收入税金表'!U46+'表4-收入税金表'!U50</f>
        <v>43.751727783156127</v>
      </c>
      <c r="V18" s="50">
        <f ca="1">'表4-收入税金表'!V46+'表4-收入税金表'!V50</f>
        <v>43.751727783156127</v>
      </c>
      <c r="W18" s="50">
        <f ca="1">'表4-收入税金表'!W46+'表4-收入税金表'!W50</f>
        <v>43.751727783156127</v>
      </c>
      <c r="X18" s="50">
        <f ca="1">'表4-收入税金表'!X46+'表4-收入税金表'!X50</f>
        <v>43.751727783156127</v>
      </c>
      <c r="Y18" s="50">
        <f ca="1">'表4-收入税金表'!Y46+'表4-收入税金表'!Y50</f>
        <v>43.751727783156127</v>
      </c>
      <c r="Z18" s="50">
        <f ca="1">'表4-收入税金表'!Z46+'表4-收入税金表'!Z50</f>
        <v>43.751727783156127</v>
      </c>
      <c r="AA18" s="50">
        <f ca="1">'表4-收入税金表'!AA46+'表4-收入税金表'!AA50</f>
        <v>43.751727783156127</v>
      </c>
    </row>
    <row r="19" spans="2:27">
      <c r="B19" s="64">
        <v>2.7</v>
      </c>
      <c r="C19" s="65" t="s">
        <v>494</v>
      </c>
      <c r="D19" s="66">
        <f t="shared" si="1"/>
        <v>480</v>
      </c>
      <c r="E19" s="47" t="s">
        <v>106</v>
      </c>
      <c r="F19" s="50"/>
      <c r="G19" s="50"/>
      <c r="H19" s="50">
        <f>参数输入表!H185</f>
        <v>0</v>
      </c>
      <c r="I19" s="50">
        <f>参数输入表!H186</f>
        <v>0</v>
      </c>
      <c r="J19" s="50">
        <f>参数输入表!H187</f>
        <v>0</v>
      </c>
      <c r="K19" s="50">
        <f>参数输入表!H188</f>
        <v>0</v>
      </c>
      <c r="L19" s="50">
        <f>参数输入表!H189</f>
        <v>0</v>
      </c>
      <c r="M19" s="50">
        <f>参数输入表!H190</f>
        <v>0</v>
      </c>
      <c r="N19" s="50">
        <f>参数输入表!H191</f>
        <v>0</v>
      </c>
      <c r="O19" s="50">
        <f>参数输入表!H192</f>
        <v>0</v>
      </c>
      <c r="P19" s="50">
        <f>参数输入表!H193</f>
        <v>0</v>
      </c>
      <c r="Q19" s="50">
        <f>参数输入表!H194</f>
        <v>0</v>
      </c>
      <c r="R19" s="50">
        <f>参数输入表!H195</f>
        <v>480</v>
      </c>
      <c r="S19" s="50">
        <f>参数输入表!H196</f>
        <v>0</v>
      </c>
      <c r="T19" s="50">
        <f>参数输入表!H197</f>
        <v>0</v>
      </c>
      <c r="U19" s="50">
        <f>参数输入表!H198</f>
        <v>0</v>
      </c>
      <c r="V19" s="50">
        <f>参数输入表!H199</f>
        <v>0</v>
      </c>
      <c r="W19" s="50">
        <f>参数输入表!H200</f>
        <v>0</v>
      </c>
      <c r="X19" s="50">
        <f>参数输入表!H201</f>
        <v>0</v>
      </c>
      <c r="Y19" s="50">
        <f>参数输入表!H202</f>
        <v>0</v>
      </c>
      <c r="Z19" s="50">
        <f>参数输入表!H203</f>
        <v>0</v>
      </c>
      <c r="AA19" s="50">
        <f>参数输入表!H204</f>
        <v>0</v>
      </c>
    </row>
    <row r="20" spans="2:27">
      <c r="B20" s="61">
        <v>3</v>
      </c>
      <c r="C20" s="62" t="s">
        <v>495</v>
      </c>
      <c r="D20" s="63">
        <f t="shared" ca="1" si="1"/>
        <v>23844.306287030038</v>
      </c>
      <c r="E20" s="47" t="s">
        <v>106</v>
      </c>
      <c r="F20" s="46">
        <f t="shared" ref="F20:AA20" si="3">F5-F12</f>
        <v>-24402.36</v>
      </c>
      <c r="G20" s="67">
        <f t="shared" si="3"/>
        <v>0</v>
      </c>
      <c r="H20" s="46">
        <f t="shared" ca="1" si="3"/>
        <v>2527.542608130942</v>
      </c>
      <c r="I20" s="46">
        <f t="shared" ca="1" si="3"/>
        <v>2677.542608130942</v>
      </c>
      <c r="J20" s="46">
        <f t="shared" ca="1" si="3"/>
        <v>2677.542608130942</v>
      </c>
      <c r="K20" s="46">
        <f t="shared" ca="1" si="3"/>
        <v>2677.542608130942</v>
      </c>
      <c r="L20" s="46">
        <f t="shared" ca="1" si="3"/>
        <v>2677.542608130942</v>
      </c>
      <c r="M20" s="46">
        <f t="shared" ca="1" si="3"/>
        <v>2592.8622736678817</v>
      </c>
      <c r="N20" s="46">
        <f t="shared" ca="1" si="3"/>
        <v>2456.6724675981923</v>
      </c>
      <c r="O20" s="46">
        <f t="shared" ca="1" si="3"/>
        <v>2366.8116801215751</v>
      </c>
      <c r="P20" s="46">
        <f t="shared" ca="1" si="3"/>
        <v>2366.8116801215751</v>
      </c>
      <c r="Q20" s="46">
        <f t="shared" ca="1" si="3"/>
        <v>2366.8116801215751</v>
      </c>
      <c r="R20" s="46">
        <f t="shared" ca="1" si="3"/>
        <v>1810.6256246961091</v>
      </c>
      <c r="S20" s="46">
        <f t="shared" ca="1" si="3"/>
        <v>2256.3884565545159</v>
      </c>
      <c r="T20" s="46">
        <f t="shared" ca="1" si="3"/>
        <v>2256.3884565545159</v>
      </c>
      <c r="U20" s="46">
        <f t="shared" ca="1" si="3"/>
        <v>2256.3884565545159</v>
      </c>
      <c r="V20" s="46">
        <f t="shared" ca="1" si="3"/>
        <v>2256.3884565545159</v>
      </c>
      <c r="W20" s="46">
        <f t="shared" ca="1" si="3"/>
        <v>2145.9652329874561</v>
      </c>
      <c r="X20" s="46">
        <f t="shared" ca="1" si="3"/>
        <v>2145.9652329874561</v>
      </c>
      <c r="Y20" s="46">
        <f t="shared" ca="1" si="3"/>
        <v>2145.9652329874561</v>
      </c>
      <c r="Z20" s="46">
        <f t="shared" ca="1" si="3"/>
        <v>2145.9652329874561</v>
      </c>
      <c r="AA20" s="46">
        <f t="shared" ca="1" si="3"/>
        <v>3438.943081880539</v>
      </c>
    </row>
    <row r="21" spans="2:27">
      <c r="B21" s="61">
        <v>4</v>
      </c>
      <c r="C21" s="68" t="s">
        <v>496</v>
      </c>
      <c r="D21" s="45"/>
      <c r="E21" s="47" t="s">
        <v>106</v>
      </c>
      <c r="F21" s="46">
        <f>F20</f>
        <v>-24402.36</v>
      </c>
      <c r="G21" s="67">
        <f>IF('表1-资金筹措及还本付息表'!G5&gt;0,F21+G20,0)</f>
        <v>0</v>
      </c>
      <c r="H21" s="46">
        <f ca="1">IF('表1-资金筹措及还本付息表'!G5&gt;0,G21+H20,H20+F21)</f>
        <v>-21874.817391869059</v>
      </c>
      <c r="I21" s="46">
        <f t="shared" ref="I21" ca="1" si="4">H21+I20</f>
        <v>-19197.274783738118</v>
      </c>
      <c r="J21" s="46">
        <f t="shared" ref="J21" ca="1" si="5">I21+J20</f>
        <v>-16519.732175607176</v>
      </c>
      <c r="K21" s="46">
        <f t="shared" ref="K21" ca="1" si="6">J21+K20</f>
        <v>-13842.189567476235</v>
      </c>
      <c r="L21" s="46">
        <f t="shared" ref="L21" ca="1" si="7">K21+L20</f>
        <v>-11164.646959345293</v>
      </c>
      <c r="M21" s="46">
        <f t="shared" ref="M21" ca="1" si="8">L21+M20</f>
        <v>-8571.7846856774122</v>
      </c>
      <c r="N21" s="46">
        <f t="shared" ref="N21" ca="1" si="9">M21+N20</f>
        <v>-6115.1122180792199</v>
      </c>
      <c r="O21" s="46">
        <f t="shared" ref="O21" ca="1" si="10">N21+O20</f>
        <v>-3748.3005379576448</v>
      </c>
      <c r="P21" s="46">
        <f t="shared" ref="P21" ca="1" si="11">O21+P20</f>
        <v>-1381.4888578360697</v>
      </c>
      <c r="Q21" s="46">
        <f t="shared" ref="Q21" ca="1" si="12">P21+Q20</f>
        <v>985.32282228550548</v>
      </c>
      <c r="R21" s="46">
        <f t="shared" ref="R21" ca="1" si="13">Q21+R20</f>
        <v>2795.9484469816143</v>
      </c>
      <c r="S21" s="46">
        <f t="shared" ref="S21" ca="1" si="14">R21+S20</f>
        <v>5052.3369035361302</v>
      </c>
      <c r="T21" s="46">
        <f t="shared" ref="T21" ca="1" si="15">S21+T20</f>
        <v>7308.7253600906461</v>
      </c>
      <c r="U21" s="46">
        <f t="shared" ref="U21" ca="1" si="16">T21+U20</f>
        <v>9565.1138166451619</v>
      </c>
      <c r="V21" s="46">
        <f t="shared" ref="V21" ca="1" si="17">U21+V20</f>
        <v>11821.502273199678</v>
      </c>
      <c r="W21" s="46">
        <f t="shared" ref="W21" ca="1" si="18">V21+W20</f>
        <v>13967.467506187135</v>
      </c>
      <c r="X21" s="46">
        <f t="shared" ref="X21" ca="1" si="19">W21+X20</f>
        <v>16113.43273917459</v>
      </c>
      <c r="Y21" s="46">
        <f t="shared" ref="Y21" ca="1" si="20">X21+Y20</f>
        <v>18259.397972162045</v>
      </c>
      <c r="Z21" s="46">
        <f t="shared" ref="Z21" ca="1" si="21">Y21+Z20</f>
        <v>20405.363205149501</v>
      </c>
      <c r="AA21" s="46">
        <f t="shared" ref="AA21" ca="1" si="22">Z21+AA20</f>
        <v>23844.306287030038</v>
      </c>
    </row>
    <row r="22" spans="2:27">
      <c r="B22" s="61">
        <v>5</v>
      </c>
      <c r="C22" s="68" t="s">
        <v>511</v>
      </c>
      <c r="D22" s="63">
        <f t="shared" ca="1" si="1"/>
        <v>4877.5816281723546</v>
      </c>
      <c r="E22" s="47" t="s">
        <v>106</v>
      </c>
      <c r="F22" s="46"/>
      <c r="G22" s="67"/>
      <c r="H22" s="46">
        <f>'表7-利润表-全投资'!H22</f>
        <v>0</v>
      </c>
      <c r="I22" s="46">
        <f>'表7-利润表-全投资'!I22</f>
        <v>0</v>
      </c>
      <c r="J22" s="46">
        <f>'表7-利润表-全投资'!J22</f>
        <v>0</v>
      </c>
      <c r="K22" s="46">
        <f ca="1">'表7-利润表-全投资'!K22</f>
        <v>111.87964510668883</v>
      </c>
      <c r="L22" s="46">
        <f ca="1">'表7-利润表-全投资'!L22</f>
        <v>111.87964510668883</v>
      </c>
      <c r="M22" s="46">
        <f ca="1">'表7-利润表-全投资'!M22</f>
        <v>100.92440688470009</v>
      </c>
      <c r="N22" s="46">
        <f ca="1">'表7-利润表-全投资'!N22</f>
        <v>222.71660663491704</v>
      </c>
      <c r="O22" s="46">
        <f ca="1">'表7-利润表-全投资'!O22</f>
        <v>236.48559826439873</v>
      </c>
      <c r="P22" s="46">
        <f ca="1">'表7-利润表-全投资'!P22</f>
        <v>236.48559826439873</v>
      </c>
      <c r="Q22" s="46">
        <f ca="1">'表7-利润表-全投资'!Q22</f>
        <v>236.48559826439873</v>
      </c>
      <c r="R22" s="46">
        <f ca="1">'表7-利润表-全投资'!R22</f>
        <v>193.54527909829775</v>
      </c>
      <c r="S22" s="46">
        <f ca="1">'表7-利润表-全投资'!S22</f>
        <v>198.79129679741277</v>
      </c>
      <c r="T22" s="46">
        <f ca="1">'表7-利润表-全投资'!T22</f>
        <v>198.79129679741277</v>
      </c>
      <c r="U22" s="46">
        <f ca="1">'表7-利润表-全投资'!U22</f>
        <v>198.79129679741277</v>
      </c>
      <c r="V22" s="46">
        <f ca="1">'表7-利润表-全投资'!V22</f>
        <v>198.79129679741277</v>
      </c>
      <c r="W22" s="46">
        <f ca="1">'表7-利润表-全投资'!W22</f>
        <v>526.40281267164312</v>
      </c>
      <c r="X22" s="46">
        <f ca="1">'表7-利润表-全投资'!X22</f>
        <v>526.40281267164312</v>
      </c>
      <c r="Y22" s="46">
        <f ca="1">'表7-利润表-全投资'!Y22</f>
        <v>526.40281267164312</v>
      </c>
      <c r="Z22" s="46">
        <f ca="1">'表7-利润表-全投资'!Z22</f>
        <v>526.40281267164312</v>
      </c>
      <c r="AA22" s="46">
        <f ca="1">'表7-利润表-全投资'!AA22</f>
        <v>526.40281267164312</v>
      </c>
    </row>
    <row r="23" spans="2:27">
      <c r="B23" s="69">
        <v>6</v>
      </c>
      <c r="C23" s="62" t="s">
        <v>497</v>
      </c>
      <c r="D23" s="70">
        <f t="shared" ca="1" si="1"/>
        <v>18966.724658857689</v>
      </c>
      <c r="E23" s="47" t="s">
        <v>106</v>
      </c>
      <c r="F23" s="46">
        <f>F20-F22</f>
        <v>-24402.36</v>
      </c>
      <c r="G23" s="67">
        <f t="shared" ref="G23:AA23" si="23">G20-G22</f>
        <v>0</v>
      </c>
      <c r="H23" s="46">
        <f t="shared" ca="1" si="23"/>
        <v>2527.542608130942</v>
      </c>
      <c r="I23" s="46">
        <f t="shared" ca="1" si="23"/>
        <v>2677.542608130942</v>
      </c>
      <c r="J23" s="46">
        <f t="shared" ca="1" si="23"/>
        <v>2677.542608130942</v>
      </c>
      <c r="K23" s="46">
        <f t="shared" ca="1" si="23"/>
        <v>2565.6629630242533</v>
      </c>
      <c r="L23" s="46">
        <f t="shared" ca="1" si="23"/>
        <v>2565.6629630242533</v>
      </c>
      <c r="M23" s="46">
        <f t="shared" ca="1" si="23"/>
        <v>2491.9378667831816</v>
      </c>
      <c r="N23" s="46">
        <f t="shared" ca="1" si="23"/>
        <v>2233.9558609632754</v>
      </c>
      <c r="O23" s="46">
        <f t="shared" ca="1" si="23"/>
        <v>2130.3260818571762</v>
      </c>
      <c r="P23" s="46">
        <f t="shared" ca="1" si="23"/>
        <v>2130.3260818571762</v>
      </c>
      <c r="Q23" s="46">
        <f t="shared" ca="1" si="23"/>
        <v>2130.3260818571762</v>
      </c>
      <c r="R23" s="46">
        <f t="shared" ca="1" si="23"/>
        <v>1617.0803455978114</v>
      </c>
      <c r="S23" s="46">
        <f t="shared" ca="1" si="23"/>
        <v>2057.5971597571033</v>
      </c>
      <c r="T23" s="46">
        <f t="shared" ca="1" si="23"/>
        <v>2057.5971597571033</v>
      </c>
      <c r="U23" s="46">
        <f t="shared" ca="1" si="23"/>
        <v>2057.5971597571033</v>
      </c>
      <c r="V23" s="46">
        <f t="shared" ca="1" si="23"/>
        <v>2057.5971597571033</v>
      </c>
      <c r="W23" s="46">
        <f t="shared" ca="1" si="23"/>
        <v>1619.5624203158131</v>
      </c>
      <c r="X23" s="46">
        <f t="shared" ca="1" si="23"/>
        <v>1619.5624203158131</v>
      </c>
      <c r="Y23" s="46">
        <f t="shared" ca="1" si="23"/>
        <v>1619.5624203158131</v>
      </c>
      <c r="Z23" s="46">
        <f t="shared" ca="1" si="23"/>
        <v>1619.5624203158131</v>
      </c>
      <c r="AA23" s="46">
        <f t="shared" ca="1" si="23"/>
        <v>2912.540269208896</v>
      </c>
    </row>
    <row r="24" spans="2:27">
      <c r="B24" s="69">
        <v>7</v>
      </c>
      <c r="C24" s="68" t="s">
        <v>498</v>
      </c>
      <c r="D24" s="45"/>
      <c r="E24" s="47" t="s">
        <v>106</v>
      </c>
      <c r="F24" s="46">
        <f>F23</f>
        <v>-24402.36</v>
      </c>
      <c r="G24" s="67">
        <f>IF('表1-资金筹措及还本付息表'!G5&gt;0,F24+G23,0)</f>
        <v>0</v>
      </c>
      <c r="H24" s="46">
        <f ca="1">IF('表1-资金筹措及还本付息表'!G5&gt;0,G24+H23,F24+H23)</f>
        <v>-21874.817391869059</v>
      </c>
      <c r="I24" s="46">
        <f t="shared" ref="I24:AA24" ca="1" si="24">H24+I23</f>
        <v>-19197.274783738118</v>
      </c>
      <c r="J24" s="46">
        <f t="shared" ca="1" si="24"/>
        <v>-16519.732175607176</v>
      </c>
      <c r="K24" s="46">
        <f t="shared" ca="1" si="24"/>
        <v>-13954.069212582923</v>
      </c>
      <c r="L24" s="46">
        <f t="shared" ca="1" si="24"/>
        <v>-11388.40624955867</v>
      </c>
      <c r="M24" s="46">
        <f t="shared" ca="1" si="24"/>
        <v>-8896.4683827754889</v>
      </c>
      <c r="N24" s="46">
        <f t="shared" ca="1" si="24"/>
        <v>-6662.5125218122139</v>
      </c>
      <c r="O24" s="46">
        <f t="shared" ca="1" si="24"/>
        <v>-4532.1864399550377</v>
      </c>
      <c r="P24" s="46">
        <f t="shared" ca="1" si="24"/>
        <v>-2401.8603580978615</v>
      </c>
      <c r="Q24" s="46">
        <f t="shared" ca="1" si="24"/>
        <v>-271.53427624068536</v>
      </c>
      <c r="R24" s="46">
        <f t="shared" ca="1" si="24"/>
        <v>1345.546069357126</v>
      </c>
      <c r="S24" s="46">
        <f t="shared" ca="1" si="24"/>
        <v>3403.1432291142291</v>
      </c>
      <c r="T24" s="46">
        <f t="shared" ca="1" si="24"/>
        <v>5460.7403888713325</v>
      </c>
      <c r="U24" s="46">
        <f t="shared" ca="1" si="24"/>
        <v>7518.3375486284358</v>
      </c>
      <c r="V24" s="46">
        <f t="shared" ca="1" si="24"/>
        <v>9575.9347083855391</v>
      </c>
      <c r="W24" s="46">
        <f t="shared" ca="1" si="24"/>
        <v>11195.497128701352</v>
      </c>
      <c r="X24" s="46">
        <f t="shared" ca="1" si="24"/>
        <v>12815.059549017165</v>
      </c>
      <c r="Y24" s="46">
        <f t="shared" ca="1" si="24"/>
        <v>14434.621969332979</v>
      </c>
      <c r="Z24" s="46">
        <f t="shared" ca="1" si="24"/>
        <v>16054.184389648792</v>
      </c>
      <c r="AA24" s="46">
        <f t="shared" ca="1" si="24"/>
        <v>18966.724658857689</v>
      </c>
    </row>
    <row r="26" spans="2:27">
      <c r="C26" s="45" t="s">
        <v>516</v>
      </c>
      <c r="D26" s="71">
        <f ca="1">IF('表1-资金筹措及还本付息表'!G5=0,IRR(E44:Y44),IRR(E20:Y20))</f>
        <v>7.8490817889508957E-2</v>
      </c>
      <c r="E26" s="72"/>
      <c r="F26" s="72"/>
      <c r="G26" s="72"/>
      <c r="H26" s="72"/>
      <c r="I26" s="72"/>
      <c r="J26" s="72"/>
      <c r="K26" s="72"/>
      <c r="L26" s="72"/>
      <c r="M26" s="72"/>
      <c r="N26" s="72"/>
      <c r="O26" s="72"/>
      <c r="P26" s="72"/>
      <c r="Q26" s="72"/>
      <c r="R26" s="72"/>
      <c r="S26" s="72"/>
      <c r="T26" s="72"/>
      <c r="U26" s="72"/>
      <c r="V26" s="72"/>
      <c r="W26" s="72"/>
      <c r="X26" s="72"/>
      <c r="Y26" s="72"/>
      <c r="Z26" s="72"/>
      <c r="AA26" s="72"/>
    </row>
    <row r="27" spans="2:27">
      <c r="C27" s="45" t="s">
        <v>517</v>
      </c>
      <c r="D27" s="71">
        <f ca="1">IF('表1-资金筹措及还本付息表'!G5=0,IRR(E47:Y47),IRR(F23:AA23))</f>
        <v>6.7843500845499838E-2</v>
      </c>
      <c r="E27" s="72"/>
      <c r="F27" s="72"/>
      <c r="G27" s="72"/>
      <c r="H27" s="72"/>
      <c r="I27" s="72"/>
      <c r="J27" s="72"/>
      <c r="K27" s="72"/>
      <c r="L27" s="72"/>
      <c r="M27" s="72"/>
      <c r="N27" s="72"/>
      <c r="O27" s="72"/>
      <c r="P27" s="72"/>
      <c r="Q27" s="72"/>
      <c r="R27" s="72"/>
      <c r="S27" s="72"/>
      <c r="T27" s="72"/>
      <c r="U27" s="72"/>
      <c r="V27" s="72"/>
      <c r="W27" s="72"/>
      <c r="X27" s="72"/>
      <c r="Y27" s="72"/>
      <c r="Z27" s="72"/>
      <c r="AA27" s="72"/>
    </row>
    <row r="28" spans="2:27">
      <c r="C28" s="45" t="s">
        <v>518</v>
      </c>
      <c r="D28" s="46">
        <f ca="1">SUM(F28:AA28)+1</f>
        <v>11.167916379034526</v>
      </c>
      <c r="E28" s="47" t="s">
        <v>55</v>
      </c>
      <c r="F28" s="50">
        <v>0</v>
      </c>
      <c r="G28" s="50">
        <v>0</v>
      </c>
      <c r="H28" s="50">
        <v>0</v>
      </c>
      <c r="I28" s="50">
        <f ca="1">IF(I24/H24&lt;0,H4+ABS(H24/I23),0)</f>
        <v>0</v>
      </c>
      <c r="J28" s="50">
        <f t="shared" ref="J28:AA28" ca="1" si="25">IF(J24/I24&lt;0,I4+ABS(I24/J23),0)</f>
        <v>0</v>
      </c>
      <c r="K28" s="50">
        <f t="shared" ca="1" si="25"/>
        <v>0</v>
      </c>
      <c r="L28" s="50">
        <f t="shared" ca="1" si="25"/>
        <v>0</v>
      </c>
      <c r="M28" s="50">
        <f t="shared" ca="1" si="25"/>
        <v>0</v>
      </c>
      <c r="N28" s="50">
        <f t="shared" ca="1" si="25"/>
        <v>0</v>
      </c>
      <c r="O28" s="50">
        <f t="shared" ca="1" si="25"/>
        <v>0</v>
      </c>
      <c r="P28" s="50">
        <f t="shared" ca="1" si="25"/>
        <v>0</v>
      </c>
      <c r="Q28" s="50">
        <f t="shared" ca="1" si="25"/>
        <v>0</v>
      </c>
      <c r="R28" s="50">
        <f t="shared" ca="1" si="25"/>
        <v>10.167916379034526</v>
      </c>
      <c r="S28" s="50">
        <f t="shared" ca="1" si="25"/>
        <v>0</v>
      </c>
      <c r="T28" s="50">
        <f t="shared" ca="1" si="25"/>
        <v>0</v>
      </c>
      <c r="U28" s="50">
        <f t="shared" ca="1" si="25"/>
        <v>0</v>
      </c>
      <c r="V28" s="50">
        <f t="shared" ca="1" si="25"/>
        <v>0</v>
      </c>
      <c r="W28" s="50">
        <f t="shared" ca="1" si="25"/>
        <v>0</v>
      </c>
      <c r="X28" s="50">
        <f t="shared" ca="1" si="25"/>
        <v>0</v>
      </c>
      <c r="Y28" s="50">
        <f t="shared" ca="1" si="25"/>
        <v>0</v>
      </c>
      <c r="Z28" s="50">
        <f t="shared" ca="1" si="25"/>
        <v>0</v>
      </c>
      <c r="AA28" s="50">
        <f t="shared" ca="1" si="25"/>
        <v>0</v>
      </c>
    </row>
    <row r="29" spans="2:27">
      <c r="C29" s="45" t="s">
        <v>519</v>
      </c>
      <c r="D29" s="46">
        <f ca="1">SUM(F29:AA29)+1</f>
        <v>10.583691921684748</v>
      </c>
      <c r="E29" s="73" t="s">
        <v>55</v>
      </c>
      <c r="F29" s="50">
        <v>0</v>
      </c>
      <c r="G29" s="50">
        <v>0</v>
      </c>
      <c r="H29" s="50">
        <v>0</v>
      </c>
      <c r="I29" s="50">
        <f ca="1">IF(I21/H21&lt;0,H4+ABS(H21/I20),0)</f>
        <v>0</v>
      </c>
      <c r="J29" s="50">
        <f t="shared" ref="J29:AA29" ca="1" si="26">IF(J21/I21&lt;0,I4+ABS(I21/J20),0)</f>
        <v>0</v>
      </c>
      <c r="K29" s="50">
        <f t="shared" ca="1" si="26"/>
        <v>0</v>
      </c>
      <c r="L29" s="50">
        <f t="shared" ca="1" si="26"/>
        <v>0</v>
      </c>
      <c r="M29" s="50">
        <f t="shared" ca="1" si="26"/>
        <v>0</v>
      </c>
      <c r="N29" s="50">
        <f t="shared" ca="1" si="26"/>
        <v>0</v>
      </c>
      <c r="O29" s="50">
        <f t="shared" ca="1" si="26"/>
        <v>0</v>
      </c>
      <c r="P29" s="50">
        <f t="shared" ca="1" si="26"/>
        <v>0</v>
      </c>
      <c r="Q29" s="50">
        <f t="shared" ca="1" si="26"/>
        <v>9.583691921684748</v>
      </c>
      <c r="R29" s="50">
        <f t="shared" ca="1" si="26"/>
        <v>0</v>
      </c>
      <c r="S29" s="50">
        <f t="shared" ca="1" si="26"/>
        <v>0</v>
      </c>
      <c r="T29" s="50">
        <f t="shared" ca="1" si="26"/>
        <v>0</v>
      </c>
      <c r="U29" s="50">
        <f t="shared" ca="1" si="26"/>
        <v>0</v>
      </c>
      <c r="V29" s="50">
        <f t="shared" ca="1" si="26"/>
        <v>0</v>
      </c>
      <c r="W29" s="50">
        <f t="shared" ca="1" si="26"/>
        <v>0</v>
      </c>
      <c r="X29" s="50">
        <f t="shared" ca="1" si="26"/>
        <v>0</v>
      </c>
      <c r="Y29" s="50">
        <f t="shared" ca="1" si="26"/>
        <v>0</v>
      </c>
      <c r="Z29" s="50">
        <f t="shared" ca="1" si="26"/>
        <v>0</v>
      </c>
      <c r="AA29" s="50">
        <f t="shared" ca="1" si="26"/>
        <v>0</v>
      </c>
    </row>
    <row r="30" spans="2:27" ht="21.5">
      <c r="C30" s="58" t="s">
        <v>440</v>
      </c>
    </row>
    <row r="31" spans="2:27" ht="21.5">
      <c r="C31" s="58" t="s">
        <v>520</v>
      </c>
    </row>
    <row r="32" spans="2:27" ht="21.5">
      <c r="C32" s="58" t="s">
        <v>503</v>
      </c>
    </row>
    <row r="33" spans="2:26">
      <c r="I33" s="74"/>
    </row>
    <row r="34" spans="2:26">
      <c r="H34" s="74"/>
    </row>
    <row r="35" spans="2:26">
      <c r="C35" s="75" t="s">
        <v>506</v>
      </c>
      <c r="D35" s="76">
        <f ca="1">D23-'表7-利润表-全投资'!D23</f>
        <v>350.13350338777673</v>
      </c>
    </row>
    <row r="36" spans="2:26">
      <c r="C36" s="75"/>
      <c r="D36" s="76"/>
    </row>
    <row r="37" spans="2:26">
      <c r="C37" s="75"/>
      <c r="D37" s="76"/>
    </row>
    <row r="38" spans="2:26">
      <c r="B38" s="342" t="s">
        <v>507</v>
      </c>
      <c r="C38" s="342"/>
      <c r="D38" s="342"/>
    </row>
    <row r="39" spans="2:26">
      <c r="B39" s="342"/>
      <c r="C39" s="342"/>
      <c r="D39" s="342"/>
    </row>
    <row r="40" spans="2:26">
      <c r="B40" s="342"/>
      <c r="C40" s="342"/>
      <c r="D40" s="342"/>
    </row>
    <row r="41" spans="2:26">
      <c r="B41" s="77"/>
      <c r="C41" s="77"/>
      <c r="D41" s="77"/>
    </row>
    <row r="42" spans="2:26">
      <c r="B42" s="337" t="s">
        <v>14</v>
      </c>
      <c r="C42" s="337" t="s">
        <v>320</v>
      </c>
      <c r="D42" s="337" t="s">
        <v>39</v>
      </c>
      <c r="E42" s="78" t="s">
        <v>43</v>
      </c>
      <c r="F42" s="343" t="s">
        <v>54</v>
      </c>
      <c r="G42" s="344"/>
      <c r="H42" s="344"/>
      <c r="I42" s="344"/>
      <c r="J42" s="344"/>
      <c r="K42" s="344"/>
      <c r="L42" s="344"/>
      <c r="M42" s="344"/>
      <c r="N42" s="344"/>
      <c r="O42" s="344"/>
      <c r="P42" s="344"/>
      <c r="Q42" s="344"/>
      <c r="R42" s="344"/>
      <c r="S42" s="344"/>
      <c r="T42" s="344"/>
      <c r="U42" s="344"/>
      <c r="V42" s="344"/>
      <c r="W42" s="344"/>
      <c r="X42" s="344"/>
      <c r="Y42" s="344"/>
      <c r="Z42" s="345"/>
    </row>
    <row r="43" spans="2:26">
      <c r="B43" s="338"/>
      <c r="C43" s="338"/>
      <c r="D43" s="338"/>
      <c r="E43" s="42">
        <v>1</v>
      </c>
      <c r="F43" s="43">
        <v>1</v>
      </c>
      <c r="G43" s="43">
        <v>2</v>
      </c>
      <c r="H43" s="43">
        <v>3</v>
      </c>
      <c r="I43" s="43">
        <v>4</v>
      </c>
      <c r="J43" s="43">
        <v>5</v>
      </c>
      <c r="K43" s="43">
        <v>6</v>
      </c>
      <c r="L43" s="43">
        <v>7</v>
      </c>
      <c r="M43" s="43">
        <v>8</v>
      </c>
      <c r="N43" s="43">
        <v>9</v>
      </c>
      <c r="O43" s="43">
        <v>10</v>
      </c>
      <c r="P43" s="43">
        <v>11</v>
      </c>
      <c r="Q43" s="43">
        <v>12</v>
      </c>
      <c r="R43" s="43">
        <v>13</v>
      </c>
      <c r="S43" s="43">
        <v>14</v>
      </c>
      <c r="T43" s="43">
        <v>15</v>
      </c>
      <c r="U43" s="43">
        <v>16</v>
      </c>
      <c r="V43" s="43">
        <v>17</v>
      </c>
      <c r="W43" s="43">
        <v>18</v>
      </c>
      <c r="X43" s="43">
        <v>19</v>
      </c>
      <c r="Y43" s="43">
        <v>20</v>
      </c>
    </row>
    <row r="44" spans="2:26">
      <c r="B44" s="61">
        <v>3</v>
      </c>
      <c r="C44" s="62" t="s">
        <v>495</v>
      </c>
      <c r="D44" s="47" t="s">
        <v>106</v>
      </c>
      <c r="E44" s="67">
        <f>F20</f>
        <v>-24402.36</v>
      </c>
      <c r="F44" s="46">
        <f ca="1">H20</f>
        <v>2527.542608130942</v>
      </c>
      <c r="G44" s="46">
        <f t="shared" ref="G44:Y44" ca="1" si="27">I20</f>
        <v>2677.542608130942</v>
      </c>
      <c r="H44" s="46">
        <f t="shared" ca="1" si="27"/>
        <v>2677.542608130942</v>
      </c>
      <c r="I44" s="46">
        <f t="shared" ca="1" si="27"/>
        <v>2677.542608130942</v>
      </c>
      <c r="J44" s="46">
        <f t="shared" ca="1" si="27"/>
        <v>2677.542608130942</v>
      </c>
      <c r="K44" s="46">
        <f t="shared" ca="1" si="27"/>
        <v>2592.8622736678817</v>
      </c>
      <c r="L44" s="46">
        <f t="shared" ca="1" si="27"/>
        <v>2456.6724675981923</v>
      </c>
      <c r="M44" s="46">
        <f t="shared" ca="1" si="27"/>
        <v>2366.8116801215751</v>
      </c>
      <c r="N44" s="46">
        <f t="shared" ca="1" si="27"/>
        <v>2366.8116801215751</v>
      </c>
      <c r="O44" s="46">
        <f t="shared" ca="1" si="27"/>
        <v>2366.8116801215751</v>
      </c>
      <c r="P44" s="46">
        <f t="shared" ca="1" si="27"/>
        <v>1810.6256246961091</v>
      </c>
      <c r="Q44" s="46">
        <f t="shared" ca="1" si="27"/>
        <v>2256.3884565545159</v>
      </c>
      <c r="R44" s="46">
        <f t="shared" ca="1" si="27"/>
        <v>2256.3884565545159</v>
      </c>
      <c r="S44" s="46">
        <f t="shared" ca="1" si="27"/>
        <v>2256.3884565545159</v>
      </c>
      <c r="T44" s="46">
        <f t="shared" ca="1" si="27"/>
        <v>2256.3884565545159</v>
      </c>
      <c r="U44" s="46">
        <f t="shared" ca="1" si="27"/>
        <v>2145.9652329874561</v>
      </c>
      <c r="V44" s="46">
        <f t="shared" ca="1" si="27"/>
        <v>2145.9652329874561</v>
      </c>
      <c r="W44" s="46">
        <f t="shared" ca="1" si="27"/>
        <v>2145.9652329874561</v>
      </c>
      <c r="X44" s="46">
        <f t="shared" ca="1" si="27"/>
        <v>2145.9652329874561</v>
      </c>
      <c r="Y44" s="46">
        <f t="shared" ca="1" si="27"/>
        <v>3438.943081880539</v>
      </c>
    </row>
    <row r="45" spans="2:26">
      <c r="B45" s="61">
        <v>4</v>
      </c>
      <c r="C45" s="68" t="s">
        <v>496</v>
      </c>
      <c r="D45" s="47" t="s">
        <v>106</v>
      </c>
      <c r="E45" s="67">
        <f>F21</f>
        <v>-24402.36</v>
      </c>
      <c r="F45" s="46">
        <f ca="1">H21</f>
        <v>-21874.817391869059</v>
      </c>
      <c r="G45" s="46">
        <f t="shared" ref="G45:Y45" ca="1" si="28">F45+G44</f>
        <v>-19197.274783738118</v>
      </c>
      <c r="H45" s="46">
        <f t="shared" ca="1" si="28"/>
        <v>-16519.732175607176</v>
      </c>
      <c r="I45" s="46">
        <f t="shared" ca="1" si="28"/>
        <v>-13842.189567476235</v>
      </c>
      <c r="J45" s="46">
        <f t="shared" ca="1" si="28"/>
        <v>-11164.646959345293</v>
      </c>
      <c r="K45" s="46">
        <f t="shared" ca="1" si="28"/>
        <v>-8571.7846856774122</v>
      </c>
      <c r="L45" s="46">
        <f t="shared" ca="1" si="28"/>
        <v>-6115.1122180792199</v>
      </c>
      <c r="M45" s="46">
        <f t="shared" ca="1" si="28"/>
        <v>-3748.3005379576448</v>
      </c>
      <c r="N45" s="46">
        <f t="shared" ca="1" si="28"/>
        <v>-1381.4888578360697</v>
      </c>
      <c r="O45" s="46">
        <f t="shared" ca="1" si="28"/>
        <v>985.32282228550548</v>
      </c>
      <c r="P45" s="46">
        <f t="shared" ca="1" si="28"/>
        <v>2795.9484469816143</v>
      </c>
      <c r="Q45" s="46">
        <f t="shared" ca="1" si="28"/>
        <v>5052.3369035361302</v>
      </c>
      <c r="R45" s="46">
        <f t="shared" ca="1" si="28"/>
        <v>7308.7253600906461</v>
      </c>
      <c r="S45" s="46">
        <f t="shared" ca="1" si="28"/>
        <v>9565.1138166451619</v>
      </c>
      <c r="T45" s="46">
        <f t="shared" ca="1" si="28"/>
        <v>11821.502273199678</v>
      </c>
      <c r="U45" s="46">
        <f t="shared" ca="1" si="28"/>
        <v>13967.467506187135</v>
      </c>
      <c r="V45" s="46">
        <f t="shared" ca="1" si="28"/>
        <v>16113.43273917459</v>
      </c>
      <c r="W45" s="46">
        <f t="shared" ca="1" si="28"/>
        <v>18259.397972162045</v>
      </c>
      <c r="X45" s="46">
        <f t="shared" ca="1" si="28"/>
        <v>20405.363205149501</v>
      </c>
      <c r="Y45" s="46">
        <f t="shared" ca="1" si="28"/>
        <v>23844.306287030038</v>
      </c>
    </row>
    <row r="46" spans="2:26">
      <c r="B46" s="61">
        <v>5</v>
      </c>
      <c r="C46" s="68" t="s">
        <v>511</v>
      </c>
      <c r="D46" s="47" t="s">
        <v>106</v>
      </c>
      <c r="E46" s="67">
        <f>F22</f>
        <v>0</v>
      </c>
      <c r="F46" s="46">
        <f>H22</f>
        <v>0</v>
      </c>
      <c r="G46" s="46">
        <f t="shared" ref="G46:Y46" si="29">I22</f>
        <v>0</v>
      </c>
      <c r="H46" s="46">
        <f t="shared" si="29"/>
        <v>0</v>
      </c>
      <c r="I46" s="46">
        <f t="shared" ca="1" si="29"/>
        <v>111.87964510668883</v>
      </c>
      <c r="J46" s="46">
        <f t="shared" ca="1" si="29"/>
        <v>111.87964510668883</v>
      </c>
      <c r="K46" s="46">
        <f t="shared" ca="1" si="29"/>
        <v>100.92440688470009</v>
      </c>
      <c r="L46" s="46">
        <f t="shared" ca="1" si="29"/>
        <v>222.71660663491704</v>
      </c>
      <c r="M46" s="46">
        <f t="shared" ca="1" si="29"/>
        <v>236.48559826439873</v>
      </c>
      <c r="N46" s="46">
        <f t="shared" ca="1" si="29"/>
        <v>236.48559826439873</v>
      </c>
      <c r="O46" s="46">
        <f t="shared" ca="1" si="29"/>
        <v>236.48559826439873</v>
      </c>
      <c r="P46" s="46">
        <f t="shared" ca="1" si="29"/>
        <v>193.54527909829775</v>
      </c>
      <c r="Q46" s="46">
        <f t="shared" ca="1" si="29"/>
        <v>198.79129679741277</v>
      </c>
      <c r="R46" s="46">
        <f t="shared" ca="1" si="29"/>
        <v>198.79129679741277</v>
      </c>
      <c r="S46" s="46">
        <f t="shared" ca="1" si="29"/>
        <v>198.79129679741277</v>
      </c>
      <c r="T46" s="46">
        <f t="shared" ca="1" si="29"/>
        <v>198.79129679741277</v>
      </c>
      <c r="U46" s="46">
        <f t="shared" ca="1" si="29"/>
        <v>526.40281267164312</v>
      </c>
      <c r="V46" s="46">
        <f t="shared" ca="1" si="29"/>
        <v>526.40281267164312</v>
      </c>
      <c r="W46" s="46">
        <f t="shared" ca="1" si="29"/>
        <v>526.40281267164312</v>
      </c>
      <c r="X46" s="46">
        <f t="shared" ca="1" si="29"/>
        <v>526.40281267164312</v>
      </c>
      <c r="Y46" s="46">
        <f t="shared" ca="1" si="29"/>
        <v>526.40281267164312</v>
      </c>
    </row>
    <row r="47" spans="2:26">
      <c r="B47" s="69">
        <v>6</v>
      </c>
      <c r="C47" s="62" t="s">
        <v>497</v>
      </c>
      <c r="D47" s="47" t="s">
        <v>106</v>
      </c>
      <c r="E47" s="67">
        <f>F23</f>
        <v>-24402.36</v>
      </c>
      <c r="F47" s="46">
        <f ca="1">H23</f>
        <v>2527.542608130942</v>
      </c>
      <c r="G47" s="46">
        <f t="shared" ref="G47:Y47" ca="1" si="30">I23</f>
        <v>2677.542608130942</v>
      </c>
      <c r="H47" s="46">
        <f t="shared" ca="1" si="30"/>
        <v>2677.542608130942</v>
      </c>
      <c r="I47" s="46">
        <f t="shared" ca="1" si="30"/>
        <v>2565.6629630242533</v>
      </c>
      <c r="J47" s="46">
        <f t="shared" ca="1" si="30"/>
        <v>2565.6629630242533</v>
      </c>
      <c r="K47" s="46">
        <f t="shared" ca="1" si="30"/>
        <v>2491.9378667831816</v>
      </c>
      <c r="L47" s="46">
        <f t="shared" ca="1" si="30"/>
        <v>2233.9558609632754</v>
      </c>
      <c r="M47" s="46">
        <f t="shared" ca="1" si="30"/>
        <v>2130.3260818571762</v>
      </c>
      <c r="N47" s="46">
        <f t="shared" ca="1" si="30"/>
        <v>2130.3260818571762</v>
      </c>
      <c r="O47" s="46">
        <f t="shared" ca="1" si="30"/>
        <v>2130.3260818571762</v>
      </c>
      <c r="P47" s="46">
        <f t="shared" ca="1" si="30"/>
        <v>1617.0803455978114</v>
      </c>
      <c r="Q47" s="46">
        <f t="shared" ca="1" si="30"/>
        <v>2057.5971597571033</v>
      </c>
      <c r="R47" s="46">
        <f t="shared" ca="1" si="30"/>
        <v>2057.5971597571033</v>
      </c>
      <c r="S47" s="46">
        <f t="shared" ca="1" si="30"/>
        <v>2057.5971597571033</v>
      </c>
      <c r="T47" s="46">
        <f t="shared" ca="1" si="30"/>
        <v>2057.5971597571033</v>
      </c>
      <c r="U47" s="46">
        <f t="shared" ca="1" si="30"/>
        <v>1619.5624203158131</v>
      </c>
      <c r="V47" s="46">
        <f t="shared" ca="1" si="30"/>
        <v>1619.5624203158131</v>
      </c>
      <c r="W47" s="46">
        <f t="shared" ca="1" si="30"/>
        <v>1619.5624203158131</v>
      </c>
      <c r="X47" s="46">
        <f t="shared" ca="1" si="30"/>
        <v>1619.5624203158131</v>
      </c>
      <c r="Y47" s="46">
        <f t="shared" ca="1" si="30"/>
        <v>2912.540269208896</v>
      </c>
    </row>
    <row r="48" spans="2:26">
      <c r="B48" s="69">
        <v>7</v>
      </c>
      <c r="C48" s="68" t="s">
        <v>498</v>
      </c>
      <c r="D48" s="47" t="s">
        <v>106</v>
      </c>
      <c r="E48" s="67">
        <f>F24</f>
        <v>-24402.36</v>
      </c>
      <c r="F48" s="46">
        <f ca="1">H24</f>
        <v>-21874.817391869059</v>
      </c>
      <c r="G48" s="46">
        <f t="shared" ref="G48:Y48" ca="1" si="31">I24</f>
        <v>-19197.274783738118</v>
      </c>
      <c r="H48" s="46">
        <f t="shared" ca="1" si="31"/>
        <v>-16519.732175607176</v>
      </c>
      <c r="I48" s="46">
        <f t="shared" ca="1" si="31"/>
        <v>-13954.069212582923</v>
      </c>
      <c r="J48" s="46">
        <f t="shared" ca="1" si="31"/>
        <v>-11388.40624955867</v>
      </c>
      <c r="K48" s="46">
        <f t="shared" ca="1" si="31"/>
        <v>-8896.4683827754889</v>
      </c>
      <c r="L48" s="46">
        <f t="shared" ca="1" si="31"/>
        <v>-6662.5125218122139</v>
      </c>
      <c r="M48" s="46">
        <f t="shared" ca="1" si="31"/>
        <v>-4532.1864399550377</v>
      </c>
      <c r="N48" s="46">
        <f t="shared" ca="1" si="31"/>
        <v>-2401.8603580978615</v>
      </c>
      <c r="O48" s="46">
        <f t="shared" ca="1" si="31"/>
        <v>-271.53427624068536</v>
      </c>
      <c r="P48" s="46">
        <f t="shared" ca="1" si="31"/>
        <v>1345.546069357126</v>
      </c>
      <c r="Q48" s="46">
        <f t="shared" ca="1" si="31"/>
        <v>3403.1432291142291</v>
      </c>
      <c r="R48" s="46">
        <f t="shared" ca="1" si="31"/>
        <v>5460.7403888713325</v>
      </c>
      <c r="S48" s="46">
        <f t="shared" ca="1" si="31"/>
        <v>7518.3375486284358</v>
      </c>
      <c r="T48" s="46">
        <f t="shared" ca="1" si="31"/>
        <v>9575.9347083855391</v>
      </c>
      <c r="U48" s="46">
        <f t="shared" ca="1" si="31"/>
        <v>11195.497128701352</v>
      </c>
      <c r="V48" s="46">
        <f t="shared" ca="1" si="31"/>
        <v>12815.059549017165</v>
      </c>
      <c r="W48" s="46">
        <f t="shared" ca="1" si="31"/>
        <v>14434.621969332979</v>
      </c>
      <c r="X48" s="46">
        <f t="shared" ca="1" si="31"/>
        <v>16054.184389648792</v>
      </c>
      <c r="Y48" s="46">
        <f t="shared" ca="1" si="31"/>
        <v>18966.724658857689</v>
      </c>
    </row>
  </sheetData>
  <mergeCells count="11">
    <mergeCell ref="F3:G3"/>
    <mergeCell ref="H3:AA3"/>
    <mergeCell ref="F42:Z42"/>
    <mergeCell ref="B3:B4"/>
    <mergeCell ref="B42:B43"/>
    <mergeCell ref="C3:C4"/>
    <mergeCell ref="C42:C43"/>
    <mergeCell ref="D3:D4"/>
    <mergeCell ref="D42:D43"/>
    <mergeCell ref="E3:E4"/>
    <mergeCell ref="B38:D40"/>
  </mergeCells>
  <phoneticPr fontId="6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3"/>
  <sheetViews>
    <sheetView showGridLines="0" topLeftCell="A21" zoomScale="60" zoomScaleNormal="60" workbookViewId="0">
      <selection activeCell="AF48" sqref="AF48"/>
    </sheetView>
  </sheetViews>
  <sheetFormatPr defaultColWidth="8.81640625" defaultRowHeight="16.5"/>
  <cols>
    <col min="1" max="1" width="4.6328125" style="40" customWidth="1"/>
    <col min="2" max="2" width="5.6328125" style="40" customWidth="1"/>
    <col min="3" max="3" width="36.36328125" style="40" customWidth="1"/>
    <col min="4" max="4" width="16.54296875" style="40" customWidth="1"/>
    <col min="5" max="5" width="8.81640625" style="40"/>
    <col min="6" max="6" width="14.6328125" style="40" customWidth="1"/>
    <col min="7" max="7" width="16.36328125" style="40" customWidth="1"/>
    <col min="8" max="22" width="14.6328125" style="40" customWidth="1"/>
    <col min="23" max="25" width="13.54296875" style="40" customWidth="1"/>
    <col min="26" max="27" width="13.08984375" style="40" customWidth="1"/>
    <col min="28" max="16384" width="8.81640625" style="40"/>
  </cols>
  <sheetData>
    <row r="1" spans="2:28" ht="9" customHeight="1"/>
    <row r="2" spans="2:28" ht="23.5" customHeight="1">
      <c r="B2" s="41" t="s">
        <v>521</v>
      </c>
    </row>
    <row r="3" spans="2:28">
      <c r="B3" s="337" t="s">
        <v>14</v>
      </c>
      <c r="C3" s="337" t="s">
        <v>320</v>
      </c>
      <c r="D3" s="337" t="s">
        <v>308</v>
      </c>
      <c r="E3" s="337" t="s">
        <v>39</v>
      </c>
      <c r="F3" s="324" t="s">
        <v>43</v>
      </c>
      <c r="G3" s="324"/>
      <c r="H3" s="325" t="s">
        <v>54</v>
      </c>
      <c r="I3" s="325"/>
      <c r="J3" s="325"/>
      <c r="K3" s="325"/>
      <c r="L3" s="325"/>
      <c r="M3" s="325"/>
      <c r="N3" s="325"/>
      <c r="O3" s="325"/>
      <c r="P3" s="325"/>
      <c r="Q3" s="325"/>
      <c r="R3" s="325"/>
      <c r="S3" s="325"/>
      <c r="T3" s="325"/>
      <c r="U3" s="325"/>
      <c r="V3" s="325"/>
      <c r="W3" s="325"/>
      <c r="X3" s="325"/>
      <c r="Y3" s="325"/>
      <c r="Z3" s="325"/>
      <c r="AA3" s="325"/>
    </row>
    <row r="4" spans="2:28">
      <c r="B4" s="338"/>
      <c r="C4" s="338"/>
      <c r="D4" s="338"/>
      <c r="E4" s="338"/>
      <c r="F4" s="42">
        <v>1</v>
      </c>
      <c r="G4" s="42">
        <v>2</v>
      </c>
      <c r="H4" s="43">
        <v>1</v>
      </c>
      <c r="I4" s="43">
        <v>2</v>
      </c>
      <c r="J4" s="43">
        <v>3</v>
      </c>
      <c r="K4" s="43">
        <v>4</v>
      </c>
      <c r="L4" s="43">
        <v>5</v>
      </c>
      <c r="M4" s="43">
        <v>6</v>
      </c>
      <c r="N4" s="43">
        <v>7</v>
      </c>
      <c r="O4" s="43">
        <v>8</v>
      </c>
      <c r="P4" s="43">
        <v>9</v>
      </c>
      <c r="Q4" s="43">
        <v>10</v>
      </c>
      <c r="R4" s="43">
        <v>11</v>
      </c>
      <c r="S4" s="43">
        <v>12</v>
      </c>
      <c r="T4" s="43">
        <v>13</v>
      </c>
      <c r="U4" s="43">
        <v>14</v>
      </c>
      <c r="V4" s="43">
        <v>15</v>
      </c>
      <c r="W4" s="43">
        <v>16</v>
      </c>
      <c r="X4" s="43">
        <v>17</v>
      </c>
      <c r="Y4" s="43">
        <v>18</v>
      </c>
      <c r="Z4" s="43">
        <v>19</v>
      </c>
      <c r="AA4" s="43">
        <v>20</v>
      </c>
    </row>
    <row r="5" spans="2:28">
      <c r="B5" s="44">
        <v>1</v>
      </c>
      <c r="C5" s="45" t="s">
        <v>522</v>
      </c>
      <c r="D5" s="46">
        <f ca="1">SUM(F5:AA5)</f>
        <v>43449.41354318463</v>
      </c>
      <c r="E5" s="47" t="s">
        <v>106</v>
      </c>
      <c r="F5" s="48">
        <f t="shared" ref="F5:AA5" si="0">F6-F12</f>
        <v>0</v>
      </c>
      <c r="G5" s="48">
        <f t="shared" si="0"/>
        <v>0</v>
      </c>
      <c r="H5" s="48">
        <f t="shared" ca="1" si="0"/>
        <v>2677.542608130942</v>
      </c>
      <c r="I5" s="48">
        <f t="shared" ca="1" si="0"/>
        <v>2677.542608130942</v>
      </c>
      <c r="J5" s="48">
        <f t="shared" ca="1" si="0"/>
        <v>2677.542608130942</v>
      </c>
      <c r="K5" s="48">
        <f t="shared" ca="1" si="0"/>
        <v>2637.3570193140099</v>
      </c>
      <c r="L5" s="48">
        <f t="shared" ca="1" si="0"/>
        <v>2631.4164208731968</v>
      </c>
      <c r="M5" s="48">
        <f t="shared" ca="1" si="0"/>
        <v>2551.7507261913124</v>
      </c>
      <c r="N5" s="48">
        <f t="shared" ca="1" si="0"/>
        <v>2341.7003828979105</v>
      </c>
      <c r="O5" s="48">
        <f t="shared" ca="1" si="0"/>
        <v>2226.1894069101854</v>
      </c>
      <c r="P5" s="48">
        <f t="shared" ca="1" si="0"/>
        <v>2214.3082100285592</v>
      </c>
      <c r="Q5" s="48">
        <f t="shared" ca="1" si="0"/>
        <v>2202.4270131469334</v>
      </c>
      <c r="R5" s="48">
        <f t="shared" ca="1" si="0"/>
        <v>2157.3000800059422</v>
      </c>
      <c r="S5" s="48">
        <f t="shared" ca="1" si="0"/>
        <v>2105.9356972836076</v>
      </c>
      <c r="T5" s="48">
        <f t="shared" ca="1" si="0"/>
        <v>2094.0545004019814</v>
      </c>
      <c r="U5" s="48">
        <f t="shared" ca="1" si="0"/>
        <v>2082.1733035203551</v>
      </c>
      <c r="V5" s="48">
        <f t="shared" ca="1" si="0"/>
        <v>2070.2921066387294</v>
      </c>
      <c r="W5" s="48">
        <f t="shared" ca="1" si="0"/>
        <v>1620.3761703158129</v>
      </c>
      <c r="X5" s="48">
        <f t="shared" ca="1" si="0"/>
        <v>1620.3761703158129</v>
      </c>
      <c r="Y5" s="48">
        <f t="shared" ca="1" si="0"/>
        <v>1620.3761703158129</v>
      </c>
      <c r="Z5" s="48">
        <f t="shared" ca="1" si="0"/>
        <v>1620.3761703158129</v>
      </c>
      <c r="AA5" s="48">
        <f t="shared" ca="1" si="0"/>
        <v>1620.3761703158129</v>
      </c>
    </row>
    <row r="6" spans="2:28">
      <c r="B6" s="47">
        <v>1.1000000000000001</v>
      </c>
      <c r="C6" s="49" t="s">
        <v>480</v>
      </c>
      <c r="D6" s="50">
        <f ca="1">SUM(F6:AA6)</f>
        <v>65707.304005577811</v>
      </c>
      <c r="E6" s="47" t="s">
        <v>106</v>
      </c>
      <c r="F6" s="51">
        <f t="shared" ref="F6:AA6" si="1">SUM(F7:F11)</f>
        <v>0</v>
      </c>
      <c r="G6" s="50">
        <f t="shared" si="1"/>
        <v>0</v>
      </c>
      <c r="H6" s="50">
        <f t="shared" ca="1" si="1"/>
        <v>3143.4527772400002</v>
      </c>
      <c r="I6" s="50">
        <f t="shared" ca="1" si="1"/>
        <v>3143.4527772400002</v>
      </c>
      <c r="J6" s="50">
        <f t="shared" ca="1" si="1"/>
        <v>3143.4527772400002</v>
      </c>
      <c r="K6" s="50">
        <f t="shared" ca="1" si="1"/>
        <v>3143.4527772400002</v>
      </c>
      <c r="L6" s="50">
        <f t="shared" ca="1" si="1"/>
        <v>3143.4527772400002</v>
      </c>
      <c r="M6" s="50">
        <f t="shared" ca="1" si="1"/>
        <v>3169.1956663440001</v>
      </c>
      <c r="N6" s="50">
        <f t="shared" ca="1" si="1"/>
        <v>3279.0261551098783</v>
      </c>
      <c r="O6" s="50">
        <f t="shared" ca="1" si="1"/>
        <v>3351.4945321071505</v>
      </c>
      <c r="P6" s="50">
        <f t="shared" ca="1" si="1"/>
        <v>3351.4945321071505</v>
      </c>
      <c r="Q6" s="50">
        <f t="shared" ca="1" si="1"/>
        <v>3351.4945321071505</v>
      </c>
      <c r="R6" s="50">
        <f t="shared" ca="1" si="1"/>
        <v>3323.883912638124</v>
      </c>
      <c r="S6" s="50">
        <f t="shared" ca="1" si="1"/>
        <v>3351.4945321071505</v>
      </c>
      <c r="T6" s="50">
        <f t="shared" ca="1" si="1"/>
        <v>3351.4945321071505</v>
      </c>
      <c r="U6" s="50">
        <f t="shared" ca="1" si="1"/>
        <v>3351.4945321071505</v>
      </c>
      <c r="V6" s="50">
        <f t="shared" ca="1" si="1"/>
        <v>3351.4945321071505</v>
      </c>
      <c r="W6" s="50">
        <f t="shared" ca="1" si="1"/>
        <v>3351.4945321071505</v>
      </c>
      <c r="X6" s="50">
        <f t="shared" ca="1" si="1"/>
        <v>3351.4945321071505</v>
      </c>
      <c r="Y6" s="50">
        <f t="shared" ca="1" si="1"/>
        <v>3351.4945321071505</v>
      </c>
      <c r="Z6" s="50">
        <f t="shared" ca="1" si="1"/>
        <v>3351.4945321071505</v>
      </c>
      <c r="AA6" s="50">
        <f t="shared" ca="1" si="1"/>
        <v>3351.4945321071505</v>
      </c>
    </row>
    <row r="7" spans="2:28">
      <c r="B7" s="47"/>
      <c r="C7" s="52" t="s">
        <v>523</v>
      </c>
      <c r="D7" s="50">
        <f t="shared" ref="D7:D33" si="2">SUM(F7:AA7)</f>
        <v>63255.198881359996</v>
      </c>
      <c r="E7" s="47" t="s">
        <v>106</v>
      </c>
      <c r="F7" s="51"/>
      <c r="G7" s="50"/>
      <c r="H7" s="50">
        <f>'表6-现金流量表-资本金'!H7</f>
        <v>3143.4527772400002</v>
      </c>
      <c r="I7" s="50">
        <f>'表6-现金流量表-资本金'!I7</f>
        <v>3143.4527772400002</v>
      </c>
      <c r="J7" s="50">
        <f>'表6-现金流量表-资本金'!J7</f>
        <v>3143.4527772400002</v>
      </c>
      <c r="K7" s="50">
        <f>'表6-现金流量表-资本金'!K7</f>
        <v>3143.4527772400002</v>
      </c>
      <c r="L7" s="50">
        <f>'表6-现金流量表-资本金'!L7</f>
        <v>3143.4527772400002</v>
      </c>
      <c r="M7" s="50">
        <f>'表6-现金流量表-资本金'!M7</f>
        <v>3169.1956663440001</v>
      </c>
      <c r="N7" s="50">
        <f>'表6-现金流量表-资本金'!N7</f>
        <v>3169.1956663440001</v>
      </c>
      <c r="O7" s="50">
        <f>'表6-现金流量表-资本金'!O7</f>
        <v>3169.1956663440001</v>
      </c>
      <c r="P7" s="50">
        <f>'表6-现金流量表-资本金'!P7</f>
        <v>3169.1956663440001</v>
      </c>
      <c r="Q7" s="50">
        <f>'表6-现金流量表-资本金'!Q7</f>
        <v>3169.1956663440001</v>
      </c>
      <c r="R7" s="50">
        <f>'表6-现金流量表-资本金'!R7</f>
        <v>3169.1956663440001</v>
      </c>
      <c r="S7" s="50">
        <f>'表6-现金流量表-资本金'!S7</f>
        <v>3169.1956663440001</v>
      </c>
      <c r="T7" s="50">
        <f>'表6-现金流量表-资本金'!T7</f>
        <v>3169.1956663440001</v>
      </c>
      <c r="U7" s="50">
        <f>'表6-现金流量表-资本金'!U7</f>
        <v>3169.1956663440001</v>
      </c>
      <c r="V7" s="50">
        <f>'表6-现金流量表-资本金'!V7</f>
        <v>3169.1956663440001</v>
      </c>
      <c r="W7" s="50">
        <f>'表6-现金流量表-资本金'!W7</f>
        <v>3169.1956663440001</v>
      </c>
      <c r="X7" s="50">
        <f>'表6-现金流量表-资本金'!X7</f>
        <v>3169.1956663440001</v>
      </c>
      <c r="Y7" s="50">
        <f>'表6-现金流量表-资本金'!Y7</f>
        <v>3169.1956663440001</v>
      </c>
      <c r="Z7" s="50">
        <f>'表6-现金流量表-资本金'!Z7</f>
        <v>3169.1956663440001</v>
      </c>
      <c r="AA7" s="50">
        <f>'表6-现金流量表-资本金'!AA7</f>
        <v>3169.1956663440001</v>
      </c>
    </row>
    <row r="8" spans="2:28">
      <c r="B8" s="47"/>
      <c r="C8" s="52" t="s">
        <v>259</v>
      </c>
      <c r="D8" s="50">
        <f t="shared" si="2"/>
        <v>0</v>
      </c>
      <c r="E8" s="47" t="s">
        <v>106</v>
      </c>
      <c r="F8" s="51"/>
      <c r="G8" s="50"/>
      <c r="H8" s="50">
        <f>'表6-现金流量表-资本金'!H8</f>
        <v>0</v>
      </c>
      <c r="I8" s="50">
        <f>'表6-现金流量表-资本金'!I8</f>
        <v>0</v>
      </c>
      <c r="J8" s="50">
        <f>'表6-现金流量表-资本金'!J8</f>
        <v>0</v>
      </c>
      <c r="K8" s="50">
        <f>'表6-现金流量表-资本金'!K8</f>
        <v>0</v>
      </c>
      <c r="L8" s="50">
        <f>'表6-现金流量表-资本金'!L8</f>
        <v>0</v>
      </c>
      <c r="M8" s="50">
        <f>'表6-现金流量表-资本金'!M8</f>
        <v>0</v>
      </c>
      <c r="N8" s="50">
        <f>'表6-现金流量表-资本金'!N8</f>
        <v>0</v>
      </c>
      <c r="O8" s="50">
        <f>'表6-现金流量表-资本金'!O8</f>
        <v>0</v>
      </c>
      <c r="P8" s="50">
        <f>'表6-现金流量表-资本金'!P8</f>
        <v>0</v>
      </c>
      <c r="Q8" s="50">
        <f>'表6-现金流量表-资本金'!Q8</f>
        <v>0</v>
      </c>
      <c r="R8" s="50">
        <f>'表6-现金流量表-资本金'!R8</f>
        <v>0</v>
      </c>
      <c r="S8" s="50">
        <f>'表6-现金流量表-资本金'!S8</f>
        <v>0</v>
      </c>
      <c r="T8" s="50">
        <f>'表6-现金流量表-资本金'!T8</f>
        <v>0</v>
      </c>
      <c r="U8" s="50">
        <f>'表6-现金流量表-资本金'!U8</f>
        <v>0</v>
      </c>
      <c r="V8" s="50">
        <f>'表6-现金流量表-资本金'!V8</f>
        <v>0</v>
      </c>
      <c r="W8" s="50">
        <f>'表6-现金流量表-资本金'!W8</f>
        <v>0</v>
      </c>
      <c r="X8" s="50">
        <f>'表6-现金流量表-资本金'!X8</f>
        <v>0</v>
      </c>
      <c r="Y8" s="50">
        <f>'表6-现金流量表-资本金'!Y8</f>
        <v>0</v>
      </c>
      <c r="Z8" s="50">
        <f>'表6-现金流量表-资本金'!Z8</f>
        <v>0</v>
      </c>
      <c r="AA8" s="50">
        <f>'表6-现金流量表-资本金'!AA8</f>
        <v>0</v>
      </c>
    </row>
    <row r="9" spans="2:28" s="38" customFormat="1">
      <c r="B9" s="53"/>
      <c r="C9" s="54" t="s">
        <v>482</v>
      </c>
      <c r="D9" s="55">
        <f t="shared" si="2"/>
        <v>0</v>
      </c>
      <c r="E9" s="53" t="s">
        <v>106</v>
      </c>
      <c r="F9" s="56"/>
      <c r="G9" s="55"/>
      <c r="H9" s="55"/>
      <c r="I9" s="55"/>
      <c r="J9" s="55"/>
      <c r="K9" s="55"/>
      <c r="L9" s="55"/>
      <c r="M9" s="55"/>
      <c r="N9" s="55"/>
      <c r="O9" s="55"/>
      <c r="P9" s="55"/>
      <c r="Q9" s="55"/>
      <c r="R9" s="55"/>
      <c r="S9" s="55"/>
      <c r="T9" s="55"/>
      <c r="U9" s="55"/>
      <c r="V9" s="55"/>
      <c r="W9" s="55"/>
      <c r="X9" s="55"/>
      <c r="Y9" s="55"/>
      <c r="Z9" s="55"/>
      <c r="AA9" s="55"/>
      <c r="AB9" s="38" t="s">
        <v>524</v>
      </c>
    </row>
    <row r="10" spans="2:28">
      <c r="B10" s="47"/>
      <c r="C10" s="52" t="s">
        <v>413</v>
      </c>
      <c r="D10" s="50">
        <f t="shared" si="2"/>
        <v>0</v>
      </c>
      <c r="E10" s="47" t="s">
        <v>106</v>
      </c>
      <c r="F10" s="51"/>
      <c r="G10" s="50"/>
      <c r="H10" s="50">
        <f>参数输入表!H244</f>
        <v>0</v>
      </c>
      <c r="I10" s="50"/>
      <c r="J10" s="50"/>
      <c r="K10" s="50"/>
      <c r="L10" s="50"/>
      <c r="M10" s="50"/>
      <c r="N10" s="50"/>
      <c r="O10" s="50"/>
      <c r="P10" s="50"/>
      <c r="Q10" s="50"/>
      <c r="R10" s="50"/>
      <c r="S10" s="50"/>
      <c r="T10" s="50"/>
      <c r="U10" s="50"/>
      <c r="V10" s="50"/>
      <c r="W10" s="50"/>
      <c r="X10" s="50"/>
      <c r="Y10" s="50"/>
      <c r="Z10" s="50"/>
      <c r="AA10" s="50"/>
    </row>
    <row r="11" spans="2:28">
      <c r="B11" s="47"/>
      <c r="C11" s="52" t="s">
        <v>414</v>
      </c>
      <c r="D11" s="50">
        <f t="shared" ca="1" si="2"/>
        <v>2452.1051242178078</v>
      </c>
      <c r="E11" s="47" t="s">
        <v>106</v>
      </c>
      <c r="F11" s="51"/>
      <c r="G11" s="50"/>
      <c r="H11" s="50">
        <f ca="1">'表4-收入税金表'!H19</f>
        <v>0</v>
      </c>
      <c r="I11" s="50">
        <f ca="1">'表4-收入税金表'!I19</f>
        <v>0</v>
      </c>
      <c r="J11" s="50">
        <f ca="1">'表4-收入税金表'!J19</f>
        <v>0</v>
      </c>
      <c r="K11" s="50">
        <f ca="1">'表4-收入税金表'!K19</f>
        <v>0</v>
      </c>
      <c r="L11" s="50">
        <f ca="1">'表4-收入税金表'!L19</f>
        <v>0</v>
      </c>
      <c r="M11" s="50">
        <f ca="1">'表4-收入税金表'!M19</f>
        <v>0</v>
      </c>
      <c r="N11" s="50">
        <f ca="1">'表4-收入税金表'!N19</f>
        <v>109.83048876587841</v>
      </c>
      <c r="O11" s="50">
        <f ca="1">'表4-收入税金表'!O19</f>
        <v>182.2988657631505</v>
      </c>
      <c r="P11" s="50">
        <f ca="1">'表4-收入税金表'!P19</f>
        <v>182.2988657631505</v>
      </c>
      <c r="Q11" s="50">
        <f ca="1">'表4-收入税金表'!Q19</f>
        <v>182.2988657631505</v>
      </c>
      <c r="R11" s="50">
        <f ca="1">'表4-收入税金表'!R19</f>
        <v>154.68824629412396</v>
      </c>
      <c r="S11" s="50">
        <f ca="1">'表4-收入税金表'!S19</f>
        <v>182.2988657631505</v>
      </c>
      <c r="T11" s="50">
        <f ca="1">'表4-收入税金表'!T19</f>
        <v>182.2988657631505</v>
      </c>
      <c r="U11" s="50">
        <f ca="1">'表4-收入税金表'!U19</f>
        <v>182.2988657631505</v>
      </c>
      <c r="V11" s="50">
        <f ca="1">'表4-收入税金表'!V19</f>
        <v>182.2988657631505</v>
      </c>
      <c r="W11" s="50">
        <f ca="1">'表4-收入税金表'!W19</f>
        <v>182.2988657631505</v>
      </c>
      <c r="X11" s="50">
        <f ca="1">'表4-收入税金表'!X19</f>
        <v>182.2988657631505</v>
      </c>
      <c r="Y11" s="50">
        <f ca="1">'表4-收入税金表'!Y19</f>
        <v>182.2988657631505</v>
      </c>
      <c r="Z11" s="50">
        <f ca="1">'表4-收入税金表'!Z19</f>
        <v>182.2988657631505</v>
      </c>
      <c r="AA11" s="50">
        <f ca="1">'表4-收入税金表'!AA19</f>
        <v>182.2988657631505</v>
      </c>
    </row>
    <row r="12" spans="2:28">
      <c r="B12" s="47">
        <v>1.2</v>
      </c>
      <c r="C12" s="49" t="s">
        <v>483</v>
      </c>
      <c r="D12" s="50">
        <f t="shared" ca="1" si="2"/>
        <v>22257.890462393196</v>
      </c>
      <c r="E12" s="47" t="s">
        <v>106</v>
      </c>
      <c r="F12" s="51">
        <f>SUM(F13:F16)</f>
        <v>0</v>
      </c>
      <c r="G12" s="51">
        <f t="shared" ref="G12:AA12" si="3">SUM(G13:G16)</f>
        <v>0</v>
      </c>
      <c r="H12" s="51">
        <f t="shared" ca="1" si="3"/>
        <v>465.9101691090583</v>
      </c>
      <c r="I12" s="51">
        <f t="shared" ca="1" si="3"/>
        <v>465.9101691090583</v>
      </c>
      <c r="J12" s="51">
        <f t="shared" ca="1" si="3"/>
        <v>465.9101691090583</v>
      </c>
      <c r="K12" s="51">
        <f t="shared" ca="1" si="3"/>
        <v>506.09575792599026</v>
      </c>
      <c r="L12" s="51">
        <f t="shared" ca="1" si="3"/>
        <v>512.03635636680337</v>
      </c>
      <c r="M12" s="51">
        <f t="shared" ca="1" si="3"/>
        <v>617.44494015268765</v>
      </c>
      <c r="N12" s="51">
        <f t="shared" ca="1" si="3"/>
        <v>937.32577221196777</v>
      </c>
      <c r="O12" s="51">
        <f t="shared" ca="1" si="3"/>
        <v>1125.305125196965</v>
      </c>
      <c r="P12" s="51">
        <f t="shared" ca="1" si="3"/>
        <v>1137.186322078591</v>
      </c>
      <c r="Q12" s="51">
        <f t="shared" ca="1" si="3"/>
        <v>1149.0675189602171</v>
      </c>
      <c r="R12" s="51">
        <f t="shared" ca="1" si="3"/>
        <v>1166.5838326321818</v>
      </c>
      <c r="S12" s="51">
        <f t="shared" ca="1" si="3"/>
        <v>1245.5588348235428</v>
      </c>
      <c r="T12" s="51">
        <f t="shared" ca="1" si="3"/>
        <v>1257.4400317051688</v>
      </c>
      <c r="U12" s="51">
        <f t="shared" ca="1" si="3"/>
        <v>1269.3212285867951</v>
      </c>
      <c r="V12" s="51">
        <f t="shared" ca="1" si="3"/>
        <v>1281.2024254684211</v>
      </c>
      <c r="W12" s="51">
        <f t="shared" ca="1" si="3"/>
        <v>1731.1183617913375</v>
      </c>
      <c r="X12" s="51">
        <f t="shared" ca="1" si="3"/>
        <v>1731.1183617913375</v>
      </c>
      <c r="Y12" s="51">
        <f t="shared" ca="1" si="3"/>
        <v>1731.1183617913375</v>
      </c>
      <c r="Z12" s="51">
        <f t="shared" ca="1" si="3"/>
        <v>1731.1183617913375</v>
      </c>
      <c r="AA12" s="51">
        <f t="shared" ca="1" si="3"/>
        <v>1731.1183617913375</v>
      </c>
    </row>
    <row r="13" spans="2:28">
      <c r="B13" s="47"/>
      <c r="C13" s="52" t="s">
        <v>492</v>
      </c>
      <c r="D13" s="50">
        <f t="shared" ca="1" si="2"/>
        <v>12630.900089192952</v>
      </c>
      <c r="E13" s="47" t="s">
        <v>106</v>
      </c>
      <c r="F13" s="51"/>
      <c r="G13" s="50"/>
      <c r="H13" s="50">
        <f ca="1">'表3-成本费用表'!H48</f>
        <v>465.9101691090583</v>
      </c>
      <c r="I13" s="50">
        <f ca="1">'表3-成本费用表'!I48</f>
        <v>465.9101691090583</v>
      </c>
      <c r="J13" s="50">
        <f ca="1">'表3-成本费用表'!J48</f>
        <v>465.9101691090583</v>
      </c>
      <c r="K13" s="50">
        <f ca="1">'表3-成本费用表'!K48</f>
        <v>465.9101691090583</v>
      </c>
      <c r="L13" s="50">
        <f ca="1">'表3-成本费用表'!L48</f>
        <v>465.9101691090583</v>
      </c>
      <c r="M13" s="50">
        <f ca="1">'表3-成本费用表'!M48</f>
        <v>576.33339267611825</v>
      </c>
      <c r="N13" s="50">
        <f ca="1">'表3-成本费用表'!N48</f>
        <v>576.33339267611825</v>
      </c>
      <c r="O13" s="50">
        <f ca="1">'表3-成本费用表'!O48</f>
        <v>576.33339267611825</v>
      </c>
      <c r="P13" s="50">
        <f ca="1">'表3-成本费用表'!P48</f>
        <v>576.33339267611825</v>
      </c>
      <c r="Q13" s="50">
        <f ca="1">'表3-成本费用表'!Q48</f>
        <v>576.33339267611825</v>
      </c>
      <c r="R13" s="50">
        <f ca="1">'表3-成本费用表'!R48</f>
        <v>686.75661624317729</v>
      </c>
      <c r="S13" s="50">
        <f ca="1">'表3-成本费用表'!S48</f>
        <v>686.75661624317729</v>
      </c>
      <c r="T13" s="50">
        <f ca="1">'表3-成本费用表'!T48</f>
        <v>686.75661624317729</v>
      </c>
      <c r="U13" s="50">
        <f ca="1">'表3-成本费用表'!U48</f>
        <v>686.75661624317729</v>
      </c>
      <c r="V13" s="50">
        <f ca="1">'表3-成本费用表'!V48</f>
        <v>686.75661624317729</v>
      </c>
      <c r="W13" s="50">
        <f ca="1">'表3-成本费用表'!W48</f>
        <v>797.17983981023724</v>
      </c>
      <c r="X13" s="50">
        <f ca="1">'表3-成本费用表'!X48</f>
        <v>797.17983981023724</v>
      </c>
      <c r="Y13" s="50">
        <f ca="1">'表3-成本费用表'!Y48</f>
        <v>797.17983981023724</v>
      </c>
      <c r="Z13" s="50">
        <f ca="1">'表3-成本费用表'!Z48</f>
        <v>797.17983981023724</v>
      </c>
      <c r="AA13" s="50">
        <f ca="1">'表3-成本费用表'!AA48</f>
        <v>797.17983981023724</v>
      </c>
    </row>
    <row r="14" spans="2:28">
      <c r="B14" s="47"/>
      <c r="C14" s="52" t="s">
        <v>525</v>
      </c>
      <c r="D14" s="50">
        <f t="shared" ca="1" si="2"/>
        <v>4904.2102484356155</v>
      </c>
      <c r="E14" s="47" t="s">
        <v>106</v>
      </c>
      <c r="F14" s="51"/>
      <c r="G14" s="50"/>
      <c r="H14" s="50">
        <f ca="1">'表4-收入税金表'!H22</f>
        <v>0</v>
      </c>
      <c r="I14" s="50">
        <f ca="1">'表4-收入税金表'!I22</f>
        <v>0</v>
      </c>
      <c r="J14" s="50">
        <f ca="1">'表4-收入税金表'!J22</f>
        <v>0</v>
      </c>
      <c r="K14" s="50">
        <f ca="1">'表4-收入税金表'!K22</f>
        <v>0</v>
      </c>
      <c r="L14" s="50">
        <f ca="1">'表4-收入税金表'!L22</f>
        <v>0</v>
      </c>
      <c r="M14" s="50">
        <f ca="1">'表4-收入税金表'!M22</f>
        <v>0</v>
      </c>
      <c r="N14" s="50">
        <f ca="1">'表4-收入税金表'!N22</f>
        <v>219.66097753175683</v>
      </c>
      <c r="O14" s="50">
        <f ca="1">'表4-收入税金表'!O22</f>
        <v>364.597731526301</v>
      </c>
      <c r="P14" s="50">
        <f ca="1">'表4-收入税金表'!P22</f>
        <v>364.597731526301</v>
      </c>
      <c r="Q14" s="50">
        <f ca="1">'表4-收入税金表'!Q22</f>
        <v>364.597731526301</v>
      </c>
      <c r="R14" s="50">
        <f ca="1">'表4-收入税金表'!R22</f>
        <v>309.37649258824791</v>
      </c>
      <c r="S14" s="50">
        <f ca="1">'表4-收入税金表'!S22</f>
        <v>364.597731526301</v>
      </c>
      <c r="T14" s="50">
        <f ca="1">'表4-收入税金表'!T22</f>
        <v>364.597731526301</v>
      </c>
      <c r="U14" s="50">
        <f ca="1">'表4-收入税金表'!U22</f>
        <v>364.597731526301</v>
      </c>
      <c r="V14" s="50">
        <f ca="1">'表4-收入税金表'!V22</f>
        <v>364.597731526301</v>
      </c>
      <c r="W14" s="50">
        <f ca="1">'表4-收入税金表'!W22</f>
        <v>364.597731526301</v>
      </c>
      <c r="X14" s="50">
        <f ca="1">'表4-收入税金表'!X22</f>
        <v>364.597731526301</v>
      </c>
      <c r="Y14" s="50">
        <f ca="1">'表4-收入税金表'!Y22</f>
        <v>364.597731526301</v>
      </c>
      <c r="Z14" s="50">
        <f ca="1">'表4-收入税金表'!Z22</f>
        <v>364.597731526301</v>
      </c>
      <c r="AA14" s="50">
        <f ca="1">'表4-收入税金表'!AA22</f>
        <v>364.597731526301</v>
      </c>
    </row>
    <row r="15" spans="2:28">
      <c r="B15" s="47"/>
      <c r="C15" s="52" t="s">
        <v>526</v>
      </c>
      <c r="D15" s="50">
        <f t="shared" ca="1" si="2"/>
        <v>588.50522981227414</v>
      </c>
      <c r="E15" s="47" t="s">
        <v>106</v>
      </c>
      <c r="F15" s="51"/>
      <c r="G15" s="50"/>
      <c r="H15" s="50">
        <f ca="1">'表4-收入税金表'!H46+'表4-收入税金表'!H50</f>
        <v>0</v>
      </c>
      <c r="I15" s="50">
        <f ca="1">'表4-收入税金表'!I46+'表4-收入税金表'!I50</f>
        <v>0</v>
      </c>
      <c r="J15" s="50">
        <f ca="1">'表4-收入税金表'!J46+'表4-收入税金表'!J50</f>
        <v>0</v>
      </c>
      <c r="K15" s="50">
        <f ca="1">'表4-收入税金表'!K46+'表4-收入税金表'!K50</f>
        <v>0</v>
      </c>
      <c r="L15" s="50">
        <f ca="1">'表4-收入税金表'!L46+'表4-收入税金表'!L50</f>
        <v>0</v>
      </c>
      <c r="M15" s="50">
        <f ca="1">'表4-收入税金表'!M46+'表4-收入税金表'!M50</f>
        <v>0</v>
      </c>
      <c r="N15" s="50">
        <f ca="1">'表4-收入税金表'!N46+'表4-收入税金表'!N50</f>
        <v>26.359317303810823</v>
      </c>
      <c r="O15" s="50">
        <f ca="1">'表4-收入税金表'!O46+'表4-收入税金表'!O50</f>
        <v>43.751727783156127</v>
      </c>
      <c r="P15" s="50">
        <f ca="1">'表4-收入税金表'!P46+'表4-收入税金表'!P50</f>
        <v>43.751727783156127</v>
      </c>
      <c r="Q15" s="50">
        <f ca="1">'表4-收入税金表'!Q46+'表4-收入税金表'!Q50</f>
        <v>43.751727783156127</v>
      </c>
      <c r="R15" s="50">
        <f ca="1">'表4-收入税金表'!R46+'表4-收入税金表'!R50</f>
        <v>37.125179110589748</v>
      </c>
      <c r="S15" s="50">
        <f ca="1">'表4-收入税金表'!S46+'表4-收入税金表'!S50</f>
        <v>43.751727783156127</v>
      </c>
      <c r="T15" s="50">
        <f ca="1">'表4-收入税金表'!T46+'表4-收入税金表'!T50</f>
        <v>43.751727783156127</v>
      </c>
      <c r="U15" s="50">
        <f ca="1">'表4-收入税金表'!U46+'表4-收入税金表'!U50</f>
        <v>43.751727783156127</v>
      </c>
      <c r="V15" s="50">
        <f ca="1">'表4-收入税金表'!V46+'表4-收入税金表'!V50</f>
        <v>43.751727783156127</v>
      </c>
      <c r="W15" s="50">
        <f ca="1">'表4-收入税金表'!W46+'表4-收入税金表'!W50</f>
        <v>43.751727783156127</v>
      </c>
      <c r="X15" s="50">
        <f ca="1">'表4-收入税金表'!X46+'表4-收入税金表'!X50</f>
        <v>43.751727783156127</v>
      </c>
      <c r="Y15" s="50">
        <f ca="1">'表4-收入税金表'!Y46+'表4-收入税金表'!Y50</f>
        <v>43.751727783156127</v>
      </c>
      <c r="Z15" s="50">
        <f ca="1">'表4-收入税金表'!Z46+'表4-收入税金表'!Z50</f>
        <v>43.751727783156127</v>
      </c>
      <c r="AA15" s="50">
        <f ca="1">'表4-收入税金表'!AA46+'表4-收入税金表'!AA50</f>
        <v>43.751727783156127</v>
      </c>
    </row>
    <row r="16" spans="2:28">
      <c r="B16" s="47"/>
      <c r="C16" s="52" t="s">
        <v>463</v>
      </c>
      <c r="D16" s="50">
        <f t="shared" ca="1" si="2"/>
        <v>4134.2748949523475</v>
      </c>
      <c r="E16" s="47" t="s">
        <v>106</v>
      </c>
      <c r="F16" s="51"/>
      <c r="G16" s="50"/>
      <c r="H16" s="50">
        <f>'表5-利润表-资本金'!H22</f>
        <v>0</v>
      </c>
      <c r="I16" s="50">
        <f>'表5-利润表-资本金'!I22</f>
        <v>0</v>
      </c>
      <c r="J16" s="50">
        <f>'表5-利润表-资本金'!J22</f>
        <v>0</v>
      </c>
      <c r="K16" s="50">
        <f ca="1">'表5-利润表-资本金'!K22</f>
        <v>40.185588816931954</v>
      </c>
      <c r="L16" s="50">
        <f ca="1">'表5-利润表-资本金'!L22</f>
        <v>46.126187257745016</v>
      </c>
      <c r="M16" s="50">
        <f ca="1">'表5-利润表-资本金'!M22</f>
        <v>41.111547476569342</v>
      </c>
      <c r="N16" s="50">
        <f ca="1">'表5-利润表-资本金'!N22</f>
        <v>114.97208470028178</v>
      </c>
      <c r="O16" s="50">
        <f ca="1">'表5-利润表-资本金'!O22</f>
        <v>140.6222732113896</v>
      </c>
      <c r="P16" s="50">
        <f ca="1">'表5-利润表-资本金'!P22</f>
        <v>152.50347009301572</v>
      </c>
      <c r="Q16" s="50">
        <f ca="1">'表5-利润表-资本金'!Q22</f>
        <v>164.38466697464185</v>
      </c>
      <c r="R16" s="50">
        <f ca="1">'表5-利润表-资本金'!R22</f>
        <v>133.32554469016699</v>
      </c>
      <c r="S16" s="50">
        <f ca="1">'表5-利润表-资本金'!S22</f>
        <v>150.45275927090813</v>
      </c>
      <c r="T16" s="50">
        <f ca="1">'表5-利润表-资本金'!T22</f>
        <v>162.33395615253426</v>
      </c>
      <c r="U16" s="50">
        <f ca="1">'表5-利润表-资本金'!U22</f>
        <v>174.21515303416049</v>
      </c>
      <c r="V16" s="50">
        <f ca="1">'表5-利润表-资本金'!V22</f>
        <v>186.09634991578662</v>
      </c>
      <c r="W16" s="50">
        <f ca="1">'表5-利润表-资本金'!W22</f>
        <v>525.58906267164309</v>
      </c>
      <c r="X16" s="50">
        <f ca="1">'表5-利润表-资本金'!X22</f>
        <v>525.58906267164309</v>
      </c>
      <c r="Y16" s="50">
        <f ca="1">'表5-利润表-资本金'!Y22</f>
        <v>525.58906267164309</v>
      </c>
      <c r="Z16" s="50">
        <f ca="1">'表5-利润表-资本金'!Z22</f>
        <v>525.58906267164309</v>
      </c>
      <c r="AA16" s="50">
        <f ca="1">'表5-利润表-资本金'!AA22</f>
        <v>525.58906267164309</v>
      </c>
    </row>
    <row r="17" spans="2:27">
      <c r="B17" s="44">
        <v>2</v>
      </c>
      <c r="C17" s="45" t="s">
        <v>527</v>
      </c>
      <c r="D17" s="46">
        <f t="shared" si="2"/>
        <v>-25032.36</v>
      </c>
      <c r="E17" s="47" t="s">
        <v>106</v>
      </c>
      <c r="F17" s="48">
        <f>F18-F19</f>
        <v>-24402.36</v>
      </c>
      <c r="G17" s="48">
        <f t="shared" ref="G17:AA17" si="4">G18-G19</f>
        <v>0</v>
      </c>
      <c r="H17" s="48">
        <f t="shared" si="4"/>
        <v>-150</v>
      </c>
      <c r="I17" s="48">
        <f t="shared" si="4"/>
        <v>0</v>
      </c>
      <c r="J17" s="48">
        <f t="shared" si="4"/>
        <v>0</v>
      </c>
      <c r="K17" s="48">
        <f t="shared" si="4"/>
        <v>0</v>
      </c>
      <c r="L17" s="48">
        <f t="shared" si="4"/>
        <v>0</v>
      </c>
      <c r="M17" s="48">
        <f t="shared" si="4"/>
        <v>0</v>
      </c>
      <c r="N17" s="48">
        <f t="shared" si="4"/>
        <v>0</v>
      </c>
      <c r="O17" s="48">
        <f t="shared" si="4"/>
        <v>0</v>
      </c>
      <c r="P17" s="48">
        <f t="shared" si="4"/>
        <v>0</v>
      </c>
      <c r="Q17" s="48">
        <f t="shared" si="4"/>
        <v>0</v>
      </c>
      <c r="R17" s="48">
        <f t="shared" si="4"/>
        <v>-480</v>
      </c>
      <c r="S17" s="48">
        <f t="shared" si="4"/>
        <v>0</v>
      </c>
      <c r="T17" s="48">
        <f t="shared" si="4"/>
        <v>0</v>
      </c>
      <c r="U17" s="48">
        <f t="shared" si="4"/>
        <v>0</v>
      </c>
      <c r="V17" s="48">
        <f t="shared" si="4"/>
        <v>0</v>
      </c>
      <c r="W17" s="48">
        <f t="shared" si="4"/>
        <v>0</v>
      </c>
      <c r="X17" s="48">
        <f t="shared" si="4"/>
        <v>0</v>
      </c>
      <c r="Y17" s="48">
        <f t="shared" si="4"/>
        <v>0</v>
      </c>
      <c r="Z17" s="48">
        <f t="shared" si="4"/>
        <v>0</v>
      </c>
      <c r="AA17" s="48">
        <f t="shared" si="4"/>
        <v>0</v>
      </c>
    </row>
    <row r="18" spans="2:27">
      <c r="B18" s="47">
        <v>2.1</v>
      </c>
      <c r="C18" s="49" t="s">
        <v>480</v>
      </c>
      <c r="D18" s="50">
        <f t="shared" si="2"/>
        <v>0</v>
      </c>
      <c r="E18" s="47" t="s">
        <v>106</v>
      </c>
      <c r="F18" s="51">
        <v>0</v>
      </c>
      <c r="G18" s="51">
        <v>0</v>
      </c>
      <c r="H18" s="51">
        <v>0</v>
      </c>
      <c r="I18" s="51">
        <v>0</v>
      </c>
      <c r="J18" s="51">
        <v>0</v>
      </c>
      <c r="K18" s="51">
        <v>0</v>
      </c>
      <c r="L18" s="51">
        <v>0</v>
      </c>
      <c r="M18" s="51">
        <v>0</v>
      </c>
      <c r="N18" s="51">
        <v>0</v>
      </c>
      <c r="O18" s="51">
        <v>0</v>
      </c>
      <c r="P18" s="51">
        <v>0</v>
      </c>
      <c r="Q18" s="51">
        <v>0</v>
      </c>
      <c r="R18" s="51">
        <v>0</v>
      </c>
      <c r="S18" s="51">
        <v>0</v>
      </c>
      <c r="T18" s="51">
        <v>0</v>
      </c>
      <c r="U18" s="51">
        <v>0</v>
      </c>
      <c r="V18" s="51">
        <v>0</v>
      </c>
      <c r="W18" s="51">
        <v>0</v>
      </c>
      <c r="X18" s="51">
        <v>0</v>
      </c>
      <c r="Y18" s="51">
        <v>0</v>
      </c>
      <c r="Z18" s="51">
        <v>0</v>
      </c>
      <c r="AA18" s="51">
        <v>0</v>
      </c>
    </row>
    <row r="19" spans="2:27">
      <c r="B19" s="47">
        <v>2.2000000000000002</v>
      </c>
      <c r="C19" s="49" t="s">
        <v>483</v>
      </c>
      <c r="D19" s="50">
        <f t="shared" si="2"/>
        <v>25032.36</v>
      </c>
      <c r="E19" s="47" t="s">
        <v>106</v>
      </c>
      <c r="F19" s="51">
        <f>SUM(F20:F22)</f>
        <v>24402.36</v>
      </c>
      <c r="G19" s="51">
        <f t="shared" ref="G19:AA19" si="5">SUM(G20:G22)</f>
        <v>0</v>
      </c>
      <c r="H19" s="51">
        <f t="shared" si="5"/>
        <v>150</v>
      </c>
      <c r="I19" s="51">
        <f t="shared" si="5"/>
        <v>0</v>
      </c>
      <c r="J19" s="51">
        <f t="shared" si="5"/>
        <v>0</v>
      </c>
      <c r="K19" s="51">
        <f t="shared" si="5"/>
        <v>0</v>
      </c>
      <c r="L19" s="51">
        <f t="shared" si="5"/>
        <v>0</v>
      </c>
      <c r="M19" s="51">
        <f t="shared" si="5"/>
        <v>0</v>
      </c>
      <c r="N19" s="51">
        <f t="shared" si="5"/>
        <v>0</v>
      </c>
      <c r="O19" s="51">
        <f t="shared" si="5"/>
        <v>0</v>
      </c>
      <c r="P19" s="51">
        <f t="shared" si="5"/>
        <v>0</v>
      </c>
      <c r="Q19" s="51">
        <f t="shared" si="5"/>
        <v>0</v>
      </c>
      <c r="R19" s="51">
        <f t="shared" si="5"/>
        <v>480</v>
      </c>
      <c r="S19" s="51">
        <f t="shared" si="5"/>
        <v>0</v>
      </c>
      <c r="T19" s="51">
        <f t="shared" si="5"/>
        <v>0</v>
      </c>
      <c r="U19" s="51">
        <f t="shared" si="5"/>
        <v>0</v>
      </c>
      <c r="V19" s="51">
        <f t="shared" si="5"/>
        <v>0</v>
      </c>
      <c r="W19" s="51">
        <f t="shared" si="5"/>
        <v>0</v>
      </c>
      <c r="X19" s="51">
        <f t="shared" si="5"/>
        <v>0</v>
      </c>
      <c r="Y19" s="51">
        <f t="shared" si="5"/>
        <v>0</v>
      </c>
      <c r="Z19" s="51">
        <f t="shared" si="5"/>
        <v>0</v>
      </c>
      <c r="AA19" s="51">
        <f t="shared" si="5"/>
        <v>0</v>
      </c>
    </row>
    <row r="20" spans="2:27">
      <c r="B20" s="47"/>
      <c r="C20" s="52" t="s">
        <v>515</v>
      </c>
      <c r="D20" s="50">
        <f t="shared" si="2"/>
        <v>24402.36</v>
      </c>
      <c r="E20" s="47" t="s">
        <v>106</v>
      </c>
      <c r="F20" s="51">
        <f>'表1-资金筹措及还本付息表'!F7</f>
        <v>24402.36</v>
      </c>
      <c r="G20" s="51">
        <f>'表1-资金筹措及还本付息表'!G6</f>
        <v>0</v>
      </c>
      <c r="H20" s="50"/>
      <c r="I20" s="50"/>
      <c r="J20" s="50"/>
      <c r="K20" s="50"/>
      <c r="L20" s="50"/>
      <c r="M20" s="50"/>
      <c r="N20" s="50"/>
      <c r="O20" s="50"/>
      <c r="P20" s="50"/>
      <c r="Q20" s="50"/>
      <c r="R20" s="50"/>
      <c r="S20" s="50"/>
      <c r="T20" s="50"/>
      <c r="U20" s="50"/>
      <c r="V20" s="50"/>
      <c r="W20" s="50"/>
      <c r="X20" s="50"/>
      <c r="Y20" s="50"/>
      <c r="Z20" s="50"/>
      <c r="AA20" s="50"/>
    </row>
    <row r="21" spans="2:27">
      <c r="B21" s="47"/>
      <c r="C21" s="52" t="s">
        <v>29</v>
      </c>
      <c r="D21" s="50">
        <f t="shared" si="2"/>
        <v>150</v>
      </c>
      <c r="E21" s="47" t="s">
        <v>106</v>
      </c>
      <c r="F21" s="51"/>
      <c r="G21" s="51"/>
      <c r="H21" s="50">
        <f>参数输入表!$H$81</f>
        <v>150</v>
      </c>
      <c r="I21" s="50"/>
      <c r="J21" s="50"/>
      <c r="K21" s="50"/>
      <c r="L21" s="50"/>
      <c r="M21" s="50"/>
      <c r="N21" s="50"/>
      <c r="O21" s="50"/>
      <c r="P21" s="50"/>
      <c r="Q21" s="50"/>
      <c r="R21" s="50"/>
      <c r="S21" s="50"/>
      <c r="T21" s="50"/>
      <c r="U21" s="50"/>
      <c r="V21" s="50"/>
      <c r="W21" s="50"/>
      <c r="X21" s="50"/>
      <c r="Y21" s="50"/>
      <c r="Z21" s="50"/>
      <c r="AA21" s="50"/>
    </row>
    <row r="22" spans="2:27">
      <c r="B22" s="47"/>
      <c r="C22" s="52" t="s">
        <v>494</v>
      </c>
      <c r="D22" s="50">
        <f t="shared" si="2"/>
        <v>480</v>
      </c>
      <c r="E22" s="47" t="s">
        <v>106</v>
      </c>
      <c r="F22" s="51"/>
      <c r="G22" s="51"/>
      <c r="H22" s="51">
        <f>参数输入表!H185</f>
        <v>0</v>
      </c>
      <c r="I22" s="51">
        <f>参数输入表!H186</f>
        <v>0</v>
      </c>
      <c r="J22" s="51">
        <f>参数输入表!H187</f>
        <v>0</v>
      </c>
      <c r="K22" s="51">
        <f>参数输入表!H188</f>
        <v>0</v>
      </c>
      <c r="L22" s="51">
        <f>参数输入表!H189</f>
        <v>0</v>
      </c>
      <c r="M22" s="51">
        <f>参数输入表!H190</f>
        <v>0</v>
      </c>
      <c r="N22" s="51">
        <f>参数输入表!H191</f>
        <v>0</v>
      </c>
      <c r="O22" s="51">
        <f>参数输入表!H192</f>
        <v>0</v>
      </c>
      <c r="P22" s="51">
        <f>参数输入表!H193</f>
        <v>0</v>
      </c>
      <c r="Q22" s="51">
        <f>参数输入表!H194</f>
        <v>0</v>
      </c>
      <c r="R22" s="51">
        <f>参数输入表!H195</f>
        <v>480</v>
      </c>
      <c r="S22" s="51">
        <f>参数输入表!H196</f>
        <v>0</v>
      </c>
      <c r="T22" s="51">
        <f>参数输入表!H197</f>
        <v>0</v>
      </c>
      <c r="U22" s="51">
        <f>参数输入表!H198</f>
        <v>0</v>
      </c>
      <c r="V22" s="51">
        <f>参数输入表!H199</f>
        <v>0</v>
      </c>
      <c r="W22" s="51">
        <f>参数输入表!H200</f>
        <v>0</v>
      </c>
      <c r="X22" s="51">
        <f>参数输入表!H201</f>
        <v>0</v>
      </c>
      <c r="Y22" s="51">
        <f>参数输入表!H202</f>
        <v>0</v>
      </c>
      <c r="Z22" s="51">
        <f>参数输入表!H203</f>
        <v>0</v>
      </c>
      <c r="AA22" s="51">
        <f>参数输入表!H204</f>
        <v>0</v>
      </c>
    </row>
    <row r="23" spans="2:27">
      <c r="B23" s="44">
        <v>3</v>
      </c>
      <c r="C23" s="45" t="s">
        <v>528</v>
      </c>
      <c r="D23" s="46">
        <f t="shared" ca="1" si="2"/>
        <v>-6504.9766556535724</v>
      </c>
      <c r="E23" s="47" t="s">
        <v>106</v>
      </c>
      <c r="F23" s="48">
        <f ca="1">F24-F29</f>
        <v>24402.359999999997</v>
      </c>
      <c r="G23" s="48">
        <f t="shared" ref="G23:AA23" si="6">G24-G29</f>
        <v>0</v>
      </c>
      <c r="H23" s="48">
        <f t="shared" ca="1" si="6"/>
        <v>-1902.3617310609529</v>
      </c>
      <c r="I23" s="48">
        <f t="shared" ca="1" si="6"/>
        <v>-2023.6059125962649</v>
      </c>
      <c r="J23" s="48">
        <f t="shared" ca="1" si="6"/>
        <v>-1997.2504281027809</v>
      </c>
      <c r="K23" s="48">
        <f t="shared" ca="1" si="6"/>
        <v>-1969.4385411898561</v>
      </c>
      <c r="L23" s="48">
        <f t="shared" ca="1" si="6"/>
        <v>-1943.3979412332856</v>
      </c>
      <c r="M23" s="48">
        <f t="shared" ca="1" si="6"/>
        <v>-1912.049699457581</v>
      </c>
      <c r="N23" s="48">
        <f t="shared" ca="1" si="6"/>
        <v>-1884.2259910656342</v>
      </c>
      <c r="O23" s="48">
        <f t="shared" ca="1" si="6"/>
        <v>-1861.3577256582305</v>
      </c>
      <c r="P23" s="48">
        <f t="shared" ca="1" si="6"/>
        <v>-1839.2317311969555</v>
      </c>
      <c r="Q23" s="48">
        <f t="shared" ca="1" si="6"/>
        <v>-1817.7737805871968</v>
      </c>
      <c r="R23" s="48">
        <f t="shared" ca="1" si="6"/>
        <v>-1785.3231832689553</v>
      </c>
      <c r="S23" s="48">
        <f t="shared" ca="1" si="6"/>
        <v>-1755.9895148666876</v>
      </c>
      <c r="T23" s="48">
        <f t="shared" ca="1" si="6"/>
        <v>-1728.0446577100354</v>
      </c>
      <c r="U23" s="48">
        <f t="shared" ca="1" si="6"/>
        <v>-1701.3497306744371</v>
      </c>
      <c r="V23" s="48">
        <f t="shared" ca="1" si="6"/>
        <v>-1675.7797407477867</v>
      </c>
      <c r="W23" s="48">
        <f t="shared" ca="1" si="6"/>
        <v>-419.54431665788331</v>
      </c>
      <c r="X23" s="48">
        <f t="shared" ca="1" si="6"/>
        <v>-519.82443191343862</v>
      </c>
      <c r="Y23" s="48">
        <f t="shared" ca="1" si="6"/>
        <v>-610.07653564343832</v>
      </c>
      <c r="Z23" s="48">
        <f t="shared" ca="1" si="6"/>
        <v>-691.3034290004382</v>
      </c>
      <c r="AA23" s="48">
        <f t="shared" ca="1" si="6"/>
        <v>-869.40763302173798</v>
      </c>
    </row>
    <row r="24" spans="2:27">
      <c r="B24" s="47">
        <v>3.1</v>
      </c>
      <c r="C24" s="49" t="s">
        <v>480</v>
      </c>
      <c r="D24" s="50">
        <f t="shared" ca="1" si="2"/>
        <v>24902.493503387799</v>
      </c>
      <c r="E24" s="47" t="s">
        <v>106</v>
      </c>
      <c r="F24" s="51">
        <f ca="1">SUM(F25:F28)</f>
        <v>24752.493503387799</v>
      </c>
      <c r="G24" s="51">
        <f t="shared" ref="G24:AA24" si="7">SUM(G25:G28)</f>
        <v>0</v>
      </c>
      <c r="H24" s="51">
        <f t="shared" si="7"/>
        <v>150</v>
      </c>
      <c r="I24" s="51">
        <f t="shared" si="7"/>
        <v>0</v>
      </c>
      <c r="J24" s="51">
        <f t="shared" si="7"/>
        <v>0</v>
      </c>
      <c r="K24" s="51">
        <f t="shared" si="7"/>
        <v>0</v>
      </c>
      <c r="L24" s="51">
        <f t="shared" si="7"/>
        <v>0</v>
      </c>
      <c r="M24" s="51">
        <f t="shared" si="7"/>
        <v>0</v>
      </c>
      <c r="N24" s="51">
        <f t="shared" si="7"/>
        <v>0</v>
      </c>
      <c r="O24" s="51">
        <f t="shared" si="7"/>
        <v>0</v>
      </c>
      <c r="P24" s="51">
        <f t="shared" si="7"/>
        <v>0</v>
      </c>
      <c r="Q24" s="51">
        <f t="shared" si="7"/>
        <v>0</v>
      </c>
      <c r="R24" s="51">
        <f t="shared" si="7"/>
        <v>0</v>
      </c>
      <c r="S24" s="51">
        <f t="shared" si="7"/>
        <v>0</v>
      </c>
      <c r="T24" s="51">
        <f t="shared" si="7"/>
        <v>0</v>
      </c>
      <c r="U24" s="51">
        <f t="shared" si="7"/>
        <v>0</v>
      </c>
      <c r="V24" s="51">
        <f t="shared" si="7"/>
        <v>0</v>
      </c>
      <c r="W24" s="51">
        <f t="shared" si="7"/>
        <v>0</v>
      </c>
      <c r="X24" s="51">
        <f t="shared" si="7"/>
        <v>0</v>
      </c>
      <c r="Y24" s="51">
        <f t="shared" si="7"/>
        <v>0</v>
      </c>
      <c r="Z24" s="51">
        <f t="shared" si="7"/>
        <v>0</v>
      </c>
      <c r="AA24" s="51">
        <f t="shared" si="7"/>
        <v>0</v>
      </c>
    </row>
    <row r="25" spans="2:27">
      <c r="B25" s="47"/>
      <c r="C25" s="52" t="s">
        <v>529</v>
      </c>
      <c r="D25" s="50">
        <f t="shared" ca="1" si="2"/>
        <v>4995.4987006775609</v>
      </c>
      <c r="E25" s="47" t="s">
        <v>106</v>
      </c>
      <c r="F25" s="51">
        <f ca="1">'表1-资金筹措及还本付息表'!F11</f>
        <v>4950.4987006775609</v>
      </c>
      <c r="G25" s="51">
        <f>'表1-资金筹措及还本付息表'!G11</f>
        <v>0</v>
      </c>
      <c r="H25" s="51">
        <f>'表1-资金筹措及还本付息表'!H11</f>
        <v>45</v>
      </c>
      <c r="I25" s="50"/>
      <c r="J25" s="50"/>
      <c r="K25" s="50"/>
      <c r="L25" s="50"/>
      <c r="M25" s="50"/>
      <c r="N25" s="50"/>
      <c r="O25" s="50"/>
      <c r="P25" s="50"/>
      <c r="Q25" s="50"/>
      <c r="R25" s="50"/>
      <c r="S25" s="50"/>
      <c r="T25" s="50"/>
      <c r="U25" s="50"/>
      <c r="V25" s="50"/>
      <c r="W25" s="50"/>
      <c r="X25" s="50"/>
      <c r="Y25" s="50"/>
      <c r="Z25" s="50"/>
      <c r="AA25" s="50"/>
    </row>
    <row r="26" spans="2:27">
      <c r="B26" s="47"/>
      <c r="C26" s="52" t="s">
        <v>486</v>
      </c>
      <c r="D26" s="50">
        <f t="shared" ca="1" si="2"/>
        <v>19801.99480271024</v>
      </c>
      <c r="E26" s="47" t="s">
        <v>106</v>
      </c>
      <c r="F26" s="51">
        <f ca="1">'表1-资金筹措及还本付息表'!F40</f>
        <v>19801.99480271024</v>
      </c>
      <c r="G26" s="51">
        <f>'表1-资金筹措及还本付息表'!G40</f>
        <v>0</v>
      </c>
      <c r="H26" s="51">
        <f>'表1-资金筹措及还本付息表'!H40</f>
        <v>0</v>
      </c>
      <c r="I26" s="51">
        <f>'表1-资金筹措及还本付息表'!I40</f>
        <v>0</v>
      </c>
      <c r="J26" s="51">
        <f>'表1-资金筹措及还本付息表'!J40</f>
        <v>0</v>
      </c>
      <c r="K26" s="51">
        <f>'表1-资金筹措及还本付息表'!K40</f>
        <v>0</v>
      </c>
      <c r="L26" s="51">
        <f>'表1-资金筹措及还本付息表'!L40</f>
        <v>0</v>
      </c>
      <c r="M26" s="51">
        <f>'表1-资金筹措及还本付息表'!M40</f>
        <v>0</v>
      </c>
      <c r="N26" s="51">
        <f>'表1-资金筹措及还本付息表'!N40</f>
        <v>0</v>
      </c>
      <c r="O26" s="51">
        <f>'表1-资金筹措及还本付息表'!O40</f>
        <v>0</v>
      </c>
      <c r="P26" s="51">
        <f>'表1-资金筹措及还本付息表'!P40</f>
        <v>0</v>
      </c>
      <c r="Q26" s="51">
        <f>'表1-资金筹措及还本付息表'!Q40</f>
        <v>0</v>
      </c>
      <c r="R26" s="51">
        <f>'表1-资金筹措及还本付息表'!R40</f>
        <v>0</v>
      </c>
      <c r="S26" s="51">
        <f>'表1-资金筹措及还本付息表'!S40</f>
        <v>0</v>
      </c>
      <c r="T26" s="51">
        <f>'表1-资金筹措及还本付息表'!T40</f>
        <v>0</v>
      </c>
      <c r="U26" s="51">
        <f>'表1-资金筹措及还本付息表'!U40</f>
        <v>0</v>
      </c>
      <c r="V26" s="51">
        <f>'表1-资金筹措及还本付息表'!V40</f>
        <v>0</v>
      </c>
      <c r="W26" s="51">
        <f>'表1-资金筹措及还本付息表'!W40</f>
        <v>0</v>
      </c>
      <c r="X26" s="51">
        <f>'表1-资金筹措及还本付息表'!X40</f>
        <v>0</v>
      </c>
      <c r="Y26" s="51">
        <f>'表1-资金筹措及还本付息表'!Y40</f>
        <v>0</v>
      </c>
      <c r="Z26" s="51">
        <f>'表1-资金筹措及还本付息表'!Z40</f>
        <v>0</v>
      </c>
      <c r="AA26" s="51">
        <f>'表1-资金筹措及还本付息表'!AA40</f>
        <v>0</v>
      </c>
    </row>
    <row r="27" spans="2:27">
      <c r="B27" s="47"/>
      <c r="C27" s="52" t="s">
        <v>530</v>
      </c>
      <c r="D27" s="50">
        <f t="shared" si="2"/>
        <v>105</v>
      </c>
      <c r="E27" s="47" t="s">
        <v>106</v>
      </c>
      <c r="F27" s="51">
        <f>'表1-资金筹措及还本付息表'!F60</f>
        <v>0</v>
      </c>
      <c r="G27" s="51">
        <f>'表1-资金筹措及还本付息表'!G60</f>
        <v>0</v>
      </c>
      <c r="H27" s="51">
        <f>'表1-资金筹措及还本付息表'!H60</f>
        <v>105</v>
      </c>
      <c r="I27" s="51">
        <f>'表1-资金筹措及还本付息表'!I60</f>
        <v>0</v>
      </c>
      <c r="J27" s="51">
        <f>'表1-资金筹措及还本付息表'!J60</f>
        <v>0</v>
      </c>
      <c r="K27" s="51">
        <f>'表1-资金筹措及还本付息表'!K60</f>
        <v>0</v>
      </c>
      <c r="L27" s="51">
        <f>'表1-资金筹措及还本付息表'!L60</f>
        <v>0</v>
      </c>
      <c r="M27" s="51">
        <f>'表1-资金筹措及还本付息表'!M60</f>
        <v>0</v>
      </c>
      <c r="N27" s="51">
        <f>'表1-资金筹措及还本付息表'!N60</f>
        <v>0</v>
      </c>
      <c r="O27" s="51">
        <f>'表1-资金筹措及还本付息表'!O60</f>
        <v>0</v>
      </c>
      <c r="P27" s="51">
        <f>'表1-资金筹措及还本付息表'!P60</f>
        <v>0</v>
      </c>
      <c r="Q27" s="51">
        <f>'表1-资金筹措及还本付息表'!Q60</f>
        <v>0</v>
      </c>
      <c r="R27" s="51">
        <f>'表1-资金筹措及还本付息表'!R60</f>
        <v>0</v>
      </c>
      <c r="S27" s="51">
        <f>'表1-资金筹措及还本付息表'!S60</f>
        <v>0</v>
      </c>
      <c r="T27" s="51">
        <f>'表1-资金筹措及还本付息表'!T60</f>
        <v>0</v>
      </c>
      <c r="U27" s="51">
        <f>'表1-资金筹措及还本付息表'!U60</f>
        <v>0</v>
      </c>
      <c r="V27" s="51">
        <f>'表1-资金筹措及还本付息表'!V60</f>
        <v>0</v>
      </c>
      <c r="W27" s="51">
        <f>'表1-资金筹措及还本付息表'!W60</f>
        <v>0</v>
      </c>
      <c r="X27" s="51">
        <f>'表1-资金筹措及还本付息表'!X60</f>
        <v>0</v>
      </c>
      <c r="Y27" s="51">
        <f>'表1-资金筹措及还本付息表'!Y60</f>
        <v>0</v>
      </c>
      <c r="Z27" s="51">
        <f>'表1-资金筹措及还本付息表'!Z60</f>
        <v>0</v>
      </c>
      <c r="AA27" s="51">
        <f>'表1-资金筹措及还本付息表'!AA60</f>
        <v>0</v>
      </c>
    </row>
    <row r="28" spans="2:27">
      <c r="B28" s="47"/>
      <c r="C28" s="52" t="s">
        <v>149</v>
      </c>
      <c r="D28" s="50">
        <f t="shared" si="2"/>
        <v>0</v>
      </c>
      <c r="E28" s="47" t="s">
        <v>106</v>
      </c>
      <c r="F28" s="51">
        <f>'表1-资金筹措及还本付息表'!F70</f>
        <v>0</v>
      </c>
      <c r="G28" s="51">
        <f>'表1-资金筹措及还本付息表'!G70</f>
        <v>0</v>
      </c>
      <c r="H28" s="51">
        <f>H43</f>
        <v>0</v>
      </c>
      <c r="I28" s="51">
        <f t="shared" ref="I28:AA28" si="8">I43</f>
        <v>0</v>
      </c>
      <c r="J28" s="51">
        <f t="shared" si="8"/>
        <v>0</v>
      </c>
      <c r="K28" s="51">
        <f t="shared" si="8"/>
        <v>0</v>
      </c>
      <c r="L28" s="51">
        <f t="shared" si="8"/>
        <v>0</v>
      </c>
      <c r="M28" s="51">
        <f t="shared" si="8"/>
        <v>0</v>
      </c>
      <c r="N28" s="51">
        <f t="shared" si="8"/>
        <v>0</v>
      </c>
      <c r="O28" s="51">
        <f t="shared" si="8"/>
        <v>0</v>
      </c>
      <c r="P28" s="51">
        <f t="shared" si="8"/>
        <v>0</v>
      </c>
      <c r="Q28" s="51">
        <f t="shared" si="8"/>
        <v>0</v>
      </c>
      <c r="R28" s="51">
        <f t="shared" si="8"/>
        <v>0</v>
      </c>
      <c r="S28" s="51">
        <f t="shared" si="8"/>
        <v>0</v>
      </c>
      <c r="T28" s="51">
        <f t="shared" si="8"/>
        <v>0</v>
      </c>
      <c r="U28" s="51">
        <f t="shared" si="8"/>
        <v>0</v>
      </c>
      <c r="V28" s="51">
        <f t="shared" si="8"/>
        <v>0</v>
      </c>
      <c r="W28" s="51">
        <f t="shared" si="8"/>
        <v>0</v>
      </c>
      <c r="X28" s="51">
        <f t="shared" si="8"/>
        <v>0</v>
      </c>
      <c r="Y28" s="51">
        <f t="shared" si="8"/>
        <v>0</v>
      </c>
      <c r="Z28" s="51">
        <f t="shared" si="8"/>
        <v>0</v>
      </c>
      <c r="AA28" s="51">
        <f t="shared" si="8"/>
        <v>0</v>
      </c>
    </row>
    <row r="29" spans="2:27">
      <c r="B29" s="47">
        <v>3.2</v>
      </c>
      <c r="C29" s="49" t="s">
        <v>483</v>
      </c>
      <c r="D29" s="50">
        <f t="shared" ca="1" si="2"/>
        <v>31407.470159041386</v>
      </c>
      <c r="E29" s="47" t="s">
        <v>106</v>
      </c>
      <c r="F29" s="51">
        <f ca="1">SUM(F30:F32)</f>
        <v>350.13350338780384</v>
      </c>
      <c r="G29" s="51">
        <f t="shared" ref="G29:AA29" si="9">SUM(G30:G32)</f>
        <v>0</v>
      </c>
      <c r="H29" s="51">
        <f t="shared" ca="1" si="9"/>
        <v>2052.3617310609529</v>
      </c>
      <c r="I29" s="51">
        <f t="shared" ca="1" si="9"/>
        <v>2023.6059125962649</v>
      </c>
      <c r="J29" s="51">
        <f t="shared" ca="1" si="9"/>
        <v>1997.2504281027809</v>
      </c>
      <c r="K29" s="51">
        <f t="shared" ca="1" si="9"/>
        <v>1969.4385411898561</v>
      </c>
      <c r="L29" s="51">
        <f t="shared" ca="1" si="9"/>
        <v>1943.3979412332856</v>
      </c>
      <c r="M29" s="51">
        <f t="shared" ca="1" si="9"/>
        <v>1912.049699457581</v>
      </c>
      <c r="N29" s="51">
        <f t="shared" ca="1" si="9"/>
        <v>1884.2259910656342</v>
      </c>
      <c r="O29" s="51">
        <f t="shared" ca="1" si="9"/>
        <v>1861.3577256582305</v>
      </c>
      <c r="P29" s="51">
        <f t="shared" ca="1" si="9"/>
        <v>1839.2317311969555</v>
      </c>
      <c r="Q29" s="51">
        <f t="shared" ca="1" si="9"/>
        <v>1817.7737805871968</v>
      </c>
      <c r="R29" s="51">
        <f t="shared" ca="1" si="9"/>
        <v>1785.3231832689553</v>
      </c>
      <c r="S29" s="51">
        <f t="shared" ca="1" si="9"/>
        <v>1755.9895148666876</v>
      </c>
      <c r="T29" s="51">
        <f t="shared" ca="1" si="9"/>
        <v>1728.0446577100354</v>
      </c>
      <c r="U29" s="51">
        <f t="shared" ca="1" si="9"/>
        <v>1701.3497306744371</v>
      </c>
      <c r="V29" s="51">
        <f t="shared" ca="1" si="9"/>
        <v>1675.7797407477867</v>
      </c>
      <c r="W29" s="51">
        <f t="shared" ca="1" si="9"/>
        <v>419.54431665788331</v>
      </c>
      <c r="X29" s="51">
        <f t="shared" ca="1" si="9"/>
        <v>519.82443191343862</v>
      </c>
      <c r="Y29" s="51">
        <f t="shared" ca="1" si="9"/>
        <v>610.07653564343832</v>
      </c>
      <c r="Z29" s="51">
        <f t="shared" ca="1" si="9"/>
        <v>691.3034290004382</v>
      </c>
      <c r="AA29" s="51">
        <f t="shared" ca="1" si="9"/>
        <v>869.40763302173798</v>
      </c>
    </row>
    <row r="30" spans="2:27">
      <c r="B30" s="47"/>
      <c r="C30" s="52" t="s">
        <v>531</v>
      </c>
      <c r="D30" s="50">
        <f t="shared" ca="1" si="2"/>
        <v>19906.994802710236</v>
      </c>
      <c r="E30" s="47" t="s">
        <v>106</v>
      </c>
      <c r="F30" s="51"/>
      <c r="G30" s="50"/>
      <c r="H30" s="50">
        <f ca="1">'表1-资金筹措及还本付息表'!H92</f>
        <v>1320.1329868473492</v>
      </c>
      <c r="I30" s="50">
        <f ca="1">'表1-资金筹措及还本付息表'!I92</f>
        <v>1320.1329868473492</v>
      </c>
      <c r="J30" s="50">
        <f ca="1">'表1-资金筹措及还本付息表'!J92</f>
        <v>1320.1329868473492</v>
      </c>
      <c r="K30" s="50">
        <f ca="1">'表1-资金筹措及还本付息表'!K92</f>
        <v>1320.1329868473492</v>
      </c>
      <c r="L30" s="50">
        <f ca="1">'表1-资金筹措及还本付息表'!L92</f>
        <v>1320.1329868473492</v>
      </c>
      <c r="M30" s="50">
        <f ca="1">'表1-资金筹措及还本付息表'!M92</f>
        <v>1320.1329868473492</v>
      </c>
      <c r="N30" s="50">
        <f ca="1">'表1-资金筹措及还本付息表'!N92</f>
        <v>1320.1329868473492</v>
      </c>
      <c r="O30" s="50">
        <f ca="1">'表1-资金筹措及还本付息表'!O92</f>
        <v>1320.1329868473492</v>
      </c>
      <c r="P30" s="50">
        <f ca="1">'表1-资金筹措及还本付息表'!P92</f>
        <v>1320.1329868473492</v>
      </c>
      <c r="Q30" s="50">
        <f ca="1">'表1-资金筹措及还本付息表'!Q92</f>
        <v>1320.1329868473492</v>
      </c>
      <c r="R30" s="50">
        <f ca="1">'表1-资金筹措及还本付息表'!R92</f>
        <v>1320.1329868473492</v>
      </c>
      <c r="S30" s="50">
        <f ca="1">'表1-资金筹措及还本付息表'!S92</f>
        <v>1320.1329868473492</v>
      </c>
      <c r="T30" s="50">
        <f ca="1">'表1-资金筹措及还本付息表'!T92</f>
        <v>1320.1329868473492</v>
      </c>
      <c r="U30" s="50">
        <f ca="1">'表1-资金筹措及还本付息表'!U92</f>
        <v>1320.1329868473492</v>
      </c>
      <c r="V30" s="50">
        <f ca="1">'表1-资金筹措及还本付息表'!V92</f>
        <v>1320.1329868473492</v>
      </c>
      <c r="W30" s="50">
        <f>'表1-资金筹措及还本付息表'!W92</f>
        <v>0</v>
      </c>
      <c r="X30" s="50">
        <f>'表1-资金筹措及还本付息表'!X92</f>
        <v>0</v>
      </c>
      <c r="Y30" s="50">
        <f>'表1-资金筹措及还本付息表'!Y92</f>
        <v>0</v>
      </c>
      <c r="Z30" s="50">
        <f>'表1-资金筹措及还本付息表'!Z92</f>
        <v>0</v>
      </c>
      <c r="AA30" s="50">
        <f>'表1-资金筹措及还本付息表'!AA92</f>
        <v>105</v>
      </c>
    </row>
    <row r="31" spans="2:27">
      <c r="B31" s="47"/>
      <c r="C31" s="52" t="s">
        <v>532</v>
      </c>
      <c r="D31" s="50">
        <f t="shared" ca="1" si="2"/>
        <v>6118.2080065683549</v>
      </c>
      <c r="E31" s="47" t="s">
        <v>106</v>
      </c>
      <c r="F31" s="51">
        <f ca="1">'表1-资金筹措及还本付息表'!F8</f>
        <v>350.13350338780384</v>
      </c>
      <c r="G31" s="50"/>
      <c r="H31" s="50">
        <f ca="1">'表1-资金筹措及还本付息表'!H93</f>
        <v>716.12681289756858</v>
      </c>
      <c r="I31" s="50">
        <f ca="1">'表1-资金筹措及还本付息表'!I93</f>
        <v>668.60202537106409</v>
      </c>
      <c r="J31" s="50">
        <f ca="1">'表1-资金筹措及还本付息表'!J93</f>
        <v>621.07723784455959</v>
      </c>
      <c r="K31" s="50">
        <f ca="1">'表1-资金筹措及还本付息表'!K93</f>
        <v>573.55245031805498</v>
      </c>
      <c r="L31" s="50">
        <f ca="1">'表1-资金筹措及还本付息表'!L93</f>
        <v>526.02766279155037</v>
      </c>
      <c r="M31" s="50">
        <f ca="1">'表1-资金筹措及还本付息表'!M93</f>
        <v>478.50287526504582</v>
      </c>
      <c r="N31" s="50">
        <f ca="1">'表1-资金筹措及还本付息表'!N93</f>
        <v>430.97808773854126</v>
      </c>
      <c r="O31" s="50">
        <f ca="1">'表1-资金筹措及还本付息表'!O93</f>
        <v>383.45330021203665</v>
      </c>
      <c r="P31" s="50">
        <f ca="1">'表1-资金筹措及还本付息表'!P93</f>
        <v>335.9285126855321</v>
      </c>
      <c r="Q31" s="50">
        <f ca="1">'表1-资金筹措及还本付息表'!Q93</f>
        <v>288.40372515902754</v>
      </c>
      <c r="R31" s="50">
        <f ca="1">'表1-资金筹措及还本付息表'!R93</f>
        <v>240.87893763252293</v>
      </c>
      <c r="S31" s="50">
        <f ca="1">'表1-资金筹措及还本付息表'!S93</f>
        <v>193.35415010601838</v>
      </c>
      <c r="T31" s="50">
        <f ca="1">'表1-资金筹措及还本付息表'!T93</f>
        <v>145.8293625795138</v>
      </c>
      <c r="U31" s="50">
        <f ca="1">'表1-资金筹措及还本付息表'!U93</f>
        <v>98.304575053009216</v>
      </c>
      <c r="V31" s="50">
        <f ca="1">'表1-资金筹措及还本付息表'!V93</f>
        <v>50.779787526504656</v>
      </c>
      <c r="W31" s="50">
        <f>'表1-资金筹措及还本付息表'!W93</f>
        <v>3.2549999999999999</v>
      </c>
      <c r="X31" s="50">
        <f>'表1-资金筹措及还本付息表'!X93</f>
        <v>3.2549999999999999</v>
      </c>
      <c r="Y31" s="50">
        <f>'表1-资金筹措及还本付息表'!Y93</f>
        <v>3.2549999999999999</v>
      </c>
      <c r="Z31" s="50">
        <f>'表1-资金筹措及还本付息表'!Z93</f>
        <v>3.2549999999999999</v>
      </c>
      <c r="AA31" s="50">
        <f>'表1-资金筹措及还本付息表'!AA93</f>
        <v>3.2549999999999999</v>
      </c>
    </row>
    <row r="32" spans="2:27">
      <c r="B32" s="47"/>
      <c r="C32" s="52" t="s">
        <v>533</v>
      </c>
      <c r="D32" s="50">
        <f t="shared" ca="1" si="2"/>
        <v>5382.2673497627875</v>
      </c>
      <c r="E32" s="47" t="s">
        <v>106</v>
      </c>
      <c r="F32" s="51"/>
      <c r="G32" s="50"/>
      <c r="H32" s="50">
        <f ca="1">'表5-利润表-资本金'!H31</f>
        <v>16.101931316034793</v>
      </c>
      <c r="I32" s="50">
        <f ca="1">'表5-利润表-资本金'!I31</f>
        <v>34.87090037785147</v>
      </c>
      <c r="J32" s="50">
        <f ca="1">'表5-利润表-资本金'!J31</f>
        <v>56.040203410871918</v>
      </c>
      <c r="K32" s="50">
        <f ca="1">'表5-利润表-资本金'!K31</f>
        <v>75.753104024451858</v>
      </c>
      <c r="L32" s="50">
        <f ca="1">'表5-利润表-资本金'!L31</f>
        <v>97.237291594386022</v>
      </c>
      <c r="M32" s="50">
        <f ca="1">'表5-利润表-资本金'!M31</f>
        <v>113.41383734518611</v>
      </c>
      <c r="N32" s="50">
        <f ca="1">'表5-利润表-资本金'!N31</f>
        <v>133.11491647974358</v>
      </c>
      <c r="O32" s="50">
        <f ca="1">'表5-利润表-资本金'!O31</f>
        <v>157.77143859884441</v>
      </c>
      <c r="P32" s="50">
        <f ca="1">'表5-利润表-资本金'!P31</f>
        <v>183.17023166407421</v>
      </c>
      <c r="Q32" s="50">
        <f ca="1">'表5-利润表-资本金'!Q31</f>
        <v>209.23706858082011</v>
      </c>
      <c r="R32" s="50">
        <f ca="1">'表5-利润表-资本金'!R31</f>
        <v>224.31125878908321</v>
      </c>
      <c r="S32" s="50">
        <f ca="1">'表5-利润表-资本金'!S31</f>
        <v>242.50237791332006</v>
      </c>
      <c r="T32" s="50">
        <f ca="1">'表5-利润表-资本金'!T31</f>
        <v>262.08230828317227</v>
      </c>
      <c r="U32" s="50">
        <f ca="1">'表5-利润表-资本金'!U31</f>
        <v>282.9121687740784</v>
      </c>
      <c r="V32" s="50">
        <f ca="1">'表5-利润表-资本金'!V31</f>
        <v>304.86696637393294</v>
      </c>
      <c r="W32" s="50">
        <f ca="1">'表5-利润表-资本金'!W31</f>
        <v>416.28931665788332</v>
      </c>
      <c r="X32" s="50">
        <f ca="1">'表5-利润表-资本金'!X31</f>
        <v>516.56943191343862</v>
      </c>
      <c r="Y32" s="50">
        <f ca="1">'表5-利润表-资本金'!Y31</f>
        <v>606.82153564343832</v>
      </c>
      <c r="Z32" s="50">
        <f ca="1">'表5-利润表-资本金'!Z31</f>
        <v>688.0484290004382</v>
      </c>
      <c r="AA32" s="50">
        <f ca="1">'表5-利润表-资本金'!AA31</f>
        <v>761.15263302173798</v>
      </c>
    </row>
    <row r="33" spans="2:27">
      <c r="B33" s="44" t="s">
        <v>345</v>
      </c>
      <c r="C33" s="45" t="s">
        <v>534</v>
      </c>
      <c r="D33" s="50">
        <f t="shared" ca="1" si="2"/>
        <v>11912.076887531035</v>
      </c>
      <c r="E33" s="47" t="s">
        <v>106</v>
      </c>
      <c r="F33" s="51">
        <f ca="1">F5+F17+F23</f>
        <v>0</v>
      </c>
      <c r="G33" s="51">
        <f t="shared" ref="G33:AA33" si="10">G5+G17+G23</f>
        <v>0</v>
      </c>
      <c r="H33" s="51">
        <f t="shared" ca="1" si="10"/>
        <v>625.18087706998904</v>
      </c>
      <c r="I33" s="51">
        <f t="shared" ca="1" si="10"/>
        <v>653.93669553467703</v>
      </c>
      <c r="J33" s="51">
        <f t="shared" ca="1" si="10"/>
        <v>680.29218002816106</v>
      </c>
      <c r="K33" s="51">
        <f t="shared" ca="1" si="10"/>
        <v>667.91847812415381</v>
      </c>
      <c r="L33" s="51">
        <f t="shared" ca="1" si="10"/>
        <v>688.01847963991122</v>
      </c>
      <c r="M33" s="51">
        <f t="shared" ca="1" si="10"/>
        <v>639.7010267337314</v>
      </c>
      <c r="N33" s="51">
        <f t="shared" ca="1" si="10"/>
        <v>457.4743918322763</v>
      </c>
      <c r="O33" s="51">
        <f t="shared" ca="1" si="10"/>
        <v>364.83168125195493</v>
      </c>
      <c r="P33" s="51">
        <f t="shared" ca="1" si="10"/>
        <v>375.07647883160371</v>
      </c>
      <c r="Q33" s="51">
        <f t="shared" ca="1" si="10"/>
        <v>384.65323255973658</v>
      </c>
      <c r="R33" s="51">
        <f t="shared" ca="1" si="10"/>
        <v>-108.02310326301313</v>
      </c>
      <c r="S33" s="51">
        <f t="shared" ca="1" si="10"/>
        <v>349.94618241692001</v>
      </c>
      <c r="T33" s="51">
        <f t="shared" ca="1" si="10"/>
        <v>366.00984269194601</v>
      </c>
      <c r="U33" s="51">
        <f t="shared" ca="1" si="10"/>
        <v>380.82357284591808</v>
      </c>
      <c r="V33" s="51">
        <f t="shared" ca="1" si="10"/>
        <v>394.51236589094265</v>
      </c>
      <c r="W33" s="51">
        <f t="shared" ca="1" si="10"/>
        <v>1200.8318536579295</v>
      </c>
      <c r="X33" s="51">
        <f t="shared" ca="1" si="10"/>
        <v>1100.5517384023742</v>
      </c>
      <c r="Y33" s="51">
        <f t="shared" ca="1" si="10"/>
        <v>1010.2996346723746</v>
      </c>
      <c r="Z33" s="51">
        <f t="shared" ca="1" si="10"/>
        <v>929.07274131537474</v>
      </c>
      <c r="AA33" s="51">
        <f t="shared" ca="1" si="10"/>
        <v>750.96853729407496</v>
      </c>
    </row>
    <row r="34" spans="2:27">
      <c r="B34" s="44" t="s">
        <v>535</v>
      </c>
      <c r="C34" s="57" t="s">
        <v>536</v>
      </c>
      <c r="D34" s="50"/>
      <c r="E34" s="47" t="s">
        <v>106</v>
      </c>
      <c r="F34" s="51">
        <f ca="1">F33</f>
        <v>0</v>
      </c>
      <c r="G34" s="51">
        <f ca="1">F34+G33</f>
        <v>0</v>
      </c>
      <c r="H34" s="51">
        <f t="shared" ref="H34:AA34" ca="1" si="11">G34+H33</f>
        <v>625.18087706998904</v>
      </c>
      <c r="I34" s="51">
        <f t="shared" ca="1" si="11"/>
        <v>1279.1175726046661</v>
      </c>
      <c r="J34" s="51">
        <f t="shared" ca="1" si="11"/>
        <v>1959.4097526328271</v>
      </c>
      <c r="K34" s="51">
        <f t="shared" ca="1" si="11"/>
        <v>2627.3282307569807</v>
      </c>
      <c r="L34" s="51">
        <f t="shared" ca="1" si="11"/>
        <v>3315.3467103968919</v>
      </c>
      <c r="M34" s="51">
        <f t="shared" ca="1" si="11"/>
        <v>3955.0477371306233</v>
      </c>
      <c r="N34" s="51">
        <f t="shared" ca="1" si="11"/>
        <v>4412.5221289628998</v>
      </c>
      <c r="O34" s="51">
        <f t="shared" ca="1" si="11"/>
        <v>4777.353810214855</v>
      </c>
      <c r="P34" s="51">
        <f t="shared" ca="1" si="11"/>
        <v>5152.4302890464587</v>
      </c>
      <c r="Q34" s="51">
        <f t="shared" ca="1" si="11"/>
        <v>5537.0835216061951</v>
      </c>
      <c r="R34" s="51">
        <f t="shared" ca="1" si="11"/>
        <v>5429.0604183431824</v>
      </c>
      <c r="S34" s="51">
        <f t="shared" ca="1" si="11"/>
        <v>5779.0066007601026</v>
      </c>
      <c r="T34" s="51">
        <f t="shared" ca="1" si="11"/>
        <v>6145.0164434520484</v>
      </c>
      <c r="U34" s="51">
        <f t="shared" ca="1" si="11"/>
        <v>6525.8400162979669</v>
      </c>
      <c r="V34" s="51">
        <f t="shared" ca="1" si="11"/>
        <v>6920.3523821889094</v>
      </c>
      <c r="W34" s="51">
        <f t="shared" ca="1" si="11"/>
        <v>8121.1842358468384</v>
      </c>
      <c r="X34" s="51">
        <f t="shared" ca="1" si="11"/>
        <v>9221.7359742492117</v>
      </c>
      <c r="Y34" s="51">
        <f t="shared" ca="1" si="11"/>
        <v>10232.035608921586</v>
      </c>
      <c r="Z34" s="51">
        <f t="shared" ca="1" si="11"/>
        <v>11161.10835023696</v>
      </c>
      <c r="AA34" s="51">
        <f t="shared" ca="1" si="11"/>
        <v>11912.076887531035</v>
      </c>
    </row>
    <row r="37" spans="2:27" ht="21.5">
      <c r="C37" s="58" t="s">
        <v>537</v>
      </c>
    </row>
    <row r="42" spans="2:27" s="39" customFormat="1">
      <c r="C42" s="39" t="s">
        <v>538</v>
      </c>
      <c r="H42" s="39">
        <f ca="1">H5+H17+(H25+H27-H30-H31-H32)</f>
        <v>625.18087706998926</v>
      </c>
      <c r="I42" s="39">
        <f ca="1">I5+I17+(I25+I27-I30-I31-I32)+H42</f>
        <v>1279.1175726046663</v>
      </c>
      <c r="J42" s="39">
        <f t="shared" ref="J42:AA42" ca="1" si="12">J5+J17+(J25+J27-J30-J31-J32)+I42</f>
        <v>1959.4097526328273</v>
      </c>
      <c r="K42" s="39">
        <f t="shared" ca="1" si="12"/>
        <v>2627.3282307569812</v>
      </c>
      <c r="L42" s="39">
        <f t="shared" ca="1" si="12"/>
        <v>3315.3467103968924</v>
      </c>
      <c r="M42" s="39">
        <f t="shared" ca="1" si="12"/>
        <v>3955.0477371306238</v>
      </c>
      <c r="N42" s="39">
        <f t="shared" ca="1" si="12"/>
        <v>4412.5221289628998</v>
      </c>
      <c r="O42" s="39">
        <f t="shared" ca="1" si="12"/>
        <v>4777.353810214855</v>
      </c>
      <c r="P42" s="39">
        <f t="shared" ca="1" si="12"/>
        <v>5152.4302890464587</v>
      </c>
      <c r="Q42" s="39">
        <f t="shared" ca="1" si="12"/>
        <v>5537.0835216061951</v>
      </c>
      <c r="R42" s="39">
        <f t="shared" ca="1" si="12"/>
        <v>5429.0604183431824</v>
      </c>
      <c r="S42" s="39">
        <f t="shared" ca="1" si="12"/>
        <v>5779.0066007601026</v>
      </c>
      <c r="T42" s="39">
        <f t="shared" ca="1" si="12"/>
        <v>6145.0164434520484</v>
      </c>
      <c r="U42" s="39">
        <f t="shared" ca="1" si="12"/>
        <v>6525.8400162979669</v>
      </c>
      <c r="V42" s="39">
        <f t="shared" ca="1" si="12"/>
        <v>6920.3523821889094</v>
      </c>
      <c r="W42" s="39">
        <f t="shared" ca="1" si="12"/>
        <v>8121.1842358468384</v>
      </c>
      <c r="X42" s="39">
        <f t="shared" ca="1" si="12"/>
        <v>9221.7359742492117</v>
      </c>
      <c r="Y42" s="39">
        <f t="shared" ca="1" si="12"/>
        <v>10232.035608921586</v>
      </c>
      <c r="Z42" s="39">
        <f t="shared" ca="1" si="12"/>
        <v>11161.10835023696</v>
      </c>
      <c r="AA42" s="39">
        <f t="shared" ca="1" si="12"/>
        <v>11912.076887531035</v>
      </c>
    </row>
    <row r="43" spans="2:27" s="39" customFormat="1">
      <c r="C43" s="39" t="s">
        <v>539</v>
      </c>
      <c r="H43" s="39">
        <f>0</f>
        <v>0</v>
      </c>
      <c r="I43" s="39">
        <f t="shared" ref="I43:R43" si="13">0</f>
        <v>0</v>
      </c>
      <c r="J43" s="39">
        <f t="shared" si="13"/>
        <v>0</v>
      </c>
      <c r="K43" s="39">
        <f t="shared" si="13"/>
        <v>0</v>
      </c>
      <c r="L43" s="39">
        <f t="shared" si="13"/>
        <v>0</v>
      </c>
      <c r="M43" s="39">
        <f t="shared" si="13"/>
        <v>0</v>
      </c>
      <c r="N43" s="39">
        <f t="shared" si="13"/>
        <v>0</v>
      </c>
      <c r="O43" s="39">
        <f t="shared" si="13"/>
        <v>0</v>
      </c>
      <c r="P43" s="39">
        <f t="shared" si="13"/>
        <v>0</v>
      </c>
      <c r="Q43" s="39">
        <f t="shared" si="13"/>
        <v>0</v>
      </c>
      <c r="R43" s="39">
        <f t="shared" si="13"/>
        <v>0</v>
      </c>
      <c r="S43" s="39">
        <f t="shared" ref="S43:AA43" si="14">0</f>
        <v>0</v>
      </c>
      <c r="T43" s="39">
        <f t="shared" si="14"/>
        <v>0</v>
      </c>
      <c r="U43" s="39">
        <f t="shared" si="14"/>
        <v>0</v>
      </c>
      <c r="V43" s="39">
        <f t="shared" si="14"/>
        <v>0</v>
      </c>
      <c r="W43" s="39">
        <f t="shared" si="14"/>
        <v>0</v>
      </c>
      <c r="X43" s="39">
        <f t="shared" si="14"/>
        <v>0</v>
      </c>
      <c r="Y43" s="39">
        <f t="shared" si="14"/>
        <v>0</v>
      </c>
      <c r="Z43" s="39">
        <f t="shared" si="14"/>
        <v>0</v>
      </c>
      <c r="AA43" s="39">
        <f t="shared" si="14"/>
        <v>0</v>
      </c>
    </row>
  </sheetData>
  <mergeCells count="6">
    <mergeCell ref="F3:G3"/>
    <mergeCell ref="H3:AA3"/>
    <mergeCell ref="B3:B4"/>
    <mergeCell ref="C3:C4"/>
    <mergeCell ref="D3:D4"/>
    <mergeCell ref="E3:E4"/>
  </mergeCells>
  <phoneticPr fontId="60"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129"/>
  <sheetViews>
    <sheetView showGridLines="0" zoomScale="60" zoomScaleNormal="60" workbookViewId="0">
      <pane xSplit="3" ySplit="4" topLeftCell="Q121" activePane="bottomRight" state="frozen"/>
      <selection pane="topRight"/>
      <selection pane="bottomLeft"/>
      <selection pane="bottomRight" activeCell="G47" sqref="G47"/>
    </sheetView>
  </sheetViews>
  <sheetFormatPr defaultColWidth="8.81640625" defaultRowHeight="15"/>
  <cols>
    <col min="1" max="1" width="3.453125" style="15" customWidth="1"/>
    <col min="2" max="2" width="8.54296875" style="16" customWidth="1"/>
    <col min="3" max="3" width="60.81640625" style="15" customWidth="1"/>
    <col min="4" max="4" width="8.81640625" style="16"/>
    <col min="5" max="5" width="15.81640625" style="15" customWidth="1"/>
    <col min="6" max="6" width="17.453125" style="15" customWidth="1"/>
    <col min="7" max="7" width="15.1796875" style="15" customWidth="1"/>
    <col min="8" max="13" width="17.453125" style="15" customWidth="1"/>
    <col min="14" max="26" width="15.81640625" style="15" customWidth="1"/>
    <col min="27" max="16384" width="8.81640625" style="15"/>
  </cols>
  <sheetData>
    <row r="1" spans="2:26" ht="5.5" customHeight="1"/>
    <row r="2" spans="2:26" ht="7.25" customHeight="1"/>
    <row r="3" spans="2:26">
      <c r="B3" s="348" t="s">
        <v>14</v>
      </c>
      <c r="C3" s="348" t="s">
        <v>320</v>
      </c>
      <c r="D3" s="349" t="s">
        <v>39</v>
      </c>
      <c r="E3" s="346" t="s">
        <v>43</v>
      </c>
      <c r="F3" s="346"/>
      <c r="G3" s="347" t="s">
        <v>54</v>
      </c>
      <c r="H3" s="347"/>
      <c r="I3" s="347"/>
      <c r="J3" s="347"/>
      <c r="K3" s="347"/>
      <c r="L3" s="347"/>
      <c r="M3" s="347"/>
      <c r="N3" s="347"/>
      <c r="O3" s="347"/>
      <c r="P3" s="347"/>
      <c r="Q3" s="347"/>
      <c r="R3" s="347"/>
      <c r="S3" s="347"/>
      <c r="T3" s="347"/>
      <c r="U3" s="347"/>
      <c r="V3" s="347"/>
      <c r="W3" s="347"/>
      <c r="X3" s="347"/>
      <c r="Y3" s="347"/>
      <c r="Z3" s="347"/>
    </row>
    <row r="4" spans="2:26">
      <c r="B4" s="348"/>
      <c r="C4" s="348"/>
      <c r="D4" s="350"/>
      <c r="E4" s="17">
        <v>1</v>
      </c>
      <c r="F4" s="17">
        <v>2</v>
      </c>
      <c r="G4" s="18">
        <v>1</v>
      </c>
      <c r="H4" s="18">
        <v>2</v>
      </c>
      <c r="I4" s="18">
        <v>3</v>
      </c>
      <c r="J4" s="18">
        <v>4</v>
      </c>
      <c r="K4" s="18">
        <v>5</v>
      </c>
      <c r="L4" s="18">
        <v>6</v>
      </c>
      <c r="M4" s="18">
        <v>7</v>
      </c>
      <c r="N4" s="18">
        <v>8</v>
      </c>
      <c r="O4" s="18">
        <v>9</v>
      </c>
      <c r="P4" s="18">
        <v>10</v>
      </c>
      <c r="Q4" s="18">
        <v>11</v>
      </c>
      <c r="R4" s="18">
        <v>12</v>
      </c>
      <c r="S4" s="18">
        <v>13</v>
      </c>
      <c r="T4" s="18">
        <v>14</v>
      </c>
      <c r="U4" s="18">
        <v>15</v>
      </c>
      <c r="V4" s="18">
        <v>16</v>
      </c>
      <c r="W4" s="18">
        <v>17</v>
      </c>
      <c r="X4" s="18">
        <v>18</v>
      </c>
      <c r="Y4" s="18">
        <v>19</v>
      </c>
      <c r="Z4" s="18">
        <v>20</v>
      </c>
    </row>
    <row r="5" spans="2:26" ht="22.75" customHeight="1">
      <c r="B5" s="19">
        <v>1</v>
      </c>
      <c r="C5" s="20" t="s">
        <v>540</v>
      </c>
      <c r="D5" s="21" t="s">
        <v>106</v>
      </c>
      <c r="E5" s="22">
        <f ca="1">E6+E31</f>
        <v>24752.493503387803</v>
      </c>
      <c r="F5" s="22">
        <f t="shared" ref="F5:Z5" ca="1" si="0">F6+F31</f>
        <v>0</v>
      </c>
      <c r="G5" s="22">
        <f t="shared" ca="1" si="0"/>
        <v>21789.08980680571</v>
      </c>
      <c r="H5" s="22">
        <f t="shared" ca="1" si="0"/>
        <v>21022.157215276409</v>
      </c>
      <c r="I5" s="22">
        <f t="shared" ca="1" si="0"/>
        <v>20281.580108240585</v>
      </c>
      <c r="J5" s="22">
        <f t="shared" ca="1" si="0"/>
        <v>19528.629299300759</v>
      </c>
      <c r="K5" s="22">
        <f t="shared" ca="1" si="0"/>
        <v>18795.778491876688</v>
      </c>
      <c r="L5" s="22">
        <f t="shared" ca="1" si="0"/>
        <v>18014.610231546441</v>
      </c>
      <c r="M5" s="22">
        <f t="shared" ca="1" si="0"/>
        <v>17051.215336314737</v>
      </c>
      <c r="N5" s="22">
        <f t="shared" ca="1" si="0"/>
        <v>15995.17773050271</v>
      </c>
      <c r="O5" s="22">
        <f t="shared" ca="1" si="0"/>
        <v>14949.384922270334</v>
      </c>
      <c r="P5" s="22">
        <f t="shared" ca="1" si="0"/>
        <v>13913.16886776609</v>
      </c>
      <c r="Q5" s="22">
        <f t="shared" ca="1" si="0"/>
        <v>12768.701256200156</v>
      </c>
      <c r="R5" s="22">
        <f t="shared" ca="1" si="0"/>
        <v>11657.424169252212</v>
      </c>
      <c r="S5" s="22">
        <f t="shared" ca="1" si="0"/>
        <v>10562.210742579293</v>
      </c>
      <c r="T5" s="22">
        <f t="shared" ca="1" si="0"/>
        <v>9481.8110460603457</v>
      </c>
      <c r="U5" s="22">
        <f t="shared" ca="1" si="0"/>
        <v>8415.1001425864233</v>
      </c>
      <c r="V5" s="22">
        <f t="shared" ca="1" si="0"/>
        <v>9575.5780139434682</v>
      </c>
      <c r="W5" s="22">
        <f t="shared" ca="1" si="0"/>
        <v>10635.775770044958</v>
      </c>
      <c r="X5" s="22">
        <f t="shared" ca="1" si="0"/>
        <v>11605.721422416449</v>
      </c>
      <c r="Y5" s="22">
        <f t="shared" ca="1" si="0"/>
        <v>12494.44018143094</v>
      </c>
      <c r="Z5" s="22">
        <f t="shared" ca="1" si="0"/>
        <v>13205.054736424132</v>
      </c>
    </row>
    <row r="6" spans="2:26">
      <c r="B6" s="23">
        <v>1.1000000000000001</v>
      </c>
      <c r="C6" s="24" t="s">
        <v>321</v>
      </c>
      <c r="D6" s="25" t="s">
        <v>106</v>
      </c>
      <c r="E6" s="26">
        <f ca="1">SUM(E7:E21)+E23+E24+SUM(E27:E30)</f>
        <v>0</v>
      </c>
      <c r="F6" s="26">
        <f t="shared" ref="F6:Z6" ca="1" si="1">SUM(F7:F21)+F23+F24+SUM(F27:F30)</f>
        <v>0</v>
      </c>
      <c r="G6" s="26">
        <f t="shared" ca="1" si="1"/>
        <v>775.18087706998904</v>
      </c>
      <c r="H6" s="26">
        <f t="shared" ca="1" si="1"/>
        <v>1429.1175726046661</v>
      </c>
      <c r="I6" s="26">
        <f t="shared" ca="1" si="1"/>
        <v>2109.4097526328269</v>
      </c>
      <c r="J6" s="26">
        <f t="shared" ca="1" si="1"/>
        <v>2777.3282307569807</v>
      </c>
      <c r="K6" s="26">
        <f t="shared" ca="1" si="1"/>
        <v>3465.3467103968919</v>
      </c>
      <c r="L6" s="26">
        <f t="shared" ca="1" si="1"/>
        <v>4105.0477371306233</v>
      </c>
      <c r="M6" s="26">
        <f t="shared" ca="1" si="1"/>
        <v>4562.5221289628998</v>
      </c>
      <c r="N6" s="26">
        <f t="shared" ca="1" si="1"/>
        <v>4927.353810214855</v>
      </c>
      <c r="O6" s="26">
        <f t="shared" ca="1" si="1"/>
        <v>5302.4302890464587</v>
      </c>
      <c r="P6" s="26">
        <f t="shared" ca="1" si="1"/>
        <v>5687.0835216061951</v>
      </c>
      <c r="Q6" s="26">
        <f t="shared" ca="1" si="1"/>
        <v>5579.0604183431824</v>
      </c>
      <c r="R6" s="26">
        <f t="shared" ca="1" si="1"/>
        <v>5929.0066007601026</v>
      </c>
      <c r="S6" s="26">
        <f t="shared" ca="1" si="1"/>
        <v>6295.0164434520484</v>
      </c>
      <c r="T6" s="26">
        <f t="shared" ca="1" si="1"/>
        <v>6675.8400162979669</v>
      </c>
      <c r="U6" s="26">
        <f t="shared" ca="1" si="1"/>
        <v>7070.3523821889094</v>
      </c>
      <c r="V6" s="26">
        <f t="shared" ca="1" si="1"/>
        <v>8271.1842358468384</v>
      </c>
      <c r="W6" s="26">
        <f t="shared" ca="1" si="1"/>
        <v>9371.7359742492117</v>
      </c>
      <c r="X6" s="26">
        <f t="shared" ca="1" si="1"/>
        <v>10382.035608921586</v>
      </c>
      <c r="Y6" s="26">
        <f t="shared" ca="1" si="1"/>
        <v>11311.10835023696</v>
      </c>
      <c r="Z6" s="26">
        <f t="shared" ca="1" si="1"/>
        <v>12062.076887531035</v>
      </c>
    </row>
    <row r="7" spans="2:26">
      <c r="B7" s="25"/>
      <c r="C7" s="27" t="s">
        <v>541</v>
      </c>
      <c r="D7" s="25" t="s">
        <v>106</v>
      </c>
      <c r="E7" s="28">
        <f ca="1">'表9-现金流量表-财务计划'!F34</f>
        <v>0</v>
      </c>
      <c r="F7" s="28">
        <f ca="1">'表9-现金流量表-财务计划'!G34</f>
        <v>0</v>
      </c>
      <c r="G7" s="28">
        <f ca="1">'表9-现金流量表-财务计划'!H34+'表1-资金筹措及还本付息表'!$H$6</f>
        <v>775.18087706998904</v>
      </c>
      <c r="H7" s="28">
        <f ca="1">'表9-现金流量表-财务计划'!I34+'表1-资金筹措及还本付息表'!$H$6</f>
        <v>1429.1175726046661</v>
      </c>
      <c r="I7" s="28">
        <f ca="1">'表9-现金流量表-财务计划'!J34+'表1-资金筹措及还本付息表'!$H$6</f>
        <v>2109.4097526328269</v>
      </c>
      <c r="J7" s="28">
        <f ca="1">'表9-现金流量表-财务计划'!K34+'表1-资金筹措及还本付息表'!$H$6</f>
        <v>2777.3282307569807</v>
      </c>
      <c r="K7" s="28">
        <f ca="1">'表9-现金流量表-财务计划'!L34+'表1-资金筹措及还本付息表'!$H$6</f>
        <v>3465.3467103968919</v>
      </c>
      <c r="L7" s="28">
        <f ca="1">'表9-现金流量表-财务计划'!M34+'表1-资金筹措及还本付息表'!$H$6</f>
        <v>4105.0477371306233</v>
      </c>
      <c r="M7" s="28">
        <f ca="1">'表9-现金流量表-财务计划'!N34+'表1-资金筹措及还本付息表'!$H$6</f>
        <v>4562.5221289628998</v>
      </c>
      <c r="N7" s="28">
        <f ca="1">'表9-现金流量表-财务计划'!O34+'表1-资金筹措及还本付息表'!$H$6</f>
        <v>4927.353810214855</v>
      </c>
      <c r="O7" s="28">
        <f ca="1">'表9-现金流量表-财务计划'!P34+'表1-资金筹措及还本付息表'!$H$6</f>
        <v>5302.4302890464587</v>
      </c>
      <c r="P7" s="28">
        <f ca="1">'表9-现金流量表-财务计划'!Q34+'表1-资金筹措及还本付息表'!$H$6</f>
        <v>5687.0835216061951</v>
      </c>
      <c r="Q7" s="28">
        <f ca="1">'表9-现金流量表-财务计划'!R34+'表1-资金筹措及还本付息表'!$H$6</f>
        <v>5579.0604183431824</v>
      </c>
      <c r="R7" s="28">
        <f ca="1">'表9-现金流量表-财务计划'!S34+'表1-资金筹措及还本付息表'!$H$6</f>
        <v>5929.0066007601026</v>
      </c>
      <c r="S7" s="28">
        <f ca="1">'表9-现金流量表-财务计划'!T34+'表1-资金筹措及还本付息表'!$H$6</f>
        <v>6295.0164434520484</v>
      </c>
      <c r="T7" s="28">
        <f ca="1">'表9-现金流量表-财务计划'!U34+'表1-资金筹措及还本付息表'!$H$6</f>
        <v>6675.8400162979669</v>
      </c>
      <c r="U7" s="28">
        <f ca="1">'表9-现金流量表-财务计划'!V34+'表1-资金筹措及还本付息表'!$H$6</f>
        <v>7070.3523821889094</v>
      </c>
      <c r="V7" s="28">
        <f ca="1">'表9-现金流量表-财务计划'!W34+'表1-资金筹措及还本付息表'!$H$6</f>
        <v>8271.1842358468384</v>
      </c>
      <c r="W7" s="28">
        <f ca="1">'表9-现金流量表-财务计划'!X34+'表1-资金筹措及还本付息表'!$H$6</f>
        <v>9371.7359742492117</v>
      </c>
      <c r="X7" s="28">
        <f ca="1">'表9-现金流量表-财务计划'!Y34+'表1-资金筹措及还本付息表'!$H$6</f>
        <v>10382.035608921586</v>
      </c>
      <c r="Y7" s="28">
        <f ca="1">'表9-现金流量表-财务计划'!Z34+'表1-资金筹措及还本付息表'!$H$6</f>
        <v>11311.10835023696</v>
      </c>
      <c r="Z7" s="28">
        <f ca="1">'表9-现金流量表-财务计划'!AA34+'表1-资金筹措及还本付息表'!$H$6</f>
        <v>12062.076887531035</v>
      </c>
    </row>
    <row r="8" spans="2:26">
      <c r="B8" s="25"/>
      <c r="C8" s="27" t="s">
        <v>542</v>
      </c>
      <c r="D8" s="25" t="s">
        <v>106</v>
      </c>
      <c r="E8" s="28"/>
      <c r="F8" s="28"/>
      <c r="G8" s="28"/>
      <c r="H8" s="28"/>
      <c r="I8" s="28"/>
      <c r="J8" s="28"/>
      <c r="K8" s="28"/>
      <c r="L8" s="28"/>
      <c r="M8" s="28"/>
      <c r="N8" s="28"/>
      <c r="O8" s="28"/>
      <c r="P8" s="28"/>
      <c r="Q8" s="28"/>
      <c r="R8" s="28"/>
      <c r="S8" s="28"/>
      <c r="T8" s="28"/>
      <c r="U8" s="28"/>
      <c r="V8" s="28"/>
      <c r="W8" s="28"/>
      <c r="X8" s="28"/>
      <c r="Y8" s="28"/>
      <c r="Z8" s="28"/>
    </row>
    <row r="9" spans="2:26">
      <c r="B9" s="25"/>
      <c r="C9" s="27" t="s">
        <v>543</v>
      </c>
      <c r="D9" s="25" t="s">
        <v>106</v>
      </c>
      <c r="E9" s="28"/>
      <c r="F9" s="28"/>
      <c r="G9" s="28"/>
      <c r="H9" s="28"/>
      <c r="I9" s="28"/>
      <c r="J9" s="28"/>
      <c r="K9" s="28"/>
      <c r="L9" s="28"/>
      <c r="M9" s="28"/>
      <c r="N9" s="28"/>
      <c r="O9" s="28"/>
      <c r="P9" s="28"/>
      <c r="Q9" s="28"/>
      <c r="R9" s="28"/>
      <c r="S9" s="28"/>
      <c r="T9" s="28"/>
      <c r="U9" s="28"/>
      <c r="V9" s="28"/>
      <c r="W9" s="28"/>
      <c r="X9" s="28"/>
      <c r="Y9" s="28"/>
      <c r="Z9" s="28"/>
    </row>
    <row r="10" spans="2:26">
      <c r="B10" s="25"/>
      <c r="C10" s="27" t="s">
        <v>544</v>
      </c>
      <c r="D10" s="25" t="s">
        <v>106</v>
      </c>
      <c r="E10" s="28"/>
      <c r="F10" s="28"/>
      <c r="G10" s="28"/>
      <c r="H10" s="28"/>
      <c r="I10" s="28"/>
      <c r="J10" s="28"/>
      <c r="K10" s="28"/>
      <c r="L10" s="28"/>
      <c r="M10" s="28"/>
      <c r="N10" s="28"/>
      <c r="O10" s="28"/>
      <c r="P10" s="28"/>
      <c r="Q10" s="28"/>
      <c r="R10" s="28"/>
      <c r="S10" s="28"/>
      <c r="T10" s="28"/>
      <c r="U10" s="28"/>
      <c r="V10" s="28"/>
      <c r="W10" s="28"/>
      <c r="X10" s="28"/>
      <c r="Y10" s="28"/>
      <c r="Z10" s="28"/>
    </row>
    <row r="11" spans="2:26">
      <c r="B11" s="25"/>
      <c r="C11" s="27" t="s">
        <v>545</v>
      </c>
      <c r="D11" s="25" t="s">
        <v>106</v>
      </c>
      <c r="E11" s="28"/>
      <c r="F11" s="28"/>
      <c r="G11" s="28"/>
      <c r="H11" s="28"/>
      <c r="I11" s="28"/>
      <c r="J11" s="28"/>
      <c r="K11" s="28"/>
      <c r="L11" s="28"/>
      <c r="M11" s="28"/>
      <c r="N11" s="28"/>
      <c r="O11" s="28"/>
      <c r="P11" s="28"/>
      <c r="Q11" s="28"/>
      <c r="R11" s="28"/>
      <c r="S11" s="28"/>
      <c r="T11" s="28"/>
      <c r="U11" s="28"/>
      <c r="V11" s="28"/>
      <c r="W11" s="28"/>
      <c r="X11" s="28"/>
      <c r="Y11" s="28"/>
      <c r="Z11" s="28"/>
    </row>
    <row r="12" spans="2:26">
      <c r="B12" s="25"/>
      <c r="C12" s="27" t="s">
        <v>546</v>
      </c>
      <c r="D12" s="25" t="s">
        <v>106</v>
      </c>
      <c r="E12" s="28"/>
      <c r="F12" s="28"/>
      <c r="G12" s="28"/>
      <c r="H12" s="28"/>
      <c r="I12" s="28"/>
      <c r="J12" s="28"/>
      <c r="K12" s="28"/>
      <c r="L12" s="28"/>
      <c r="M12" s="28"/>
      <c r="N12" s="28"/>
      <c r="O12" s="28"/>
      <c r="P12" s="28"/>
      <c r="Q12" s="28"/>
      <c r="R12" s="28"/>
      <c r="S12" s="28"/>
      <c r="T12" s="28"/>
      <c r="U12" s="28"/>
      <c r="V12" s="28"/>
      <c r="W12" s="28"/>
      <c r="X12" s="28"/>
      <c r="Y12" s="28"/>
      <c r="Z12" s="28"/>
    </row>
    <row r="13" spans="2:26">
      <c r="B13" s="25"/>
      <c r="C13" s="27" t="s">
        <v>547</v>
      </c>
      <c r="D13" s="25" t="s">
        <v>106</v>
      </c>
      <c r="E13" s="28"/>
      <c r="F13" s="28"/>
      <c r="G13" s="28"/>
      <c r="H13" s="28"/>
      <c r="I13" s="28"/>
      <c r="J13" s="28"/>
      <c r="K13" s="28"/>
      <c r="L13" s="28"/>
      <c r="M13" s="28"/>
      <c r="N13" s="28"/>
      <c r="O13" s="28"/>
      <c r="P13" s="28"/>
      <c r="Q13" s="28"/>
      <c r="R13" s="28"/>
      <c r="S13" s="28"/>
      <c r="T13" s="28"/>
      <c r="U13" s="28"/>
      <c r="V13" s="28"/>
      <c r="W13" s="28"/>
      <c r="X13" s="28"/>
      <c r="Y13" s="28"/>
      <c r="Z13" s="28"/>
    </row>
    <row r="14" spans="2:26">
      <c r="B14" s="25"/>
      <c r="C14" s="27" t="s">
        <v>548</v>
      </c>
      <c r="D14" s="25" t="s">
        <v>106</v>
      </c>
      <c r="E14" s="28"/>
      <c r="F14" s="28"/>
      <c r="G14" s="28">
        <f>'表4-收入税金表'!H60</f>
        <v>0</v>
      </c>
      <c r="H14" s="28">
        <f>'表4-收入税金表'!I60</f>
        <v>0</v>
      </c>
      <c r="I14" s="28">
        <f>'表4-收入税金表'!J60</f>
        <v>0</v>
      </c>
      <c r="J14" s="28">
        <f>'表4-收入税金表'!K60</f>
        <v>0</v>
      </c>
      <c r="K14" s="28">
        <f>'表4-收入税金表'!L60</f>
        <v>0</v>
      </c>
      <c r="L14" s="28">
        <f>'表4-收入税金表'!M60</f>
        <v>0</v>
      </c>
      <c r="M14" s="28">
        <f>'表4-收入税金表'!N60</f>
        <v>0</v>
      </c>
      <c r="N14" s="28">
        <f>'表4-收入税金表'!O60</f>
        <v>0</v>
      </c>
      <c r="O14" s="28">
        <f>'表4-收入税金表'!P60</f>
        <v>0</v>
      </c>
      <c r="P14" s="28">
        <f>'表4-收入税金表'!Q60</f>
        <v>0</v>
      </c>
      <c r="Q14" s="28">
        <f>'表4-收入税金表'!R60</f>
        <v>0</v>
      </c>
      <c r="R14" s="28">
        <f>'表4-收入税金表'!S60</f>
        <v>0</v>
      </c>
      <c r="S14" s="28">
        <f>'表4-收入税金表'!T60</f>
        <v>0</v>
      </c>
      <c r="T14" s="28">
        <f>'表4-收入税金表'!U60</f>
        <v>0</v>
      </c>
      <c r="U14" s="28">
        <f>'表4-收入税金表'!V60</f>
        <v>0</v>
      </c>
      <c r="V14" s="28">
        <f>'表4-收入税金表'!W60</f>
        <v>0</v>
      </c>
      <c r="W14" s="28">
        <f>'表4-收入税金表'!X60</f>
        <v>0</v>
      </c>
      <c r="X14" s="28">
        <f>'表4-收入税金表'!Y60</f>
        <v>0</v>
      </c>
      <c r="Y14" s="28">
        <f>'表4-收入税金表'!Z60</f>
        <v>0</v>
      </c>
      <c r="Z14" s="28">
        <f>'表4-收入税金表'!AA60</f>
        <v>0</v>
      </c>
    </row>
    <row r="15" spans="2:26">
      <c r="B15" s="25"/>
      <c r="C15" s="27" t="s">
        <v>549</v>
      </c>
      <c r="D15" s="25" t="s">
        <v>106</v>
      </c>
      <c r="E15" s="28"/>
      <c r="F15" s="28"/>
      <c r="G15" s="28"/>
      <c r="H15" s="28"/>
      <c r="I15" s="28"/>
      <c r="J15" s="28"/>
      <c r="K15" s="28"/>
      <c r="L15" s="28"/>
      <c r="M15" s="28"/>
      <c r="N15" s="28"/>
      <c r="O15" s="28"/>
      <c r="P15" s="28"/>
      <c r="Q15" s="28"/>
      <c r="R15" s="28"/>
      <c r="S15" s="28"/>
      <c r="T15" s="28"/>
      <c r="U15" s="28"/>
      <c r="V15" s="28"/>
      <c r="W15" s="28"/>
      <c r="X15" s="28"/>
      <c r="Y15" s="28"/>
      <c r="Z15" s="28"/>
    </row>
    <row r="16" spans="2:26">
      <c r="B16" s="25"/>
      <c r="C16" s="27" t="s">
        <v>550</v>
      </c>
      <c r="D16" s="25" t="s">
        <v>106</v>
      </c>
      <c r="E16" s="28"/>
      <c r="F16" s="28"/>
      <c r="G16" s="28"/>
      <c r="H16" s="28"/>
      <c r="I16" s="28"/>
      <c r="J16" s="28"/>
      <c r="K16" s="28"/>
      <c r="L16" s="28"/>
      <c r="M16" s="28"/>
      <c r="N16" s="28"/>
      <c r="O16" s="28"/>
      <c r="P16" s="28"/>
      <c r="Q16" s="28"/>
      <c r="R16" s="28"/>
      <c r="S16" s="28"/>
      <c r="T16" s="28"/>
      <c r="U16" s="28"/>
      <c r="V16" s="28"/>
      <c r="W16" s="28"/>
      <c r="X16" s="28"/>
      <c r="Y16" s="28"/>
      <c r="Z16" s="28"/>
    </row>
    <row r="17" spans="2:26">
      <c r="B17" s="25"/>
      <c r="C17" s="27" t="s">
        <v>551</v>
      </c>
      <c r="D17" s="25" t="s">
        <v>106</v>
      </c>
      <c r="E17" s="28"/>
      <c r="F17" s="28"/>
      <c r="G17" s="28"/>
      <c r="H17" s="28"/>
      <c r="I17" s="28"/>
      <c r="J17" s="28"/>
      <c r="K17" s="28"/>
      <c r="L17" s="28"/>
      <c r="M17" s="28"/>
      <c r="N17" s="28"/>
      <c r="O17" s="28"/>
      <c r="P17" s="28"/>
      <c r="Q17" s="28"/>
      <c r="R17" s="28"/>
      <c r="S17" s="28"/>
      <c r="T17" s="28"/>
      <c r="U17" s="28"/>
      <c r="V17" s="28"/>
      <c r="W17" s="28"/>
      <c r="X17" s="28"/>
      <c r="Y17" s="28"/>
      <c r="Z17" s="28"/>
    </row>
    <row r="18" spans="2:26">
      <c r="B18" s="25"/>
      <c r="C18" s="27" t="s">
        <v>552</v>
      </c>
      <c r="D18" s="25" t="s">
        <v>106</v>
      </c>
      <c r="E18" s="28"/>
      <c r="F18" s="28"/>
      <c r="G18" s="28"/>
      <c r="H18" s="28"/>
      <c r="I18" s="28"/>
      <c r="J18" s="28"/>
      <c r="K18" s="28"/>
      <c r="L18" s="28"/>
      <c r="M18" s="28"/>
      <c r="N18" s="28"/>
      <c r="O18" s="28"/>
      <c r="P18" s="28"/>
      <c r="Q18" s="28"/>
      <c r="R18" s="28"/>
      <c r="S18" s="28"/>
      <c r="T18" s="28"/>
      <c r="U18" s="28"/>
      <c r="V18" s="28"/>
      <c r="W18" s="28"/>
      <c r="X18" s="28"/>
      <c r="Y18" s="28"/>
      <c r="Z18" s="28"/>
    </row>
    <row r="19" spans="2:26">
      <c r="B19" s="25"/>
      <c r="C19" s="27" t="s">
        <v>553</v>
      </c>
      <c r="D19" s="25" t="s">
        <v>106</v>
      </c>
      <c r="E19" s="28"/>
      <c r="F19" s="28"/>
      <c r="G19" s="28"/>
      <c r="H19" s="28"/>
      <c r="I19" s="28"/>
      <c r="J19" s="28"/>
      <c r="K19" s="28"/>
      <c r="L19" s="28"/>
      <c r="M19" s="28"/>
      <c r="N19" s="28"/>
      <c r="O19" s="28"/>
      <c r="P19" s="28"/>
      <c r="Q19" s="28"/>
      <c r="R19" s="28"/>
      <c r="S19" s="28"/>
      <c r="T19" s="28"/>
      <c r="U19" s="28"/>
      <c r="V19" s="28"/>
      <c r="W19" s="28"/>
      <c r="X19" s="28"/>
      <c r="Y19" s="28"/>
      <c r="Z19" s="28"/>
    </row>
    <row r="20" spans="2:26">
      <c r="B20" s="25"/>
      <c r="C20" s="27" t="s">
        <v>554</v>
      </c>
      <c r="D20" s="25" t="s">
        <v>106</v>
      </c>
      <c r="E20" s="28"/>
      <c r="F20" s="28"/>
      <c r="G20" s="28"/>
      <c r="H20" s="28"/>
      <c r="I20" s="28"/>
      <c r="J20" s="28"/>
      <c r="K20" s="28"/>
      <c r="L20" s="28"/>
      <c r="M20" s="28"/>
      <c r="N20" s="28"/>
      <c r="O20" s="28"/>
      <c r="P20" s="28"/>
      <c r="Q20" s="28"/>
      <c r="R20" s="28"/>
      <c r="S20" s="28"/>
      <c r="T20" s="28"/>
      <c r="U20" s="28"/>
      <c r="V20" s="28"/>
      <c r="W20" s="28"/>
      <c r="X20" s="28"/>
      <c r="Y20" s="28"/>
      <c r="Z20" s="28"/>
    </row>
    <row r="21" spans="2:26">
      <c r="B21" s="25"/>
      <c r="C21" s="27" t="s">
        <v>555</v>
      </c>
      <c r="D21" s="25" t="s">
        <v>106</v>
      </c>
      <c r="E21" s="28">
        <v>0</v>
      </c>
      <c r="F21" s="28">
        <f>IF('表1-资金筹措及还本付息表'!G5=0,0,'表4-收入税金表'!G45)</f>
        <v>0</v>
      </c>
      <c r="G21" s="28">
        <f>0</f>
        <v>0</v>
      </c>
      <c r="H21" s="28">
        <f t="shared" ref="H21:Q21" si="2">0</f>
        <v>0</v>
      </c>
      <c r="I21" s="28">
        <f t="shared" si="2"/>
        <v>0</v>
      </c>
      <c r="J21" s="28">
        <f t="shared" si="2"/>
        <v>0</v>
      </c>
      <c r="K21" s="28">
        <f t="shared" si="2"/>
        <v>0</v>
      </c>
      <c r="L21" s="28">
        <f t="shared" si="2"/>
        <v>0</v>
      </c>
      <c r="M21" s="28">
        <f t="shared" si="2"/>
        <v>0</v>
      </c>
      <c r="N21" s="28">
        <f t="shared" si="2"/>
        <v>0</v>
      </c>
      <c r="O21" s="28">
        <f t="shared" si="2"/>
        <v>0</v>
      </c>
      <c r="P21" s="28">
        <f t="shared" si="2"/>
        <v>0</v>
      </c>
      <c r="Q21" s="28">
        <f t="shared" si="2"/>
        <v>0</v>
      </c>
      <c r="R21" s="28">
        <f t="shared" ref="R21:Z21" si="3">0</f>
        <v>0</v>
      </c>
      <c r="S21" s="28">
        <f t="shared" si="3"/>
        <v>0</v>
      </c>
      <c r="T21" s="28">
        <f t="shared" si="3"/>
        <v>0</v>
      </c>
      <c r="U21" s="28">
        <f t="shared" si="3"/>
        <v>0</v>
      </c>
      <c r="V21" s="28">
        <f t="shared" si="3"/>
        <v>0</v>
      </c>
      <c r="W21" s="28">
        <f t="shared" si="3"/>
        <v>0</v>
      </c>
      <c r="X21" s="28">
        <f t="shared" si="3"/>
        <v>0</v>
      </c>
      <c r="Y21" s="28">
        <f t="shared" si="3"/>
        <v>0</v>
      </c>
      <c r="Z21" s="28">
        <f t="shared" si="3"/>
        <v>0</v>
      </c>
    </row>
    <row r="22" spans="2:26">
      <c r="B22" s="25"/>
      <c r="C22" s="29" t="s">
        <v>556</v>
      </c>
      <c r="D22" s="25" t="s">
        <v>106</v>
      </c>
      <c r="E22" s="28"/>
      <c r="F22" s="28"/>
      <c r="G22" s="28"/>
      <c r="H22" s="28"/>
      <c r="I22" s="28"/>
      <c r="J22" s="28"/>
      <c r="K22" s="28"/>
      <c r="L22" s="28"/>
      <c r="M22" s="28"/>
      <c r="N22" s="28"/>
      <c r="O22" s="28"/>
      <c r="P22" s="28"/>
      <c r="Q22" s="28"/>
      <c r="R22" s="28"/>
      <c r="S22" s="28"/>
      <c r="T22" s="28"/>
      <c r="U22" s="28"/>
      <c r="V22" s="28"/>
      <c r="W22" s="28"/>
      <c r="X22" s="28"/>
      <c r="Y22" s="28"/>
      <c r="Z22" s="28"/>
    </row>
    <row r="23" spans="2:26">
      <c r="B23" s="25"/>
      <c r="C23" s="27" t="s">
        <v>557</v>
      </c>
      <c r="D23" s="25" t="s">
        <v>106</v>
      </c>
      <c r="E23" s="28"/>
      <c r="F23" s="28"/>
      <c r="G23" s="28"/>
      <c r="H23" s="28"/>
      <c r="I23" s="28"/>
      <c r="J23" s="28"/>
      <c r="K23" s="28"/>
      <c r="L23" s="28"/>
      <c r="M23" s="28"/>
      <c r="N23" s="28"/>
      <c r="O23" s="28"/>
      <c r="P23" s="28"/>
      <c r="Q23" s="28"/>
      <c r="R23" s="28"/>
      <c r="S23" s="28"/>
      <c r="T23" s="28"/>
      <c r="U23" s="28"/>
      <c r="V23" s="28"/>
      <c r="W23" s="28"/>
      <c r="X23" s="28"/>
      <c r="Y23" s="28"/>
      <c r="Z23" s="28"/>
    </row>
    <row r="24" spans="2:26">
      <c r="B24" s="25"/>
      <c r="C24" s="27" t="s">
        <v>558</v>
      </c>
      <c r="D24" s="25" t="s">
        <v>106</v>
      </c>
      <c r="E24" s="28">
        <f>SUM(E25:E26)</f>
        <v>0</v>
      </c>
      <c r="F24" s="28">
        <f t="shared" ref="F24:Z24" si="4">SUM(F25:F26)</f>
        <v>0</v>
      </c>
      <c r="G24" s="28">
        <f t="shared" si="4"/>
        <v>0</v>
      </c>
      <c r="H24" s="28">
        <f t="shared" si="4"/>
        <v>0</v>
      </c>
      <c r="I24" s="28">
        <f t="shared" si="4"/>
        <v>0</v>
      </c>
      <c r="J24" s="28">
        <f t="shared" si="4"/>
        <v>0</v>
      </c>
      <c r="K24" s="28">
        <f t="shared" si="4"/>
        <v>0</v>
      </c>
      <c r="L24" s="28">
        <f t="shared" si="4"/>
        <v>0</v>
      </c>
      <c r="M24" s="28">
        <f t="shared" si="4"/>
        <v>0</v>
      </c>
      <c r="N24" s="28">
        <f t="shared" si="4"/>
        <v>0</v>
      </c>
      <c r="O24" s="28">
        <f t="shared" si="4"/>
        <v>0</v>
      </c>
      <c r="P24" s="28">
        <f t="shared" si="4"/>
        <v>0</v>
      </c>
      <c r="Q24" s="28">
        <f t="shared" si="4"/>
        <v>0</v>
      </c>
      <c r="R24" s="28">
        <f t="shared" si="4"/>
        <v>0</v>
      </c>
      <c r="S24" s="28">
        <f t="shared" si="4"/>
        <v>0</v>
      </c>
      <c r="T24" s="28">
        <f t="shared" si="4"/>
        <v>0</v>
      </c>
      <c r="U24" s="28">
        <f t="shared" si="4"/>
        <v>0</v>
      </c>
      <c r="V24" s="28">
        <f t="shared" si="4"/>
        <v>0</v>
      </c>
      <c r="W24" s="28">
        <f t="shared" si="4"/>
        <v>0</v>
      </c>
      <c r="X24" s="28">
        <f t="shared" si="4"/>
        <v>0</v>
      </c>
      <c r="Y24" s="28">
        <f t="shared" si="4"/>
        <v>0</v>
      </c>
      <c r="Z24" s="28">
        <f t="shared" si="4"/>
        <v>0</v>
      </c>
    </row>
    <row r="25" spans="2:26">
      <c r="B25" s="25"/>
      <c r="C25" s="29" t="s">
        <v>559</v>
      </c>
      <c r="D25" s="25" t="s">
        <v>106</v>
      </c>
      <c r="E25" s="28"/>
      <c r="F25" s="28"/>
      <c r="G25" s="28"/>
      <c r="H25" s="28"/>
      <c r="I25" s="28"/>
      <c r="J25" s="28"/>
      <c r="K25" s="28"/>
      <c r="L25" s="28"/>
      <c r="M25" s="28"/>
      <c r="N25" s="28"/>
      <c r="O25" s="28"/>
      <c r="P25" s="28"/>
      <c r="Q25" s="28"/>
      <c r="R25" s="28"/>
      <c r="S25" s="28"/>
      <c r="T25" s="28"/>
      <c r="U25" s="28"/>
      <c r="V25" s="28"/>
      <c r="W25" s="28"/>
      <c r="X25" s="28"/>
      <c r="Y25" s="28"/>
      <c r="Z25" s="28"/>
    </row>
    <row r="26" spans="2:26">
      <c r="B26" s="25"/>
      <c r="C26" s="30" t="s">
        <v>560</v>
      </c>
      <c r="D26" s="25" t="s">
        <v>106</v>
      </c>
      <c r="E26" s="28"/>
      <c r="F26" s="28"/>
      <c r="G26" s="28"/>
      <c r="H26" s="28"/>
      <c r="I26" s="28"/>
      <c r="J26" s="28"/>
      <c r="K26" s="28"/>
      <c r="L26" s="28"/>
      <c r="M26" s="28"/>
      <c r="N26" s="28"/>
      <c r="O26" s="28"/>
      <c r="P26" s="28"/>
      <c r="Q26" s="28"/>
      <c r="R26" s="28"/>
      <c r="S26" s="28"/>
      <c r="T26" s="28"/>
      <c r="U26" s="28"/>
      <c r="V26" s="28"/>
      <c r="W26" s="28"/>
      <c r="X26" s="28"/>
      <c r="Y26" s="28"/>
      <c r="Z26" s="28"/>
    </row>
    <row r="27" spans="2:26">
      <c r="B27" s="25"/>
      <c r="C27" s="27" t="s">
        <v>561</v>
      </c>
      <c r="D27" s="25" t="s">
        <v>106</v>
      </c>
      <c r="E27" s="28"/>
      <c r="F27" s="28"/>
      <c r="G27" s="28"/>
      <c r="H27" s="28"/>
      <c r="I27" s="28"/>
      <c r="J27" s="28"/>
      <c r="K27" s="28"/>
      <c r="L27" s="28"/>
      <c r="M27" s="28"/>
      <c r="N27" s="28"/>
      <c r="O27" s="28"/>
      <c r="P27" s="28"/>
      <c r="Q27" s="28"/>
      <c r="R27" s="28"/>
      <c r="S27" s="28"/>
      <c r="T27" s="28"/>
      <c r="U27" s="28"/>
      <c r="V27" s="28"/>
      <c r="W27" s="28"/>
      <c r="X27" s="28"/>
      <c r="Y27" s="28"/>
      <c r="Z27" s="28"/>
    </row>
    <row r="28" spans="2:26">
      <c r="B28" s="25"/>
      <c r="C28" s="27" t="s">
        <v>562</v>
      </c>
      <c r="D28" s="25" t="s">
        <v>106</v>
      </c>
      <c r="E28" s="28"/>
      <c r="F28" s="28"/>
      <c r="G28" s="28"/>
      <c r="H28" s="28"/>
      <c r="I28" s="28"/>
      <c r="J28" s="28"/>
      <c r="K28" s="28"/>
      <c r="L28" s="28"/>
      <c r="M28" s="28"/>
      <c r="N28" s="28"/>
      <c r="O28" s="28"/>
      <c r="P28" s="28"/>
      <c r="Q28" s="28"/>
      <c r="R28" s="28"/>
      <c r="S28" s="28"/>
      <c r="T28" s="28"/>
      <c r="U28" s="28"/>
      <c r="V28" s="28"/>
      <c r="W28" s="28"/>
      <c r="X28" s="28"/>
      <c r="Y28" s="28"/>
      <c r="Z28" s="28"/>
    </row>
    <row r="29" spans="2:26">
      <c r="B29" s="25"/>
      <c r="C29" s="27" t="s">
        <v>563</v>
      </c>
      <c r="D29" s="25" t="s">
        <v>106</v>
      </c>
      <c r="E29" s="28"/>
      <c r="F29" s="28"/>
      <c r="G29" s="28"/>
      <c r="H29" s="28"/>
      <c r="I29" s="28"/>
      <c r="J29" s="28"/>
      <c r="K29" s="28"/>
      <c r="L29" s="28"/>
      <c r="M29" s="28"/>
      <c r="N29" s="28"/>
      <c r="O29" s="28"/>
      <c r="P29" s="28"/>
      <c r="Q29" s="28"/>
      <c r="R29" s="28"/>
      <c r="S29" s="28"/>
      <c r="T29" s="28"/>
      <c r="U29" s="28"/>
      <c r="V29" s="28"/>
      <c r="W29" s="28"/>
      <c r="X29" s="28"/>
      <c r="Y29" s="28"/>
      <c r="Z29" s="28"/>
    </row>
    <row r="30" spans="2:26">
      <c r="B30" s="25"/>
      <c r="C30" s="27" t="s">
        <v>564</v>
      </c>
      <c r="D30" s="25" t="s">
        <v>106</v>
      </c>
      <c r="E30" s="28"/>
      <c r="F30" s="28"/>
      <c r="G30" s="28"/>
      <c r="H30" s="28">
        <f>G30</f>
        <v>0</v>
      </c>
      <c r="I30" s="28">
        <f t="shared" ref="I30:Z30" si="5">H30</f>
        <v>0</v>
      </c>
      <c r="J30" s="28">
        <f t="shared" si="5"/>
        <v>0</v>
      </c>
      <c r="K30" s="28">
        <f t="shared" si="5"/>
        <v>0</v>
      </c>
      <c r="L30" s="28">
        <f t="shared" si="5"/>
        <v>0</v>
      </c>
      <c r="M30" s="28">
        <f t="shared" si="5"/>
        <v>0</v>
      </c>
      <c r="N30" s="28">
        <f t="shared" si="5"/>
        <v>0</v>
      </c>
      <c r="O30" s="28">
        <f t="shared" si="5"/>
        <v>0</v>
      </c>
      <c r="P30" s="28">
        <f t="shared" si="5"/>
        <v>0</v>
      </c>
      <c r="Q30" s="28">
        <f t="shared" si="5"/>
        <v>0</v>
      </c>
      <c r="R30" s="28">
        <f t="shared" si="5"/>
        <v>0</v>
      </c>
      <c r="S30" s="28">
        <f t="shared" si="5"/>
        <v>0</v>
      </c>
      <c r="T30" s="28">
        <f t="shared" si="5"/>
        <v>0</v>
      </c>
      <c r="U30" s="28">
        <f t="shared" si="5"/>
        <v>0</v>
      </c>
      <c r="V30" s="28">
        <f t="shared" si="5"/>
        <v>0</v>
      </c>
      <c r="W30" s="28">
        <f t="shared" si="5"/>
        <v>0</v>
      </c>
      <c r="X30" s="28">
        <f t="shared" si="5"/>
        <v>0</v>
      </c>
      <c r="Y30" s="28">
        <f t="shared" si="5"/>
        <v>0</v>
      </c>
      <c r="Z30" s="28">
        <f t="shared" si="5"/>
        <v>0</v>
      </c>
    </row>
    <row r="31" spans="2:26">
      <c r="B31" s="23">
        <v>1.2</v>
      </c>
      <c r="C31" s="24" t="s">
        <v>565</v>
      </c>
      <c r="D31" s="25" t="s">
        <v>106</v>
      </c>
      <c r="E31" s="26">
        <f ca="1">SUM(E32:E42)+SUM(E46:E55)</f>
        <v>24752.493503387803</v>
      </c>
      <c r="F31" s="26">
        <f>SUM(F32:F42)+SUM(F46:F55)</f>
        <v>0</v>
      </c>
      <c r="G31" s="26">
        <f t="shared" ref="G31:Z31" ca="1" si="6">SUM(G32:G42)+SUM(G46:G55)</f>
        <v>21013.90892973572</v>
      </c>
      <c r="H31" s="26">
        <f t="shared" ca="1" si="6"/>
        <v>19593.039642671742</v>
      </c>
      <c r="I31" s="26">
        <f t="shared" ca="1" si="6"/>
        <v>18172.170355607759</v>
      </c>
      <c r="J31" s="26">
        <f t="shared" ca="1" si="6"/>
        <v>16751.301068543777</v>
      </c>
      <c r="K31" s="26">
        <f t="shared" ca="1" si="6"/>
        <v>15330.431781479798</v>
      </c>
      <c r="L31" s="26">
        <f t="shared" ca="1" si="6"/>
        <v>13909.562494415817</v>
      </c>
      <c r="M31" s="26">
        <f t="shared" ca="1" si="6"/>
        <v>12488.693207351836</v>
      </c>
      <c r="N31" s="26">
        <f t="shared" ca="1" si="6"/>
        <v>11067.823920287856</v>
      </c>
      <c r="O31" s="26">
        <f t="shared" ca="1" si="6"/>
        <v>9646.9546332238751</v>
      </c>
      <c r="P31" s="26">
        <f t="shared" ca="1" si="6"/>
        <v>8226.0853461598945</v>
      </c>
      <c r="Q31" s="26">
        <f t="shared" ca="1" si="6"/>
        <v>7189.640837856974</v>
      </c>
      <c r="R31" s="26">
        <f t="shared" ca="1" si="6"/>
        <v>5728.4175684921101</v>
      </c>
      <c r="S31" s="26">
        <f t="shared" ca="1" si="6"/>
        <v>4267.1942991272444</v>
      </c>
      <c r="T31" s="26">
        <f t="shared" ca="1" si="6"/>
        <v>2805.9710297623787</v>
      </c>
      <c r="U31" s="26">
        <f t="shared" ca="1" si="6"/>
        <v>1344.747760397513</v>
      </c>
      <c r="V31" s="26">
        <f t="shared" ca="1" si="6"/>
        <v>1304.3937780966298</v>
      </c>
      <c r="W31" s="26">
        <f t="shared" ca="1" si="6"/>
        <v>1264.0397957957466</v>
      </c>
      <c r="X31" s="26">
        <f t="shared" ca="1" si="6"/>
        <v>1223.6858134948634</v>
      </c>
      <c r="Y31" s="26">
        <f t="shared" ca="1" si="6"/>
        <v>1183.3318311939802</v>
      </c>
      <c r="Z31" s="26">
        <f t="shared" ca="1" si="6"/>
        <v>1142.977848893097</v>
      </c>
    </row>
    <row r="32" spans="2:26">
      <c r="B32" s="25"/>
      <c r="C32" s="27" t="s">
        <v>566</v>
      </c>
      <c r="D32" s="25" t="s">
        <v>106</v>
      </c>
      <c r="E32" s="28"/>
      <c r="F32" s="28"/>
      <c r="G32" s="28"/>
      <c r="H32" s="28"/>
      <c r="I32" s="28"/>
      <c r="J32" s="28"/>
      <c r="K32" s="28"/>
      <c r="L32" s="28"/>
      <c r="M32" s="28"/>
      <c r="N32" s="28"/>
      <c r="O32" s="28"/>
      <c r="P32" s="28"/>
      <c r="Q32" s="28"/>
      <c r="R32" s="28"/>
      <c r="S32" s="28"/>
      <c r="T32" s="28"/>
      <c r="U32" s="28"/>
      <c r="V32" s="28"/>
      <c r="W32" s="28"/>
      <c r="X32" s="28"/>
      <c r="Y32" s="28"/>
      <c r="Z32" s="28"/>
    </row>
    <row r="33" spans="2:26">
      <c r="B33" s="25"/>
      <c r="C33" s="27" t="s">
        <v>567</v>
      </c>
      <c r="D33" s="25" t="s">
        <v>106</v>
      </c>
      <c r="E33" s="28"/>
      <c r="F33" s="28"/>
      <c r="G33" s="28"/>
      <c r="H33" s="28"/>
      <c r="I33" s="28"/>
      <c r="J33" s="28"/>
      <c r="K33" s="28"/>
      <c r="L33" s="28"/>
      <c r="M33" s="28"/>
      <c r="N33" s="28"/>
      <c r="O33" s="28"/>
      <c r="P33" s="28"/>
      <c r="Q33" s="28"/>
      <c r="R33" s="28"/>
      <c r="S33" s="28"/>
      <c r="T33" s="28"/>
      <c r="U33" s="28"/>
      <c r="V33" s="28"/>
      <c r="W33" s="28"/>
      <c r="X33" s="28"/>
      <c r="Y33" s="28"/>
      <c r="Z33" s="28"/>
    </row>
    <row r="34" spans="2:26">
      <c r="B34" s="25"/>
      <c r="C34" s="27" t="s">
        <v>568</v>
      </c>
      <c r="D34" s="25" t="s">
        <v>106</v>
      </c>
      <c r="E34" s="28"/>
      <c r="F34" s="28"/>
      <c r="G34" s="28"/>
      <c r="H34" s="28"/>
      <c r="I34" s="28"/>
      <c r="J34" s="28"/>
      <c r="K34" s="28"/>
      <c r="L34" s="28"/>
      <c r="M34" s="28"/>
      <c r="N34" s="28"/>
      <c r="O34" s="28"/>
      <c r="P34" s="28"/>
      <c r="Q34" s="28"/>
      <c r="R34" s="28"/>
      <c r="S34" s="28"/>
      <c r="T34" s="28"/>
      <c r="U34" s="28"/>
      <c r="V34" s="28"/>
      <c r="W34" s="28"/>
      <c r="X34" s="28"/>
      <c r="Y34" s="28"/>
      <c r="Z34" s="28"/>
    </row>
    <row r="35" spans="2:26">
      <c r="B35" s="25"/>
      <c r="C35" s="27" t="s">
        <v>569</v>
      </c>
      <c r="D35" s="25" t="s">
        <v>106</v>
      </c>
      <c r="E35" s="28"/>
      <c r="F35" s="28"/>
      <c r="G35" s="28"/>
      <c r="H35" s="28"/>
      <c r="I35" s="28"/>
      <c r="J35" s="28"/>
      <c r="K35" s="28"/>
      <c r="L35" s="28"/>
      <c r="M35" s="28"/>
      <c r="N35" s="28"/>
      <c r="O35" s="28"/>
      <c r="P35" s="28"/>
      <c r="Q35" s="28"/>
      <c r="R35" s="28"/>
      <c r="S35" s="28"/>
      <c r="T35" s="28"/>
      <c r="U35" s="28"/>
      <c r="V35" s="28"/>
      <c r="W35" s="28"/>
      <c r="X35" s="28"/>
      <c r="Y35" s="28"/>
      <c r="Z35" s="28"/>
    </row>
    <row r="36" spans="2:26">
      <c r="B36" s="25"/>
      <c r="C36" s="27" t="s">
        <v>570</v>
      </c>
      <c r="D36" s="25" t="s">
        <v>106</v>
      </c>
      <c r="E36" s="28"/>
      <c r="F36" s="28"/>
      <c r="G36" s="28"/>
      <c r="H36" s="28"/>
      <c r="I36" s="28"/>
      <c r="J36" s="28"/>
      <c r="K36" s="28"/>
      <c r="L36" s="28"/>
      <c r="M36" s="28"/>
      <c r="N36" s="28"/>
      <c r="O36" s="28"/>
      <c r="P36" s="28"/>
      <c r="Q36" s="28"/>
      <c r="R36" s="28"/>
      <c r="S36" s="28"/>
      <c r="T36" s="28"/>
      <c r="U36" s="28"/>
      <c r="V36" s="28"/>
      <c r="W36" s="28"/>
      <c r="X36" s="28"/>
      <c r="Y36" s="28"/>
      <c r="Z36" s="28"/>
    </row>
    <row r="37" spans="2:26">
      <c r="B37" s="25"/>
      <c r="C37" s="27" t="s">
        <v>571</v>
      </c>
      <c r="D37" s="25" t="s">
        <v>106</v>
      </c>
      <c r="E37" s="28"/>
      <c r="F37" s="28"/>
      <c r="G37" s="28"/>
      <c r="H37" s="28"/>
      <c r="I37" s="28"/>
      <c r="J37" s="28"/>
      <c r="K37" s="28"/>
      <c r="L37" s="28"/>
      <c r="M37" s="28"/>
      <c r="N37" s="28"/>
      <c r="O37" s="28"/>
      <c r="P37" s="28"/>
      <c r="Q37" s="28"/>
      <c r="R37" s="28"/>
      <c r="S37" s="28"/>
      <c r="T37" s="28"/>
      <c r="U37" s="28"/>
      <c r="V37" s="28"/>
      <c r="W37" s="28"/>
      <c r="X37" s="28"/>
      <c r="Y37" s="28"/>
      <c r="Z37" s="28"/>
    </row>
    <row r="38" spans="2:26">
      <c r="B38" s="25"/>
      <c r="C38" s="27" t="s">
        <v>572</v>
      </c>
      <c r="D38" s="25" t="s">
        <v>106</v>
      </c>
      <c r="E38" s="28"/>
      <c r="F38" s="28"/>
      <c r="G38" s="28"/>
      <c r="H38" s="28"/>
      <c r="I38" s="28"/>
      <c r="J38" s="28"/>
      <c r="K38" s="28"/>
      <c r="L38" s="28"/>
      <c r="M38" s="28"/>
      <c r="N38" s="28"/>
      <c r="O38" s="28"/>
      <c r="P38" s="28"/>
      <c r="Q38" s="28"/>
      <c r="R38" s="28"/>
      <c r="S38" s="28"/>
      <c r="T38" s="28"/>
      <c r="U38" s="28"/>
      <c r="V38" s="28"/>
      <c r="W38" s="28"/>
      <c r="X38" s="28"/>
      <c r="Y38" s="28"/>
      <c r="Z38" s="28"/>
    </row>
    <row r="39" spans="2:26">
      <c r="B39" s="25"/>
      <c r="C39" s="27" t="s">
        <v>573</v>
      </c>
      <c r="D39" s="25" t="s">
        <v>106</v>
      </c>
      <c r="E39" s="28"/>
      <c r="F39" s="28"/>
      <c r="G39" s="28"/>
      <c r="H39" s="28"/>
      <c r="I39" s="28"/>
      <c r="J39" s="28"/>
      <c r="K39" s="28"/>
      <c r="L39" s="28"/>
      <c r="M39" s="28"/>
      <c r="N39" s="28"/>
      <c r="O39" s="28"/>
      <c r="P39" s="28"/>
      <c r="Q39" s="28"/>
      <c r="R39" s="28"/>
      <c r="S39" s="28"/>
      <c r="T39" s="28"/>
      <c r="U39" s="28"/>
      <c r="V39" s="28"/>
      <c r="W39" s="28"/>
      <c r="X39" s="28"/>
      <c r="Y39" s="28"/>
      <c r="Z39" s="28"/>
    </row>
    <row r="40" spans="2:26">
      <c r="B40" s="25"/>
      <c r="C40" s="27" t="s">
        <v>574</v>
      </c>
      <c r="D40" s="25" t="s">
        <v>106</v>
      </c>
      <c r="E40" s="28"/>
      <c r="F40" s="28"/>
      <c r="G40" s="28"/>
      <c r="H40" s="28"/>
      <c r="I40" s="28"/>
      <c r="J40" s="28"/>
      <c r="K40" s="28"/>
      <c r="L40" s="28"/>
      <c r="M40" s="28"/>
      <c r="N40" s="28"/>
      <c r="O40" s="28"/>
      <c r="P40" s="28"/>
      <c r="Q40" s="28"/>
      <c r="R40" s="28"/>
      <c r="S40" s="28"/>
      <c r="T40" s="28"/>
      <c r="U40" s="28"/>
      <c r="V40" s="28"/>
      <c r="W40" s="28"/>
      <c r="X40" s="28"/>
      <c r="Y40" s="28"/>
      <c r="Z40" s="28"/>
    </row>
    <row r="41" spans="2:26">
      <c r="B41" s="25"/>
      <c r="C41" s="27" t="s">
        <v>575</v>
      </c>
      <c r="D41" s="25" t="s">
        <v>106</v>
      </c>
      <c r="E41" s="28"/>
      <c r="F41" s="28"/>
      <c r="G41" s="28"/>
      <c r="H41" s="28"/>
      <c r="I41" s="28"/>
      <c r="J41" s="28"/>
      <c r="K41" s="28"/>
      <c r="L41" s="28"/>
      <c r="M41" s="28"/>
      <c r="N41" s="28"/>
      <c r="O41" s="28"/>
      <c r="P41" s="28"/>
      <c r="Q41" s="28"/>
      <c r="R41" s="28"/>
      <c r="S41" s="28"/>
      <c r="T41" s="28"/>
      <c r="U41" s="28"/>
      <c r="V41" s="28"/>
      <c r="W41" s="28"/>
      <c r="X41" s="28"/>
      <c r="Y41" s="28"/>
      <c r="Z41" s="28"/>
    </row>
    <row r="42" spans="2:26">
      <c r="B42" s="25"/>
      <c r="C42" s="27" t="s">
        <v>576</v>
      </c>
      <c r="D42" s="25" t="s">
        <v>106</v>
      </c>
      <c r="E42" s="28"/>
      <c r="F42" s="28">
        <f>F43-F44</f>
        <v>0</v>
      </c>
      <c r="G42" s="28">
        <f t="shared" ref="G42:Z42" ca="1" si="7">G43-G44</f>
        <v>21013.90892973572</v>
      </c>
      <c r="H42" s="28">
        <f t="shared" ca="1" si="7"/>
        <v>19593.039642671742</v>
      </c>
      <c r="I42" s="28">
        <f t="shared" ca="1" si="7"/>
        <v>18172.170355607759</v>
      </c>
      <c r="J42" s="28">
        <f t="shared" ca="1" si="7"/>
        <v>16751.301068543777</v>
      </c>
      <c r="K42" s="28">
        <f t="shared" ca="1" si="7"/>
        <v>15330.431781479798</v>
      </c>
      <c r="L42" s="28">
        <f t="shared" ca="1" si="7"/>
        <v>13909.562494415817</v>
      </c>
      <c r="M42" s="28">
        <f t="shared" ca="1" si="7"/>
        <v>12488.693207351836</v>
      </c>
      <c r="N42" s="28">
        <f t="shared" ca="1" si="7"/>
        <v>11067.823920287856</v>
      </c>
      <c r="O42" s="28">
        <f t="shared" ca="1" si="7"/>
        <v>9646.9546332238751</v>
      </c>
      <c r="P42" s="28">
        <f t="shared" ca="1" si="7"/>
        <v>8226.0853461598945</v>
      </c>
      <c r="Q42" s="28">
        <f t="shared" ca="1" si="7"/>
        <v>7189.640837856974</v>
      </c>
      <c r="R42" s="28">
        <f t="shared" ca="1" si="7"/>
        <v>5728.4175684921101</v>
      </c>
      <c r="S42" s="28">
        <f t="shared" ca="1" si="7"/>
        <v>4267.1942991272444</v>
      </c>
      <c r="T42" s="28">
        <f t="shared" ca="1" si="7"/>
        <v>2805.9710297623787</v>
      </c>
      <c r="U42" s="28">
        <f t="shared" ca="1" si="7"/>
        <v>1344.747760397513</v>
      </c>
      <c r="V42" s="28">
        <f t="shared" ca="1" si="7"/>
        <v>1304.3937780966298</v>
      </c>
      <c r="W42" s="28">
        <f t="shared" ca="1" si="7"/>
        <v>1264.0397957957466</v>
      </c>
      <c r="X42" s="28">
        <f t="shared" ca="1" si="7"/>
        <v>1223.6858134948634</v>
      </c>
      <c r="Y42" s="28">
        <f t="shared" ca="1" si="7"/>
        <v>1183.3318311939802</v>
      </c>
      <c r="Z42" s="28">
        <f t="shared" ca="1" si="7"/>
        <v>1142.977848893097</v>
      </c>
    </row>
    <row r="43" spans="2:26">
      <c r="B43" s="25"/>
      <c r="C43" s="29" t="s">
        <v>577</v>
      </c>
      <c r="D43" s="25" t="s">
        <v>106</v>
      </c>
      <c r="E43" s="28"/>
      <c r="F43" s="28">
        <f>IF('表1-资金筹措及还本付息表'!G5=0,0,'表2-折旧摊销表'!D4)</f>
        <v>0</v>
      </c>
      <c r="G43" s="28">
        <f ca="1">F43+'表2-折旧摊销表'!D4</f>
        <v>22434.778216799703</v>
      </c>
      <c r="H43" s="28">
        <f ca="1">G43+'表2-折旧摊销表'!I35</f>
        <v>22434.778216799703</v>
      </c>
      <c r="I43" s="28">
        <f ca="1">H43+'表2-折旧摊销表'!J35</f>
        <v>22434.778216799703</v>
      </c>
      <c r="J43" s="28">
        <f ca="1">I43+'表2-折旧摊销表'!K35</f>
        <v>22434.778216799703</v>
      </c>
      <c r="K43" s="28">
        <f ca="1">J43+'表2-折旧摊销表'!L35</f>
        <v>22434.778216799703</v>
      </c>
      <c r="L43" s="28">
        <f ca="1">K43+'表2-折旧摊销表'!M35</f>
        <v>22434.778216799703</v>
      </c>
      <c r="M43" s="28">
        <f ca="1">L43+'表2-折旧摊销表'!N35</f>
        <v>22434.778216799703</v>
      </c>
      <c r="N43" s="28">
        <f ca="1">M43+'表2-折旧摊销表'!O35</f>
        <v>22434.778216799703</v>
      </c>
      <c r="O43" s="28">
        <f ca="1">N43+'表2-折旧摊销表'!P35</f>
        <v>22434.778216799703</v>
      </c>
      <c r="P43" s="28">
        <f ca="1">O43+'表2-折旧摊销表'!Q35</f>
        <v>22434.778216799703</v>
      </c>
      <c r="Q43" s="28">
        <f ca="1">P43+'表2-折旧摊销表'!R35</f>
        <v>22859.556977861648</v>
      </c>
      <c r="R43" s="28">
        <f ca="1">Q43+'表2-折旧摊销表'!S35</f>
        <v>22859.556977861648</v>
      </c>
      <c r="S43" s="28">
        <f ca="1">R43+'表2-折旧摊销表'!T35</f>
        <v>22859.556977861648</v>
      </c>
      <c r="T43" s="28">
        <f ca="1">S43+'表2-折旧摊销表'!U35</f>
        <v>22859.556977861648</v>
      </c>
      <c r="U43" s="28">
        <f ca="1">T43+'表2-折旧摊销表'!V35</f>
        <v>22859.556977861648</v>
      </c>
      <c r="V43" s="28">
        <f ca="1">U43+'表2-折旧摊销表'!W35</f>
        <v>22859.556977861648</v>
      </c>
      <c r="W43" s="28">
        <f ca="1">V43+'表2-折旧摊销表'!X35</f>
        <v>22859.556977861648</v>
      </c>
      <c r="X43" s="28">
        <f ca="1">W43+'表2-折旧摊销表'!Y35</f>
        <v>22859.556977861648</v>
      </c>
      <c r="Y43" s="28">
        <f ca="1">X43+'表2-折旧摊销表'!Z35</f>
        <v>22859.556977861648</v>
      </c>
      <c r="Z43" s="28">
        <f ca="1">Y43+'表2-折旧摊销表'!AA35</f>
        <v>22859.556977861648</v>
      </c>
    </row>
    <row r="44" spans="2:26">
      <c r="B44" s="25"/>
      <c r="C44" s="29" t="s">
        <v>578</v>
      </c>
      <c r="D44" s="25" t="s">
        <v>106</v>
      </c>
      <c r="E44" s="28"/>
      <c r="F44" s="28"/>
      <c r="G44" s="28">
        <f ca="1">'表2-折旧摊销表'!H27+'表2-折旧摊销表'!H36</f>
        <v>1420.8692870639811</v>
      </c>
      <c r="H44" s="28">
        <f ca="1">G44+'表2-折旧摊销表'!I27+'表2-折旧摊销表'!I36</f>
        <v>2841.7385741279622</v>
      </c>
      <c r="I44" s="28">
        <f ca="1">H44+'表2-折旧摊销表'!J27+'表2-折旧摊销表'!J36</f>
        <v>4262.6078611919438</v>
      </c>
      <c r="J44" s="28">
        <f ca="1">I44+'表2-折旧摊销表'!K27+'表2-折旧摊销表'!K36</f>
        <v>5683.4771482559245</v>
      </c>
      <c r="K44" s="28">
        <f ca="1">J44+'表2-折旧摊销表'!L27+'表2-折旧摊销表'!L36</f>
        <v>7104.3464353199051</v>
      </c>
      <c r="L44" s="28">
        <f ca="1">K44+'表2-折旧摊销表'!M27+'表2-折旧摊销表'!M36</f>
        <v>8525.2157223838858</v>
      </c>
      <c r="M44" s="28">
        <f ca="1">L44+'表2-折旧摊销表'!N27+'表2-折旧摊销表'!N36</f>
        <v>9946.0850094478665</v>
      </c>
      <c r="N44" s="28">
        <f ca="1">M44+'表2-折旧摊销表'!O27+'表2-折旧摊销表'!O36</f>
        <v>11366.954296511847</v>
      </c>
      <c r="O44" s="28">
        <f ca="1">N44+'表2-折旧摊销表'!P27+'表2-折旧摊销表'!P36</f>
        <v>12787.823583575828</v>
      </c>
      <c r="P44" s="28">
        <f ca="1">O44+'表2-折旧摊销表'!Q27+'表2-折旧摊销表'!Q36</f>
        <v>14208.692870639808</v>
      </c>
      <c r="Q44" s="28">
        <f ca="1">P44+'表2-折旧摊销表'!R27+'表2-折旧摊销表'!R36</f>
        <v>15669.916140004674</v>
      </c>
      <c r="R44" s="28">
        <f ca="1">Q44+'表2-折旧摊销表'!S27+'表2-折旧摊销表'!S36</f>
        <v>17131.139409369538</v>
      </c>
      <c r="S44" s="28">
        <f ca="1">R44+'表2-折旧摊销表'!T27+'表2-折旧摊销表'!T36</f>
        <v>18592.362678734404</v>
      </c>
      <c r="T44" s="28">
        <f ca="1">S44+'表2-折旧摊销表'!U27+'表2-折旧摊销表'!U36</f>
        <v>20053.585948099269</v>
      </c>
      <c r="U44" s="28">
        <f ca="1">T44+'表2-折旧摊销表'!V27+'表2-折旧摊销表'!V36</f>
        <v>21514.809217464135</v>
      </c>
      <c r="V44" s="28">
        <f ca="1">U44+'表2-折旧摊销表'!W27+'表2-折旧摊销表'!W36</f>
        <v>21555.163199765018</v>
      </c>
      <c r="W44" s="28">
        <f ca="1">V44+'表2-折旧摊销表'!X27+'表2-折旧摊销表'!X36</f>
        <v>21595.517182065902</v>
      </c>
      <c r="X44" s="28">
        <f ca="1">W44+'表2-折旧摊销表'!Y27+'表2-折旧摊销表'!Y36</f>
        <v>21635.871164366785</v>
      </c>
      <c r="Y44" s="28">
        <f ca="1">X44+'表2-折旧摊销表'!Z27+'表2-折旧摊销表'!Z36</f>
        <v>21676.225146667668</v>
      </c>
      <c r="Z44" s="28">
        <f ca="1">Y44+'表2-折旧摊销表'!AA27+'表2-折旧摊销表'!AA36</f>
        <v>21716.579128968551</v>
      </c>
    </row>
    <row r="45" spans="2:26">
      <c r="B45" s="25"/>
      <c r="C45" s="29" t="s">
        <v>579</v>
      </c>
      <c r="D45" s="25" t="s">
        <v>106</v>
      </c>
      <c r="E45" s="28"/>
      <c r="F45" s="28"/>
      <c r="G45" s="28"/>
      <c r="H45" s="28"/>
      <c r="I45" s="28"/>
      <c r="J45" s="28"/>
      <c r="K45" s="28"/>
      <c r="L45" s="28"/>
      <c r="M45" s="28"/>
      <c r="N45" s="28"/>
      <c r="O45" s="28"/>
      <c r="P45" s="28"/>
      <c r="Q45" s="28"/>
      <c r="R45" s="28"/>
      <c r="S45" s="28"/>
      <c r="T45" s="28"/>
      <c r="U45" s="28"/>
      <c r="V45" s="28"/>
      <c r="W45" s="28"/>
      <c r="X45" s="28"/>
      <c r="Y45" s="28"/>
      <c r="Z45" s="28"/>
    </row>
    <row r="46" spans="2:26">
      <c r="B46" s="25"/>
      <c r="C46" s="27" t="s">
        <v>580</v>
      </c>
      <c r="D46" s="25" t="s">
        <v>106</v>
      </c>
      <c r="E46" s="28">
        <f ca="1">'表1-资金筹措及还本付息表'!F6</f>
        <v>24752.493503387803</v>
      </c>
      <c r="F46" s="28"/>
      <c r="G46" s="28"/>
      <c r="H46" s="28"/>
      <c r="I46" s="28"/>
      <c r="J46" s="28"/>
      <c r="K46" s="28"/>
      <c r="L46" s="28"/>
      <c r="M46" s="28"/>
      <c r="N46" s="28"/>
      <c r="O46" s="28"/>
      <c r="P46" s="28"/>
      <c r="Q46" s="28"/>
      <c r="R46" s="28"/>
      <c r="S46" s="28"/>
      <c r="T46" s="28"/>
      <c r="U46" s="28"/>
      <c r="V46" s="28"/>
      <c r="W46" s="28"/>
      <c r="X46" s="28"/>
      <c r="Y46" s="28"/>
      <c r="Z46" s="28"/>
    </row>
    <row r="47" spans="2:26">
      <c r="B47" s="25"/>
      <c r="C47" s="27" t="s">
        <v>581</v>
      </c>
      <c r="D47" s="25" t="s">
        <v>106</v>
      </c>
      <c r="E47" s="28"/>
      <c r="F47" s="28"/>
      <c r="G47" s="28"/>
      <c r="H47" s="28"/>
      <c r="I47" s="28"/>
      <c r="J47" s="28"/>
      <c r="K47" s="28"/>
      <c r="L47" s="28"/>
      <c r="M47" s="28"/>
      <c r="N47" s="28"/>
      <c r="O47" s="28"/>
      <c r="P47" s="28"/>
      <c r="Q47" s="28"/>
      <c r="R47" s="28"/>
      <c r="S47" s="28"/>
      <c r="T47" s="28"/>
      <c r="U47" s="28"/>
      <c r="V47" s="28"/>
      <c r="W47" s="28"/>
      <c r="X47" s="28"/>
      <c r="Y47" s="28"/>
      <c r="Z47" s="28"/>
    </row>
    <row r="48" spans="2:26">
      <c r="B48" s="25"/>
      <c r="C48" s="27" t="s">
        <v>582</v>
      </c>
      <c r="D48" s="25" t="s">
        <v>106</v>
      </c>
      <c r="E48" s="28"/>
      <c r="F48" s="28"/>
      <c r="G48" s="28"/>
      <c r="H48" s="28"/>
      <c r="I48" s="28"/>
      <c r="J48" s="28"/>
      <c r="K48" s="28"/>
      <c r="L48" s="28"/>
      <c r="M48" s="28"/>
      <c r="N48" s="28"/>
      <c r="O48" s="28"/>
      <c r="P48" s="28"/>
      <c r="Q48" s="28"/>
      <c r="R48" s="28"/>
      <c r="S48" s="28"/>
      <c r="T48" s="28"/>
      <c r="U48" s="28"/>
      <c r="V48" s="28"/>
      <c r="W48" s="28"/>
      <c r="X48" s="28"/>
      <c r="Y48" s="28"/>
      <c r="Z48" s="28"/>
    </row>
    <row r="49" spans="2:26">
      <c r="B49" s="25"/>
      <c r="C49" s="27" t="s">
        <v>583</v>
      </c>
      <c r="D49" s="25" t="s">
        <v>106</v>
      </c>
      <c r="E49" s="28"/>
      <c r="F49" s="28"/>
      <c r="G49" s="28"/>
      <c r="H49" s="28"/>
      <c r="I49" s="28"/>
      <c r="J49" s="28"/>
      <c r="K49" s="28"/>
      <c r="L49" s="28"/>
      <c r="M49" s="28"/>
      <c r="N49" s="28"/>
      <c r="O49" s="28"/>
      <c r="P49" s="28"/>
      <c r="Q49" s="28"/>
      <c r="R49" s="28"/>
      <c r="S49" s="28"/>
      <c r="T49" s="28"/>
      <c r="U49" s="28"/>
      <c r="V49" s="28"/>
      <c r="W49" s="28"/>
      <c r="X49" s="28"/>
      <c r="Y49" s="28"/>
      <c r="Z49" s="28"/>
    </row>
    <row r="50" spans="2:26">
      <c r="B50" s="25"/>
      <c r="C50" s="27" t="s">
        <v>584</v>
      </c>
      <c r="D50" s="25" t="s">
        <v>106</v>
      </c>
      <c r="E50" s="28">
        <f>'表2-折旧摊销表'!F32</f>
        <v>0</v>
      </c>
      <c r="F50" s="28">
        <f>'表2-折旧摊销表'!G32</f>
        <v>0</v>
      </c>
      <c r="G50" s="28">
        <f>'表2-折旧摊销表'!H32</f>
        <v>0</v>
      </c>
      <c r="H50" s="28">
        <f>'表2-折旧摊销表'!I32</f>
        <v>0</v>
      </c>
      <c r="I50" s="28">
        <f>'表2-折旧摊销表'!J32</f>
        <v>0</v>
      </c>
      <c r="J50" s="28">
        <f>'表2-折旧摊销表'!K32</f>
        <v>0</v>
      </c>
      <c r="K50" s="28">
        <f>'表2-折旧摊销表'!L32</f>
        <v>0</v>
      </c>
      <c r="L50" s="28">
        <f>'表2-折旧摊销表'!M32</f>
        <v>0</v>
      </c>
      <c r="M50" s="28">
        <f>'表2-折旧摊销表'!N32</f>
        <v>0</v>
      </c>
      <c r="N50" s="28">
        <f>'表2-折旧摊销表'!O32</f>
        <v>0</v>
      </c>
      <c r="O50" s="28">
        <f>'表2-折旧摊销表'!P32</f>
        <v>0</v>
      </c>
      <c r="P50" s="28">
        <f>'表2-折旧摊销表'!Q32</f>
        <v>0</v>
      </c>
      <c r="Q50" s="28">
        <f>'表2-折旧摊销表'!R32</f>
        <v>0</v>
      </c>
      <c r="R50" s="28">
        <f>'表2-折旧摊销表'!S32</f>
        <v>0</v>
      </c>
      <c r="S50" s="28">
        <f>'表2-折旧摊销表'!T32</f>
        <v>0</v>
      </c>
      <c r="T50" s="28">
        <f>'表2-折旧摊销表'!U32</f>
        <v>0</v>
      </c>
      <c r="U50" s="28">
        <f>'表2-折旧摊销表'!V32</f>
        <v>0</v>
      </c>
      <c r="V50" s="28">
        <f>'表2-折旧摊销表'!W32</f>
        <v>0</v>
      </c>
      <c r="W50" s="28">
        <f>'表2-折旧摊销表'!X32</f>
        <v>0</v>
      </c>
      <c r="X50" s="28">
        <f>'表2-折旧摊销表'!Y32</f>
        <v>0</v>
      </c>
      <c r="Y50" s="28">
        <f>'表2-折旧摊销表'!Z32</f>
        <v>0</v>
      </c>
      <c r="Z50" s="28">
        <f>'表2-折旧摊销表'!AA32</f>
        <v>0</v>
      </c>
    </row>
    <row r="51" spans="2:26">
      <c r="B51" s="25"/>
      <c r="C51" s="27" t="s">
        <v>585</v>
      </c>
      <c r="D51" s="25" t="s">
        <v>106</v>
      </c>
      <c r="E51" s="28"/>
      <c r="F51" s="28"/>
      <c r="G51" s="28"/>
      <c r="H51" s="28"/>
      <c r="I51" s="28"/>
      <c r="J51" s="28"/>
      <c r="K51" s="28"/>
      <c r="L51" s="28"/>
      <c r="M51" s="28"/>
      <c r="N51" s="28"/>
      <c r="O51" s="28"/>
      <c r="P51" s="28"/>
      <c r="Q51" s="28"/>
      <c r="R51" s="28"/>
      <c r="S51" s="28"/>
      <c r="T51" s="28"/>
      <c r="U51" s="28"/>
      <c r="V51" s="28"/>
      <c r="W51" s="28"/>
      <c r="X51" s="28"/>
      <c r="Y51" s="28"/>
      <c r="Z51" s="28"/>
    </row>
    <row r="52" spans="2:26">
      <c r="B52" s="25"/>
      <c r="C52" s="27" t="s">
        <v>586</v>
      </c>
      <c r="D52" s="25" t="s">
        <v>106</v>
      </c>
      <c r="E52" s="28"/>
      <c r="F52" s="28"/>
      <c r="G52" s="28"/>
      <c r="H52" s="28"/>
      <c r="I52" s="28"/>
      <c r="J52" s="28"/>
      <c r="K52" s="28"/>
      <c r="L52" s="28"/>
      <c r="M52" s="28"/>
      <c r="N52" s="28"/>
      <c r="O52" s="28"/>
      <c r="P52" s="28"/>
      <c r="Q52" s="28"/>
      <c r="R52" s="28"/>
      <c r="S52" s="28"/>
      <c r="T52" s="28"/>
      <c r="U52" s="28"/>
      <c r="V52" s="28"/>
      <c r="W52" s="28"/>
      <c r="X52" s="28"/>
      <c r="Y52" s="28"/>
      <c r="Z52" s="28"/>
    </row>
    <row r="53" spans="2:26">
      <c r="B53" s="25"/>
      <c r="C53" s="27" t="s">
        <v>587</v>
      </c>
      <c r="D53" s="25" t="s">
        <v>106</v>
      </c>
      <c r="E53" s="28"/>
      <c r="F53" s="28"/>
      <c r="G53" s="28">
        <f>'表2-折旧摊销表'!H31</f>
        <v>0</v>
      </c>
      <c r="H53" s="28">
        <f>'表2-折旧摊销表'!I31</f>
        <v>0</v>
      </c>
      <c r="I53" s="28">
        <f>'表2-折旧摊销表'!J31</f>
        <v>0</v>
      </c>
      <c r="J53" s="28">
        <f>'表2-折旧摊销表'!K31</f>
        <v>0</v>
      </c>
      <c r="K53" s="28">
        <f>'表2-折旧摊销表'!L31</f>
        <v>0</v>
      </c>
      <c r="L53" s="28">
        <f>'表2-折旧摊销表'!M31</f>
        <v>0</v>
      </c>
      <c r="M53" s="28">
        <f>'表2-折旧摊销表'!N31</f>
        <v>0</v>
      </c>
      <c r="N53" s="28">
        <f>'表2-折旧摊销表'!O31</f>
        <v>0</v>
      </c>
      <c r="O53" s="28">
        <f>'表2-折旧摊销表'!P31</f>
        <v>0</v>
      </c>
      <c r="P53" s="28">
        <f>'表2-折旧摊销表'!Q31</f>
        <v>0</v>
      </c>
      <c r="Q53" s="28">
        <f>'表2-折旧摊销表'!R31</f>
        <v>0</v>
      </c>
      <c r="R53" s="28">
        <f>'表2-折旧摊销表'!S31</f>
        <v>0</v>
      </c>
      <c r="S53" s="28">
        <f>'表2-折旧摊销表'!T31</f>
        <v>0</v>
      </c>
      <c r="T53" s="28">
        <f>'表2-折旧摊销表'!U31</f>
        <v>0</v>
      </c>
      <c r="U53" s="28">
        <f>'表2-折旧摊销表'!V31</f>
        <v>0</v>
      </c>
      <c r="V53" s="28">
        <f>'表2-折旧摊销表'!W31</f>
        <v>0</v>
      </c>
      <c r="W53" s="28">
        <f>'表2-折旧摊销表'!X31</f>
        <v>0</v>
      </c>
      <c r="X53" s="28">
        <f>'表2-折旧摊销表'!Y31</f>
        <v>0</v>
      </c>
      <c r="Y53" s="28">
        <f>'表2-折旧摊销表'!Z31</f>
        <v>0</v>
      </c>
      <c r="Z53" s="28">
        <f>'表2-折旧摊销表'!AA31</f>
        <v>0</v>
      </c>
    </row>
    <row r="54" spans="2:26">
      <c r="B54" s="25"/>
      <c r="C54" s="27" t="s">
        <v>588</v>
      </c>
      <c r="D54" s="25" t="s">
        <v>106</v>
      </c>
      <c r="E54" s="28"/>
      <c r="F54" s="28"/>
      <c r="G54" s="28"/>
      <c r="H54" s="28"/>
      <c r="I54" s="28"/>
      <c r="J54" s="28"/>
      <c r="K54" s="28"/>
      <c r="L54" s="28"/>
      <c r="M54" s="28"/>
      <c r="N54" s="28"/>
      <c r="O54" s="28"/>
      <c r="P54" s="28"/>
      <c r="Q54" s="28"/>
      <c r="R54" s="28"/>
      <c r="S54" s="28"/>
      <c r="T54" s="28"/>
      <c r="U54" s="28"/>
      <c r="V54" s="28"/>
      <c r="W54" s="28"/>
      <c r="X54" s="28"/>
      <c r="Y54" s="28"/>
      <c r="Z54" s="28"/>
    </row>
    <row r="55" spans="2:26">
      <c r="B55" s="25"/>
      <c r="C55" s="27" t="s">
        <v>589</v>
      </c>
      <c r="D55" s="25" t="s">
        <v>106</v>
      </c>
      <c r="E55" s="28"/>
      <c r="F55" s="28"/>
      <c r="G55" s="28"/>
      <c r="H55" s="28"/>
      <c r="I55" s="28"/>
      <c r="J55" s="28"/>
      <c r="K55" s="28"/>
      <c r="L55" s="28"/>
      <c r="M55" s="28"/>
      <c r="N55" s="28"/>
      <c r="O55" s="28"/>
      <c r="P55" s="28"/>
      <c r="Q55" s="28"/>
      <c r="R55" s="28"/>
      <c r="S55" s="28"/>
      <c r="T55" s="28"/>
      <c r="U55" s="28"/>
      <c r="V55" s="28"/>
      <c r="W55" s="28"/>
      <c r="X55" s="28"/>
      <c r="Y55" s="28"/>
      <c r="Z55" s="28"/>
    </row>
    <row r="56" spans="2:26">
      <c r="B56" s="25"/>
      <c r="C56" s="29" t="s">
        <v>590</v>
      </c>
      <c r="D56" s="25" t="s">
        <v>106</v>
      </c>
      <c r="E56" s="28"/>
      <c r="F56" s="28"/>
      <c r="G56" s="28"/>
      <c r="H56" s="28"/>
      <c r="I56" s="28"/>
      <c r="J56" s="28"/>
      <c r="K56" s="28"/>
      <c r="L56" s="28"/>
      <c r="M56" s="28"/>
      <c r="N56" s="28"/>
      <c r="O56" s="28"/>
      <c r="P56" s="28"/>
      <c r="Q56" s="28"/>
      <c r="R56" s="28"/>
      <c r="S56" s="28"/>
      <c r="T56" s="28"/>
      <c r="U56" s="28"/>
      <c r="V56" s="28"/>
      <c r="W56" s="28"/>
      <c r="X56" s="28"/>
      <c r="Y56" s="28"/>
      <c r="Z56" s="28"/>
    </row>
    <row r="57" spans="2:26" s="13" customFormat="1" ht="23.5" customHeight="1">
      <c r="B57" s="19">
        <v>2</v>
      </c>
      <c r="C57" s="20" t="s">
        <v>591</v>
      </c>
      <c r="D57" s="21" t="s">
        <v>106</v>
      </c>
      <c r="E57" s="22">
        <f ca="1">E58+E86</f>
        <v>19801.99480271024</v>
      </c>
      <c r="F57" s="22">
        <f t="shared" ref="F57:Z57" si="8">F58+F86</f>
        <v>0</v>
      </c>
      <c r="G57" s="22">
        <f t="shared" ca="1" si="8"/>
        <v>16630.782689488242</v>
      </c>
      <c r="H57" s="22">
        <f t="shared" ca="1" si="8"/>
        <v>15672.285862854347</v>
      </c>
      <c r="I57" s="22">
        <f t="shared" ca="1" si="8"/>
        <v>14713.789036220449</v>
      </c>
      <c r="J57" s="22">
        <f t="shared" ca="1" si="8"/>
        <v>13755.292209586551</v>
      </c>
      <c r="K57" s="22">
        <f t="shared" ca="1" si="8"/>
        <v>12796.79538295265</v>
      </c>
      <c r="L57" s="22">
        <f t="shared" ca="1" si="8"/>
        <v>11841.260127631604</v>
      </c>
      <c r="M57" s="22">
        <f t="shared" ca="1" si="8"/>
        <v>10666.063894778797</v>
      </c>
      <c r="N57" s="22">
        <f t="shared" ca="1" si="8"/>
        <v>9345.930907931448</v>
      </c>
      <c r="O57" s="22">
        <f t="shared" ca="1" si="8"/>
        <v>8025.7979210840986</v>
      </c>
      <c r="P57" s="22">
        <f t="shared" ca="1" si="8"/>
        <v>6705.6649342367491</v>
      </c>
      <c r="Q57" s="22">
        <f t="shared" ca="1" si="8"/>
        <v>5385.5319473893996</v>
      </c>
      <c r="R57" s="22">
        <f t="shared" ca="1" si="8"/>
        <v>4065.3989605420502</v>
      </c>
      <c r="S57" s="22">
        <f t="shared" ca="1" si="8"/>
        <v>2745.2659736947007</v>
      </c>
      <c r="T57" s="22">
        <f t="shared" ca="1" si="8"/>
        <v>1425.1329868473515</v>
      </c>
      <c r="U57" s="22">
        <f t="shared" ca="1" si="8"/>
        <v>105.00000000000227</v>
      </c>
      <c r="V57" s="22">
        <f t="shared" ca="1" si="8"/>
        <v>105</v>
      </c>
      <c r="W57" s="22">
        <f t="shared" ca="1" si="8"/>
        <v>105</v>
      </c>
      <c r="X57" s="22">
        <f t="shared" ca="1" si="8"/>
        <v>105</v>
      </c>
      <c r="Y57" s="22">
        <f t="shared" ca="1" si="8"/>
        <v>105</v>
      </c>
      <c r="Z57" s="22">
        <f t="shared" ca="1" si="8"/>
        <v>0</v>
      </c>
    </row>
    <row r="58" spans="2:26">
      <c r="B58" s="23">
        <v>2.1</v>
      </c>
      <c r="C58" s="24" t="s">
        <v>326</v>
      </c>
      <c r="D58" s="25" t="s">
        <v>106</v>
      </c>
      <c r="E58" s="26">
        <f>SUM(E59:E73)+E77+E79+SUM(E81:E85)</f>
        <v>0</v>
      </c>
      <c r="F58" s="26">
        <f t="shared" ref="F58:Z58" si="9">SUM(F59:F73)+F77+F79+SUM(F81:F85)</f>
        <v>0</v>
      </c>
      <c r="G58" s="26">
        <f t="shared" si="9"/>
        <v>105</v>
      </c>
      <c r="H58" s="26">
        <f t="shared" si="9"/>
        <v>105</v>
      </c>
      <c r="I58" s="26">
        <f t="shared" si="9"/>
        <v>105</v>
      </c>
      <c r="J58" s="26">
        <f t="shared" si="9"/>
        <v>105</v>
      </c>
      <c r="K58" s="26">
        <f t="shared" si="9"/>
        <v>105</v>
      </c>
      <c r="L58" s="26">
        <f t="shared" si="9"/>
        <v>105</v>
      </c>
      <c r="M58" s="26">
        <f t="shared" si="9"/>
        <v>105</v>
      </c>
      <c r="N58" s="26">
        <f t="shared" si="9"/>
        <v>105</v>
      </c>
      <c r="O58" s="26">
        <f t="shared" si="9"/>
        <v>105</v>
      </c>
      <c r="P58" s="26">
        <f t="shared" si="9"/>
        <v>105</v>
      </c>
      <c r="Q58" s="26">
        <f t="shared" si="9"/>
        <v>105</v>
      </c>
      <c r="R58" s="26">
        <f t="shared" si="9"/>
        <v>105</v>
      </c>
      <c r="S58" s="26">
        <f t="shared" si="9"/>
        <v>105</v>
      </c>
      <c r="T58" s="26">
        <f t="shared" si="9"/>
        <v>105</v>
      </c>
      <c r="U58" s="26">
        <f t="shared" si="9"/>
        <v>105</v>
      </c>
      <c r="V58" s="26">
        <f t="shared" si="9"/>
        <v>105</v>
      </c>
      <c r="W58" s="26">
        <f t="shared" si="9"/>
        <v>105</v>
      </c>
      <c r="X58" s="26">
        <f t="shared" si="9"/>
        <v>105</v>
      </c>
      <c r="Y58" s="26">
        <f t="shared" si="9"/>
        <v>105</v>
      </c>
      <c r="Z58" s="26">
        <f t="shared" si="9"/>
        <v>0</v>
      </c>
    </row>
    <row r="59" spans="2:26">
      <c r="B59" s="25"/>
      <c r="C59" s="27" t="s">
        <v>592</v>
      </c>
      <c r="D59" s="25" t="s">
        <v>106</v>
      </c>
      <c r="E59" s="28">
        <f>'表1-资金筹措及还本付息表'!F74+'表1-资金筹措及还本付息表'!F64</f>
        <v>0</v>
      </c>
      <c r="F59" s="28">
        <f>'表1-资金筹措及还本付息表'!G74+'表1-资金筹措及还本付息表'!G64</f>
        <v>0</v>
      </c>
      <c r="G59" s="28">
        <f>'表1-资金筹措及还本付息表'!H74+'表1-资金筹措及还本付息表'!H64</f>
        <v>105</v>
      </c>
      <c r="H59" s="28">
        <f>'表1-资金筹措及还本付息表'!I74+'表1-资金筹措及还本付息表'!I64</f>
        <v>105</v>
      </c>
      <c r="I59" s="28">
        <f>'表1-资金筹措及还本付息表'!J74+'表1-资金筹措及还本付息表'!J64</f>
        <v>105</v>
      </c>
      <c r="J59" s="28">
        <f>'表1-资金筹措及还本付息表'!K74+'表1-资金筹措及还本付息表'!K64</f>
        <v>105</v>
      </c>
      <c r="K59" s="28">
        <f>'表1-资金筹措及还本付息表'!L74+'表1-资金筹措及还本付息表'!L64</f>
        <v>105</v>
      </c>
      <c r="L59" s="28">
        <f>'表1-资金筹措及还本付息表'!M74+'表1-资金筹措及还本付息表'!M64</f>
        <v>105</v>
      </c>
      <c r="M59" s="28">
        <f>'表1-资金筹措及还本付息表'!N74+'表1-资金筹措及还本付息表'!N64</f>
        <v>105</v>
      </c>
      <c r="N59" s="28">
        <f>'表1-资金筹措及还本付息表'!O74+'表1-资金筹措及还本付息表'!O64</f>
        <v>105</v>
      </c>
      <c r="O59" s="28">
        <f>'表1-资金筹措及还本付息表'!P74+'表1-资金筹措及还本付息表'!P64</f>
        <v>105</v>
      </c>
      <c r="P59" s="28">
        <f>'表1-资金筹措及还本付息表'!Q74+'表1-资金筹措及还本付息表'!Q64</f>
        <v>105</v>
      </c>
      <c r="Q59" s="28">
        <f>'表1-资金筹措及还本付息表'!R74+'表1-资金筹措及还本付息表'!R64</f>
        <v>105</v>
      </c>
      <c r="R59" s="28">
        <f>'表1-资金筹措及还本付息表'!S74+'表1-资金筹措及还本付息表'!S64</f>
        <v>105</v>
      </c>
      <c r="S59" s="28">
        <f>'表1-资金筹措及还本付息表'!T74+'表1-资金筹措及还本付息表'!T64</f>
        <v>105</v>
      </c>
      <c r="T59" s="28">
        <f>'表1-资金筹措及还本付息表'!U74+'表1-资金筹措及还本付息表'!U64</f>
        <v>105</v>
      </c>
      <c r="U59" s="28">
        <f>'表1-资金筹措及还本付息表'!V74+'表1-资金筹措及还本付息表'!V64</f>
        <v>105</v>
      </c>
      <c r="V59" s="28">
        <f>'表1-资金筹措及还本付息表'!W74+'表1-资金筹措及还本付息表'!W64</f>
        <v>105</v>
      </c>
      <c r="W59" s="28">
        <f>'表1-资金筹措及还本付息表'!X74+'表1-资金筹措及还本付息表'!X64</f>
        <v>105</v>
      </c>
      <c r="X59" s="28">
        <f>'表1-资金筹措及还本付息表'!Y74+'表1-资金筹措及还本付息表'!Y64</f>
        <v>105</v>
      </c>
      <c r="Y59" s="28">
        <f>'表1-资金筹措及还本付息表'!Z74+'表1-资金筹措及还本付息表'!Z64</f>
        <v>105</v>
      </c>
      <c r="Z59" s="28">
        <f>'表1-资金筹措及还本付息表'!AA74+'表1-资金筹措及还本付息表'!AA64</f>
        <v>0</v>
      </c>
    </row>
    <row r="60" spans="2:26">
      <c r="B60" s="25"/>
      <c r="C60" s="27" t="s">
        <v>593</v>
      </c>
      <c r="D60" s="25" t="s">
        <v>106</v>
      </c>
      <c r="E60" s="28"/>
      <c r="F60" s="28"/>
      <c r="G60" s="28"/>
      <c r="H60" s="28"/>
      <c r="I60" s="28"/>
      <c r="J60" s="28"/>
      <c r="K60" s="28"/>
      <c r="L60" s="28"/>
      <c r="M60" s="28"/>
      <c r="N60" s="28"/>
      <c r="O60" s="28"/>
      <c r="P60" s="28"/>
      <c r="Q60" s="28"/>
      <c r="R60" s="28"/>
      <c r="S60" s="28"/>
      <c r="T60" s="28"/>
      <c r="U60" s="28"/>
      <c r="V60" s="28"/>
      <c r="W60" s="28"/>
      <c r="X60" s="28"/>
      <c r="Y60" s="28"/>
      <c r="Z60" s="28"/>
    </row>
    <row r="61" spans="2:26">
      <c r="B61" s="25"/>
      <c r="C61" s="27" t="s">
        <v>594</v>
      </c>
      <c r="D61" s="25" t="s">
        <v>106</v>
      </c>
      <c r="E61" s="28"/>
      <c r="F61" s="28"/>
      <c r="G61" s="28"/>
      <c r="H61" s="28"/>
      <c r="I61" s="28"/>
      <c r="J61" s="28"/>
      <c r="K61" s="28"/>
      <c r="L61" s="28"/>
      <c r="M61" s="28"/>
      <c r="N61" s="28"/>
      <c r="O61" s="28"/>
      <c r="P61" s="28"/>
      <c r="Q61" s="28"/>
      <c r="R61" s="28"/>
      <c r="S61" s="28"/>
      <c r="T61" s="28"/>
      <c r="U61" s="28"/>
      <c r="V61" s="28"/>
      <c r="W61" s="28"/>
      <c r="X61" s="28"/>
      <c r="Y61" s="28"/>
      <c r="Z61" s="28"/>
    </row>
    <row r="62" spans="2:26">
      <c r="B62" s="25"/>
      <c r="C62" s="27" t="s">
        <v>595</v>
      </c>
      <c r="D62" s="25" t="s">
        <v>106</v>
      </c>
      <c r="E62" s="28"/>
      <c r="F62" s="28"/>
      <c r="G62" s="28"/>
      <c r="H62" s="28"/>
      <c r="I62" s="28"/>
      <c r="J62" s="28"/>
      <c r="K62" s="28"/>
      <c r="L62" s="28"/>
      <c r="M62" s="28"/>
      <c r="N62" s="28"/>
      <c r="O62" s="28"/>
      <c r="P62" s="28"/>
      <c r="Q62" s="28"/>
      <c r="R62" s="28"/>
      <c r="S62" s="28"/>
      <c r="T62" s="28"/>
      <c r="U62" s="28"/>
      <c r="V62" s="28"/>
      <c r="W62" s="28"/>
      <c r="X62" s="28"/>
      <c r="Y62" s="28"/>
      <c r="Z62" s="28"/>
    </row>
    <row r="63" spans="2:26">
      <c r="B63" s="25"/>
      <c r="C63" s="27" t="s">
        <v>596</v>
      </c>
      <c r="D63" s="25" t="s">
        <v>106</v>
      </c>
      <c r="E63" s="28"/>
      <c r="F63" s="28"/>
      <c r="G63" s="28"/>
      <c r="H63" s="28"/>
      <c r="I63" s="28"/>
      <c r="J63" s="28"/>
      <c r="K63" s="28"/>
      <c r="L63" s="28"/>
      <c r="M63" s="28"/>
      <c r="N63" s="28"/>
      <c r="O63" s="28"/>
      <c r="P63" s="28"/>
      <c r="Q63" s="28"/>
      <c r="R63" s="28"/>
      <c r="S63" s="28"/>
      <c r="T63" s="28"/>
      <c r="U63" s="28"/>
      <c r="V63" s="28"/>
      <c r="W63" s="28"/>
      <c r="X63" s="28"/>
      <c r="Y63" s="28"/>
      <c r="Z63" s="28"/>
    </row>
    <row r="64" spans="2:26">
      <c r="B64" s="25"/>
      <c r="C64" s="27" t="s">
        <v>597</v>
      </c>
      <c r="D64" s="25" t="s">
        <v>106</v>
      </c>
      <c r="E64" s="28"/>
      <c r="F64" s="28"/>
      <c r="G64" s="28"/>
      <c r="H64" s="28"/>
      <c r="I64" s="28"/>
      <c r="J64" s="28"/>
      <c r="K64" s="28"/>
      <c r="L64" s="28"/>
      <c r="M64" s="28"/>
      <c r="N64" s="28"/>
      <c r="O64" s="28"/>
      <c r="P64" s="28"/>
      <c r="Q64" s="28"/>
      <c r="R64" s="28"/>
      <c r="S64" s="28"/>
      <c r="T64" s="28"/>
      <c r="U64" s="28"/>
      <c r="V64" s="28"/>
      <c r="W64" s="28"/>
      <c r="X64" s="28"/>
      <c r="Y64" s="28"/>
      <c r="Z64" s="28"/>
    </row>
    <row r="65" spans="2:26">
      <c r="B65" s="25"/>
      <c r="C65" s="27" t="s">
        <v>598</v>
      </c>
      <c r="D65" s="25" t="s">
        <v>106</v>
      </c>
      <c r="E65" s="28"/>
      <c r="F65" s="28"/>
      <c r="G65" s="28"/>
      <c r="H65" s="28"/>
      <c r="I65" s="28"/>
      <c r="J65" s="28"/>
      <c r="K65" s="28"/>
      <c r="L65" s="28"/>
      <c r="M65" s="28"/>
      <c r="N65" s="28"/>
      <c r="O65" s="28"/>
      <c r="P65" s="28"/>
      <c r="Q65" s="28"/>
      <c r="R65" s="28"/>
      <c r="S65" s="28"/>
      <c r="T65" s="28"/>
      <c r="U65" s="28"/>
      <c r="V65" s="28"/>
      <c r="W65" s="28"/>
      <c r="X65" s="28"/>
      <c r="Y65" s="28"/>
      <c r="Z65" s="28"/>
    </row>
    <row r="66" spans="2:26">
      <c r="B66" s="25"/>
      <c r="C66" s="27" t="s">
        <v>599</v>
      </c>
      <c r="D66" s="25" t="s">
        <v>106</v>
      </c>
      <c r="E66" s="28"/>
      <c r="F66" s="28"/>
      <c r="G66" s="28"/>
      <c r="H66" s="28"/>
      <c r="I66" s="28"/>
      <c r="J66" s="28"/>
      <c r="K66" s="28"/>
      <c r="L66" s="28"/>
      <c r="M66" s="28"/>
      <c r="N66" s="28"/>
      <c r="O66" s="28"/>
      <c r="P66" s="28"/>
      <c r="Q66" s="28"/>
      <c r="R66" s="28"/>
      <c r="S66" s="28"/>
      <c r="T66" s="28"/>
      <c r="U66" s="28"/>
      <c r="V66" s="28"/>
      <c r="W66" s="28"/>
      <c r="X66" s="28"/>
      <c r="Y66" s="28"/>
      <c r="Z66" s="28"/>
    </row>
    <row r="67" spans="2:26">
      <c r="B67" s="25"/>
      <c r="C67" s="27" t="s">
        <v>600</v>
      </c>
      <c r="D67" s="25" t="s">
        <v>106</v>
      </c>
      <c r="E67" s="28"/>
      <c r="F67" s="28"/>
      <c r="G67" s="28"/>
      <c r="H67" s="28"/>
      <c r="I67" s="28"/>
      <c r="J67" s="28"/>
      <c r="K67" s="28"/>
      <c r="L67" s="28"/>
      <c r="M67" s="28"/>
      <c r="N67" s="28"/>
      <c r="O67" s="28"/>
      <c r="P67" s="28"/>
      <c r="Q67" s="28"/>
      <c r="R67" s="28"/>
      <c r="S67" s="28"/>
      <c r="T67" s="28"/>
      <c r="U67" s="28"/>
      <c r="V67" s="28"/>
      <c r="W67" s="28"/>
      <c r="X67" s="28"/>
      <c r="Y67" s="28"/>
      <c r="Z67" s="28"/>
    </row>
    <row r="68" spans="2:26">
      <c r="B68" s="25"/>
      <c r="C68" s="27" t="s">
        <v>601</v>
      </c>
      <c r="D68" s="25" t="s">
        <v>106</v>
      </c>
      <c r="E68" s="28"/>
      <c r="F68" s="28"/>
      <c r="G68" s="28"/>
      <c r="H68" s="28"/>
      <c r="I68" s="28"/>
      <c r="J68" s="28"/>
      <c r="K68" s="28"/>
      <c r="L68" s="28"/>
      <c r="M68" s="28"/>
      <c r="N68" s="28"/>
      <c r="O68" s="28"/>
      <c r="P68" s="28"/>
      <c r="Q68" s="28"/>
      <c r="R68" s="28"/>
      <c r="S68" s="28"/>
      <c r="T68" s="28"/>
      <c r="U68" s="28"/>
      <c r="V68" s="28"/>
      <c r="W68" s="28"/>
      <c r="X68" s="28"/>
      <c r="Y68" s="28"/>
      <c r="Z68" s="28"/>
    </row>
    <row r="69" spans="2:26">
      <c r="B69" s="25"/>
      <c r="C69" s="27" t="s">
        <v>602</v>
      </c>
      <c r="D69" s="25" t="s">
        <v>106</v>
      </c>
      <c r="E69" s="28"/>
      <c r="F69" s="28"/>
      <c r="G69" s="28"/>
      <c r="H69" s="28"/>
      <c r="I69" s="28"/>
      <c r="J69" s="28"/>
      <c r="K69" s="28"/>
      <c r="L69" s="28"/>
      <c r="M69" s="28"/>
      <c r="N69" s="28"/>
      <c r="O69" s="28"/>
      <c r="P69" s="28"/>
      <c r="Q69" s="28"/>
      <c r="R69" s="28"/>
      <c r="S69" s="28"/>
      <c r="T69" s="28"/>
      <c r="U69" s="28"/>
      <c r="V69" s="28"/>
      <c r="W69" s="28"/>
      <c r="X69" s="28"/>
      <c r="Y69" s="28"/>
      <c r="Z69" s="28"/>
    </row>
    <row r="70" spans="2:26">
      <c r="B70" s="25"/>
      <c r="C70" s="27" t="s">
        <v>603</v>
      </c>
      <c r="D70" s="25" t="s">
        <v>106</v>
      </c>
      <c r="E70" s="28"/>
      <c r="F70" s="28"/>
      <c r="G70" s="28"/>
      <c r="H70" s="28"/>
      <c r="I70" s="28"/>
      <c r="J70" s="28"/>
      <c r="K70" s="28"/>
      <c r="L70" s="28"/>
      <c r="M70" s="28"/>
      <c r="N70" s="28"/>
      <c r="O70" s="28"/>
      <c r="P70" s="28"/>
      <c r="Q70" s="28"/>
      <c r="R70" s="28"/>
      <c r="S70" s="28"/>
      <c r="T70" s="28"/>
      <c r="U70" s="28"/>
      <c r="V70" s="28"/>
      <c r="W70" s="28"/>
      <c r="X70" s="28"/>
      <c r="Y70" s="28"/>
      <c r="Z70" s="28"/>
    </row>
    <row r="71" spans="2:26">
      <c r="B71" s="25"/>
      <c r="C71" s="27" t="s">
        <v>604</v>
      </c>
      <c r="D71" s="25" t="s">
        <v>106</v>
      </c>
      <c r="E71" s="28"/>
      <c r="F71" s="28"/>
      <c r="G71" s="28"/>
      <c r="H71" s="28"/>
      <c r="I71" s="28"/>
      <c r="J71" s="28"/>
      <c r="K71" s="28"/>
      <c r="L71" s="28"/>
      <c r="M71" s="28"/>
      <c r="N71" s="28"/>
      <c r="O71" s="28"/>
      <c r="P71" s="28"/>
      <c r="Q71" s="28"/>
      <c r="R71" s="28"/>
      <c r="S71" s="28"/>
      <c r="T71" s="28"/>
      <c r="U71" s="28"/>
      <c r="V71" s="28"/>
      <c r="W71" s="28"/>
      <c r="X71" s="28"/>
      <c r="Y71" s="28"/>
      <c r="Z71" s="28"/>
    </row>
    <row r="72" spans="2:26">
      <c r="B72" s="25"/>
      <c r="C72" s="27" t="s">
        <v>605</v>
      </c>
      <c r="D72" s="25" t="s">
        <v>106</v>
      </c>
      <c r="E72" s="28"/>
      <c r="F72" s="28"/>
      <c r="G72" s="28"/>
      <c r="H72" s="28"/>
      <c r="I72" s="28"/>
      <c r="J72" s="28"/>
      <c r="K72" s="28"/>
      <c r="L72" s="28"/>
      <c r="M72" s="28"/>
      <c r="N72" s="28"/>
      <c r="O72" s="28"/>
      <c r="P72" s="28"/>
      <c r="Q72" s="28"/>
      <c r="R72" s="28"/>
      <c r="S72" s="28"/>
      <c r="T72" s="28"/>
      <c r="U72" s="28"/>
      <c r="V72" s="28"/>
      <c r="W72" s="28"/>
      <c r="X72" s="28"/>
      <c r="Y72" s="28"/>
      <c r="Z72" s="28"/>
    </row>
    <row r="73" spans="2:26">
      <c r="B73" s="25"/>
      <c r="C73" s="27" t="s">
        <v>606</v>
      </c>
      <c r="D73" s="25" t="s">
        <v>106</v>
      </c>
      <c r="E73" s="28"/>
      <c r="F73" s="28"/>
      <c r="G73" s="28"/>
      <c r="H73" s="28"/>
      <c r="I73" s="28"/>
      <c r="J73" s="28"/>
      <c r="K73" s="28"/>
      <c r="L73" s="28"/>
      <c r="M73" s="28"/>
      <c r="N73" s="28"/>
      <c r="O73" s="28"/>
      <c r="P73" s="28"/>
      <c r="Q73" s="28"/>
      <c r="R73" s="28"/>
      <c r="S73" s="28"/>
      <c r="T73" s="28"/>
      <c r="U73" s="28"/>
      <c r="V73" s="28"/>
      <c r="W73" s="28"/>
      <c r="X73" s="28"/>
      <c r="Y73" s="28"/>
      <c r="Z73" s="28"/>
    </row>
    <row r="74" spans="2:26">
      <c r="B74" s="25"/>
      <c r="C74" s="29" t="s">
        <v>607</v>
      </c>
      <c r="D74" s="25" t="s">
        <v>106</v>
      </c>
      <c r="E74" s="28"/>
      <c r="F74" s="28"/>
      <c r="G74" s="28"/>
      <c r="H74" s="28"/>
      <c r="I74" s="28"/>
      <c r="J74" s="28"/>
      <c r="K74" s="28"/>
      <c r="L74" s="28"/>
      <c r="M74" s="28"/>
      <c r="N74" s="28"/>
      <c r="O74" s="28"/>
      <c r="P74" s="28"/>
      <c r="Q74" s="28"/>
      <c r="R74" s="28"/>
      <c r="S74" s="28"/>
      <c r="T74" s="28"/>
      <c r="U74" s="28"/>
      <c r="V74" s="28"/>
      <c r="W74" s="28"/>
      <c r="X74" s="28"/>
      <c r="Y74" s="28"/>
      <c r="Z74" s="28"/>
    </row>
    <row r="75" spans="2:26">
      <c r="B75" s="25"/>
      <c r="C75" s="29" t="s">
        <v>608</v>
      </c>
      <c r="D75" s="25" t="s">
        <v>106</v>
      </c>
      <c r="E75" s="28"/>
      <c r="F75" s="28"/>
      <c r="G75" s="28"/>
      <c r="H75" s="28"/>
      <c r="I75" s="28"/>
      <c r="J75" s="28"/>
      <c r="K75" s="28"/>
      <c r="L75" s="28"/>
      <c r="M75" s="28"/>
      <c r="N75" s="28"/>
      <c r="O75" s="28"/>
      <c r="P75" s="28"/>
      <c r="Q75" s="28"/>
      <c r="R75" s="28"/>
      <c r="S75" s="28"/>
      <c r="T75" s="28"/>
      <c r="U75" s="28"/>
      <c r="V75" s="28"/>
      <c r="W75" s="28"/>
      <c r="X75" s="28"/>
      <c r="Y75" s="28"/>
      <c r="Z75" s="28"/>
    </row>
    <row r="76" spans="2:26">
      <c r="B76" s="25"/>
      <c r="C76" s="31" t="s">
        <v>609</v>
      </c>
      <c r="D76" s="25" t="s">
        <v>106</v>
      </c>
      <c r="E76" s="28"/>
      <c r="F76" s="28"/>
      <c r="G76" s="28"/>
      <c r="H76" s="28"/>
      <c r="I76" s="28"/>
      <c r="J76" s="28"/>
      <c r="K76" s="28"/>
      <c r="L76" s="28"/>
      <c r="M76" s="28"/>
      <c r="N76" s="28"/>
      <c r="O76" s="28"/>
      <c r="P76" s="28"/>
      <c r="Q76" s="28"/>
      <c r="R76" s="28"/>
      <c r="S76" s="28"/>
      <c r="T76" s="28"/>
      <c r="U76" s="28"/>
      <c r="V76" s="28"/>
      <c r="W76" s="28"/>
      <c r="X76" s="28"/>
      <c r="Y76" s="28"/>
      <c r="Z76" s="28"/>
    </row>
    <row r="77" spans="2:26">
      <c r="B77" s="25"/>
      <c r="C77" s="27" t="s">
        <v>610</v>
      </c>
      <c r="D77" s="25" t="s">
        <v>106</v>
      </c>
      <c r="E77" s="28"/>
      <c r="F77" s="28"/>
      <c r="G77" s="28"/>
      <c r="H77" s="28"/>
      <c r="I77" s="28"/>
      <c r="J77" s="28"/>
      <c r="K77" s="28"/>
      <c r="L77" s="28"/>
      <c r="M77" s="28"/>
      <c r="N77" s="28"/>
      <c r="O77" s="28"/>
      <c r="P77" s="28"/>
      <c r="Q77" s="28"/>
      <c r="R77" s="28"/>
      <c r="S77" s="28"/>
      <c r="T77" s="28"/>
      <c r="U77" s="28"/>
      <c r="V77" s="28"/>
      <c r="W77" s="28"/>
      <c r="X77" s="28"/>
      <c r="Y77" s="28"/>
      <c r="Z77" s="28"/>
    </row>
    <row r="78" spans="2:26">
      <c r="B78" s="25"/>
      <c r="C78" s="29" t="s">
        <v>611</v>
      </c>
      <c r="D78" s="25" t="s">
        <v>106</v>
      </c>
      <c r="E78" s="28"/>
      <c r="F78" s="28"/>
      <c r="G78" s="28"/>
      <c r="H78" s="28"/>
      <c r="I78" s="28"/>
      <c r="J78" s="28"/>
      <c r="K78" s="28"/>
      <c r="L78" s="28"/>
      <c r="M78" s="28"/>
      <c r="N78" s="28"/>
      <c r="O78" s="28"/>
      <c r="P78" s="28"/>
      <c r="Q78" s="28"/>
      <c r="R78" s="28"/>
      <c r="S78" s="28"/>
      <c r="T78" s="28"/>
      <c r="U78" s="28"/>
      <c r="V78" s="28"/>
      <c r="W78" s="28"/>
      <c r="X78" s="28"/>
      <c r="Y78" s="28"/>
      <c r="Z78" s="28"/>
    </row>
    <row r="79" spans="2:26">
      <c r="B79" s="25"/>
      <c r="C79" s="27" t="s">
        <v>612</v>
      </c>
      <c r="D79" s="25" t="s">
        <v>106</v>
      </c>
      <c r="E79" s="28"/>
      <c r="F79" s="28"/>
      <c r="G79" s="28"/>
      <c r="H79" s="28"/>
      <c r="I79" s="28"/>
      <c r="J79" s="28"/>
      <c r="K79" s="28"/>
      <c r="L79" s="28"/>
      <c r="M79" s="28"/>
      <c r="N79" s="28"/>
      <c r="O79" s="28"/>
      <c r="P79" s="28"/>
      <c r="Q79" s="28"/>
      <c r="R79" s="28"/>
      <c r="S79" s="28"/>
      <c r="T79" s="28"/>
      <c r="U79" s="28"/>
      <c r="V79" s="28"/>
      <c r="W79" s="28"/>
      <c r="X79" s="28"/>
      <c r="Y79" s="28"/>
      <c r="Z79" s="28"/>
    </row>
    <row r="80" spans="2:26">
      <c r="B80" s="25"/>
      <c r="C80" s="29" t="s">
        <v>613</v>
      </c>
      <c r="D80" s="25" t="s">
        <v>106</v>
      </c>
      <c r="E80" s="28"/>
      <c r="F80" s="28"/>
      <c r="G80" s="28"/>
      <c r="H80" s="28"/>
      <c r="I80" s="28"/>
      <c r="J80" s="28"/>
      <c r="K80" s="28"/>
      <c r="L80" s="28"/>
      <c r="M80" s="28"/>
      <c r="N80" s="28"/>
      <c r="O80" s="28"/>
      <c r="P80" s="28"/>
      <c r="Q80" s="28"/>
      <c r="R80" s="28"/>
      <c r="S80" s="28"/>
      <c r="T80" s="28"/>
      <c r="U80" s="28"/>
      <c r="V80" s="28"/>
      <c r="W80" s="28"/>
      <c r="X80" s="28"/>
      <c r="Y80" s="28"/>
      <c r="Z80" s="28"/>
    </row>
    <row r="81" spans="2:26">
      <c r="B81" s="25"/>
      <c r="C81" s="27" t="s">
        <v>614</v>
      </c>
      <c r="D81" s="25" t="s">
        <v>106</v>
      </c>
      <c r="E81" s="28"/>
      <c r="F81" s="28"/>
      <c r="G81" s="28"/>
      <c r="H81" s="28"/>
      <c r="I81" s="28"/>
      <c r="J81" s="28"/>
      <c r="K81" s="28"/>
      <c r="L81" s="28"/>
      <c r="M81" s="28"/>
      <c r="N81" s="28"/>
      <c r="O81" s="28"/>
      <c r="P81" s="28"/>
      <c r="Q81" s="28"/>
      <c r="R81" s="28"/>
      <c r="S81" s="28"/>
      <c r="T81" s="28"/>
      <c r="U81" s="28"/>
      <c r="V81" s="28"/>
      <c r="W81" s="28"/>
      <c r="X81" s="28"/>
      <c r="Y81" s="28"/>
      <c r="Z81" s="28"/>
    </row>
    <row r="82" spans="2:26">
      <c r="B82" s="25"/>
      <c r="C82" s="27" t="s">
        <v>615</v>
      </c>
      <c r="D82" s="25" t="s">
        <v>106</v>
      </c>
      <c r="E82" s="28"/>
      <c r="F82" s="28"/>
      <c r="G82" s="28"/>
      <c r="H82" s="28"/>
      <c r="I82" s="28"/>
      <c r="J82" s="28"/>
      <c r="K82" s="28"/>
      <c r="L82" s="28"/>
      <c r="M82" s="28"/>
      <c r="N82" s="28"/>
      <c r="O82" s="28"/>
      <c r="P82" s="28"/>
      <c r="Q82" s="28"/>
      <c r="R82" s="28"/>
      <c r="S82" s="28"/>
      <c r="T82" s="28"/>
      <c r="U82" s="28"/>
      <c r="V82" s="28"/>
      <c r="W82" s="28"/>
      <c r="X82" s="28"/>
      <c r="Y82" s="28"/>
      <c r="Z82" s="28"/>
    </row>
    <row r="83" spans="2:26">
      <c r="B83" s="25"/>
      <c r="C83" s="27" t="s">
        <v>616</v>
      </c>
      <c r="D83" s="25" t="s">
        <v>106</v>
      </c>
      <c r="E83" s="28"/>
      <c r="F83" s="28"/>
      <c r="G83" s="28"/>
      <c r="H83" s="28"/>
      <c r="I83" s="28"/>
      <c r="J83" s="28"/>
      <c r="K83" s="28"/>
      <c r="L83" s="28"/>
      <c r="M83" s="28"/>
      <c r="N83" s="28"/>
      <c r="O83" s="28"/>
      <c r="P83" s="28"/>
      <c r="Q83" s="28"/>
      <c r="R83" s="28"/>
      <c r="S83" s="28"/>
      <c r="T83" s="28"/>
      <c r="U83" s="28"/>
      <c r="V83" s="28"/>
      <c r="W83" s="28"/>
      <c r="X83" s="28"/>
      <c r="Y83" s="28"/>
      <c r="Z83" s="28"/>
    </row>
    <row r="84" spans="2:26">
      <c r="B84" s="25"/>
      <c r="C84" s="27" t="s">
        <v>617</v>
      </c>
      <c r="D84" s="25" t="s">
        <v>106</v>
      </c>
      <c r="E84" s="28"/>
      <c r="F84" s="28"/>
      <c r="G84" s="28"/>
      <c r="H84" s="28"/>
      <c r="I84" s="28"/>
      <c r="J84" s="28"/>
      <c r="K84" s="28"/>
      <c r="L84" s="28"/>
      <c r="M84" s="28"/>
      <c r="N84" s="28"/>
      <c r="O84" s="28"/>
      <c r="P84" s="28"/>
      <c r="Q84" s="28"/>
      <c r="R84" s="28"/>
      <c r="S84" s="28"/>
      <c r="T84" s="28"/>
      <c r="U84" s="28"/>
      <c r="V84" s="28"/>
      <c r="W84" s="28"/>
      <c r="X84" s="28"/>
      <c r="Y84" s="28"/>
      <c r="Z84" s="28"/>
    </row>
    <row r="85" spans="2:26">
      <c r="B85" s="25"/>
      <c r="C85" s="27" t="s">
        <v>618</v>
      </c>
      <c r="D85" s="25" t="s">
        <v>106</v>
      </c>
      <c r="E85" s="28"/>
      <c r="F85" s="28"/>
      <c r="G85" s="28"/>
      <c r="H85" s="28"/>
      <c r="I85" s="28"/>
      <c r="J85" s="28"/>
      <c r="K85" s="28"/>
      <c r="L85" s="28"/>
      <c r="M85" s="28"/>
      <c r="N85" s="28"/>
      <c r="O85" s="28"/>
      <c r="P85" s="28"/>
      <c r="Q85" s="28"/>
      <c r="R85" s="28"/>
      <c r="S85" s="28"/>
      <c r="T85" s="28"/>
      <c r="U85" s="28"/>
      <c r="V85" s="28"/>
      <c r="W85" s="28"/>
      <c r="X85" s="28"/>
      <c r="Y85" s="28"/>
      <c r="Z85" s="28"/>
    </row>
    <row r="86" spans="2:26">
      <c r="B86" s="23">
        <v>2.2000000000000002</v>
      </c>
      <c r="C86" s="24" t="s">
        <v>619</v>
      </c>
      <c r="D86" s="25" t="s">
        <v>106</v>
      </c>
      <c r="E86" s="26">
        <f ca="1">SUM(E87:E89)+SUM(E92:E98)</f>
        <v>19801.99480271024</v>
      </c>
      <c r="F86" s="26">
        <f t="shared" ref="F86:Z86" si="10">SUM(F87:F89)+SUM(F92:F98)</f>
        <v>0</v>
      </c>
      <c r="G86" s="26">
        <f t="shared" ca="1" si="10"/>
        <v>16525.782689488242</v>
      </c>
      <c r="H86" s="26">
        <f t="shared" ca="1" si="10"/>
        <v>15567.285862854347</v>
      </c>
      <c r="I86" s="26">
        <f t="shared" ca="1" si="10"/>
        <v>14608.789036220449</v>
      </c>
      <c r="J86" s="26">
        <f t="shared" ca="1" si="10"/>
        <v>13650.292209586551</v>
      </c>
      <c r="K86" s="26">
        <f t="shared" ca="1" si="10"/>
        <v>12691.79538295265</v>
      </c>
      <c r="L86" s="26">
        <f t="shared" ca="1" si="10"/>
        <v>11736.260127631604</v>
      </c>
      <c r="M86" s="26">
        <f t="shared" ca="1" si="10"/>
        <v>10561.063894778797</v>
      </c>
      <c r="N86" s="26">
        <f t="shared" ca="1" si="10"/>
        <v>9240.930907931448</v>
      </c>
      <c r="O86" s="26">
        <f t="shared" ca="1" si="10"/>
        <v>7920.7979210840986</v>
      </c>
      <c r="P86" s="26">
        <f t="shared" ca="1" si="10"/>
        <v>6600.6649342367491</v>
      </c>
      <c r="Q86" s="26">
        <f t="shared" ca="1" si="10"/>
        <v>5280.5319473893996</v>
      </c>
      <c r="R86" s="26">
        <f t="shared" ca="1" si="10"/>
        <v>3960.3989605420502</v>
      </c>
      <c r="S86" s="26">
        <f t="shared" ca="1" si="10"/>
        <v>2640.2659736947007</v>
      </c>
      <c r="T86" s="26">
        <f t="shared" ca="1" si="10"/>
        <v>1320.1329868473515</v>
      </c>
      <c r="U86" s="26">
        <f t="shared" ca="1" si="10"/>
        <v>2.2737367544323206E-12</v>
      </c>
      <c r="V86" s="26">
        <f t="shared" ca="1" si="10"/>
        <v>0</v>
      </c>
      <c r="W86" s="26">
        <f t="shared" ca="1" si="10"/>
        <v>0</v>
      </c>
      <c r="X86" s="26">
        <f t="shared" ca="1" si="10"/>
        <v>0</v>
      </c>
      <c r="Y86" s="26">
        <f t="shared" ca="1" si="10"/>
        <v>0</v>
      </c>
      <c r="Z86" s="26">
        <f t="shared" ca="1" si="10"/>
        <v>0</v>
      </c>
    </row>
    <row r="87" spans="2:26">
      <c r="B87" s="25"/>
      <c r="C87" s="27" t="s">
        <v>620</v>
      </c>
      <c r="D87" s="25" t="s">
        <v>106</v>
      </c>
      <c r="E87" s="28"/>
      <c r="F87" s="28"/>
      <c r="G87" s="28"/>
      <c r="H87" s="28"/>
      <c r="I87" s="28"/>
      <c r="J87" s="28"/>
      <c r="K87" s="28"/>
      <c r="L87" s="28"/>
      <c r="M87" s="28"/>
      <c r="N87" s="28"/>
      <c r="O87" s="28"/>
      <c r="P87" s="28"/>
      <c r="Q87" s="28"/>
      <c r="R87" s="28"/>
      <c r="S87" s="28"/>
      <c r="T87" s="28"/>
      <c r="U87" s="28"/>
      <c r="V87" s="28"/>
      <c r="W87" s="28"/>
      <c r="X87" s="28"/>
      <c r="Y87" s="28"/>
      <c r="Z87" s="28"/>
    </row>
    <row r="88" spans="2:26">
      <c r="B88" s="25"/>
      <c r="C88" s="27" t="s">
        <v>621</v>
      </c>
      <c r="D88" s="25" t="s">
        <v>106</v>
      </c>
      <c r="E88" s="28">
        <f ca="1">'表1-资金筹措及还本付息表'!F44</f>
        <v>19801.99480271024</v>
      </c>
      <c r="F88" s="28">
        <f>IF('表1-资金筹措及还本付息表'!G5=0,0,'表1-资金筹措及还本付息表'!G44)</f>
        <v>0</v>
      </c>
      <c r="G88" s="28">
        <f ca="1">'表1-资金筹措及还本付息表'!H54</f>
        <v>18481.861815862892</v>
      </c>
      <c r="H88" s="28">
        <f ca="1">'表1-资金筹措及还本付息表'!I54</f>
        <v>17161.728829015545</v>
      </c>
      <c r="I88" s="28">
        <f ca="1">'表1-资金筹措及还本付息表'!J54</f>
        <v>15841.595842168195</v>
      </c>
      <c r="J88" s="28">
        <f ca="1">'表1-资金筹措及还本付息表'!K54</f>
        <v>14521.462855320846</v>
      </c>
      <c r="K88" s="28">
        <f ca="1">'表1-资金筹措及还本付息表'!L54</f>
        <v>13201.329868473496</v>
      </c>
      <c r="L88" s="28">
        <f ca="1">'表1-资金筹措及还本付息表'!M54</f>
        <v>11881.196881626147</v>
      </c>
      <c r="M88" s="28">
        <f ca="1">'表1-资金筹措及还本付息表'!N54</f>
        <v>10561.063894778797</v>
      </c>
      <c r="N88" s="28">
        <f ca="1">'表1-资金筹措及还本付息表'!O54</f>
        <v>9240.930907931448</v>
      </c>
      <c r="O88" s="28">
        <f ca="1">'表1-资金筹措及还本付息表'!P54</f>
        <v>7920.7979210840986</v>
      </c>
      <c r="P88" s="28">
        <f ca="1">'表1-资金筹措及还本付息表'!Q54</f>
        <v>6600.6649342367491</v>
      </c>
      <c r="Q88" s="28">
        <f ca="1">'表1-资金筹措及还本付息表'!R54</f>
        <v>5280.5319473893996</v>
      </c>
      <c r="R88" s="28">
        <f ca="1">'表1-资金筹措及还本付息表'!S54</f>
        <v>3960.3989605420502</v>
      </c>
      <c r="S88" s="28">
        <f ca="1">'表1-资金筹措及还本付息表'!T54</f>
        <v>2640.2659736947007</v>
      </c>
      <c r="T88" s="28">
        <f ca="1">'表1-资金筹措及还本付息表'!U54</f>
        <v>1320.1329868473515</v>
      </c>
      <c r="U88" s="28">
        <f ca="1">'表1-资金筹措及还本付息表'!V54</f>
        <v>2.2737367544323206E-12</v>
      </c>
      <c r="V88" s="28">
        <f>'表1-资金筹措及还本付息表'!W54</f>
        <v>0</v>
      </c>
      <c r="W88" s="28">
        <f>'表1-资金筹措及还本付息表'!X54</f>
        <v>0</v>
      </c>
      <c r="X88" s="28">
        <f>'表1-资金筹措及还本付息表'!Y54</f>
        <v>0</v>
      </c>
      <c r="Y88" s="28">
        <f>'表1-资金筹措及还本付息表'!Z54</f>
        <v>0</v>
      </c>
      <c r="Z88" s="28">
        <f>'表1-资金筹措及还本付息表'!AA54</f>
        <v>0</v>
      </c>
    </row>
    <row r="89" spans="2:26">
      <c r="B89" s="25"/>
      <c r="C89" s="27" t="s">
        <v>622</v>
      </c>
      <c r="D89" s="25" t="s">
        <v>106</v>
      </c>
      <c r="E89" s="28"/>
      <c r="F89" s="28"/>
      <c r="G89" s="28"/>
      <c r="H89" s="28"/>
      <c r="I89" s="28"/>
      <c r="J89" s="28"/>
      <c r="K89" s="28"/>
      <c r="L89" s="28"/>
      <c r="M89" s="28"/>
      <c r="N89" s="28"/>
      <c r="O89" s="28"/>
      <c r="P89" s="28"/>
      <c r="Q89" s="28"/>
      <c r="R89" s="28"/>
      <c r="S89" s="28"/>
      <c r="T89" s="28"/>
      <c r="U89" s="28"/>
      <c r="V89" s="28"/>
      <c r="W89" s="28"/>
      <c r="X89" s="28"/>
      <c r="Y89" s="28"/>
      <c r="Z89" s="28"/>
    </row>
    <row r="90" spans="2:26">
      <c r="B90" s="25"/>
      <c r="C90" s="29" t="s">
        <v>623</v>
      </c>
      <c r="D90" s="25" t="s">
        <v>106</v>
      </c>
      <c r="E90" s="28"/>
      <c r="F90" s="28"/>
      <c r="G90" s="28"/>
      <c r="H90" s="28"/>
      <c r="I90" s="28"/>
      <c r="J90" s="28"/>
      <c r="K90" s="28"/>
      <c r="L90" s="28"/>
      <c r="M90" s="28"/>
      <c r="N90" s="28"/>
      <c r="O90" s="28"/>
      <c r="P90" s="28"/>
      <c r="Q90" s="28"/>
      <c r="R90" s="28"/>
      <c r="S90" s="28"/>
      <c r="T90" s="28"/>
      <c r="U90" s="28"/>
      <c r="V90" s="28"/>
      <c r="W90" s="28"/>
      <c r="X90" s="28"/>
      <c r="Y90" s="28"/>
      <c r="Z90" s="28"/>
    </row>
    <row r="91" spans="2:26">
      <c r="B91" s="25"/>
      <c r="C91" s="29" t="s">
        <v>624</v>
      </c>
      <c r="D91" s="25" t="s">
        <v>106</v>
      </c>
      <c r="E91" s="28"/>
      <c r="F91" s="28"/>
      <c r="G91" s="28"/>
      <c r="H91" s="28"/>
      <c r="I91" s="28"/>
      <c r="J91" s="28"/>
      <c r="K91" s="28"/>
      <c r="L91" s="28"/>
      <c r="M91" s="28"/>
      <c r="N91" s="28"/>
      <c r="O91" s="28"/>
      <c r="P91" s="28"/>
      <c r="Q91" s="28"/>
      <c r="R91" s="28"/>
      <c r="S91" s="28"/>
      <c r="T91" s="28"/>
      <c r="U91" s="28"/>
      <c r="V91" s="28"/>
      <c r="W91" s="28"/>
      <c r="X91" s="28"/>
      <c r="Y91" s="28"/>
      <c r="Z91" s="28"/>
    </row>
    <row r="92" spans="2:26">
      <c r="B92" s="25"/>
      <c r="C92" s="27" t="s">
        <v>625</v>
      </c>
      <c r="D92" s="25" t="s">
        <v>106</v>
      </c>
      <c r="E92" s="28"/>
      <c r="F92" s="28"/>
      <c r="G92" s="28"/>
      <c r="H92" s="28"/>
      <c r="I92" s="28"/>
      <c r="J92" s="28"/>
      <c r="K92" s="28"/>
      <c r="L92" s="28"/>
      <c r="M92" s="28"/>
      <c r="N92" s="28"/>
      <c r="O92" s="28"/>
      <c r="P92" s="28"/>
      <c r="Q92" s="28"/>
      <c r="R92" s="28"/>
      <c r="S92" s="28"/>
      <c r="T92" s="28"/>
      <c r="U92" s="28"/>
      <c r="V92" s="28"/>
      <c r="W92" s="28"/>
      <c r="X92" s="28"/>
      <c r="Y92" s="28"/>
      <c r="Z92" s="28"/>
    </row>
    <row r="93" spans="2:26">
      <c r="B93" s="25"/>
      <c r="C93" s="27" t="s">
        <v>626</v>
      </c>
      <c r="D93" s="25" t="s">
        <v>106</v>
      </c>
      <c r="E93" s="28"/>
      <c r="F93" s="28"/>
      <c r="G93" s="28"/>
      <c r="H93" s="28"/>
      <c r="I93" s="28"/>
      <c r="J93" s="28"/>
      <c r="K93" s="28"/>
      <c r="L93" s="28"/>
      <c r="M93" s="28"/>
      <c r="N93" s="28"/>
      <c r="O93" s="28"/>
      <c r="P93" s="28"/>
      <c r="Q93" s="28"/>
      <c r="R93" s="28"/>
      <c r="S93" s="28"/>
      <c r="T93" s="28"/>
      <c r="U93" s="28"/>
      <c r="V93" s="28"/>
      <c r="W93" s="28"/>
      <c r="X93" s="28"/>
      <c r="Y93" s="28"/>
      <c r="Z93" s="28"/>
    </row>
    <row r="94" spans="2:26">
      <c r="B94" s="25"/>
      <c r="C94" s="27" t="s">
        <v>627</v>
      </c>
      <c r="D94" s="25" t="s">
        <v>106</v>
      </c>
      <c r="E94" s="28"/>
      <c r="F94" s="28"/>
      <c r="G94" s="28"/>
      <c r="H94" s="28"/>
      <c r="I94" s="28"/>
      <c r="J94" s="28"/>
      <c r="K94" s="28"/>
      <c r="L94" s="28"/>
      <c r="M94" s="28"/>
      <c r="N94" s="28"/>
      <c r="O94" s="28"/>
      <c r="P94" s="28"/>
      <c r="Q94" s="28"/>
      <c r="R94" s="28"/>
      <c r="S94" s="28"/>
      <c r="T94" s="28"/>
      <c r="U94" s="28"/>
      <c r="V94" s="28"/>
      <c r="W94" s="28"/>
      <c r="X94" s="28"/>
      <c r="Y94" s="28"/>
      <c r="Z94" s="28"/>
    </row>
    <row r="95" spans="2:26">
      <c r="B95" s="25"/>
      <c r="C95" s="27" t="s">
        <v>628</v>
      </c>
      <c r="D95" s="25" t="s">
        <v>106</v>
      </c>
      <c r="E95" s="28"/>
      <c r="F95" s="28"/>
      <c r="G95" s="28"/>
      <c r="H95" s="28"/>
      <c r="I95" s="28"/>
      <c r="J95" s="28"/>
      <c r="K95" s="28"/>
      <c r="L95" s="28"/>
      <c r="M95" s="28"/>
      <c r="N95" s="28"/>
      <c r="O95" s="28"/>
      <c r="P95" s="28"/>
      <c r="Q95" s="28"/>
      <c r="R95" s="28"/>
      <c r="S95" s="28"/>
      <c r="T95" s="28"/>
      <c r="U95" s="28"/>
      <c r="V95" s="28"/>
      <c r="W95" s="28"/>
      <c r="X95" s="28"/>
      <c r="Y95" s="28"/>
      <c r="Z95" s="28"/>
    </row>
    <row r="96" spans="2:26">
      <c r="B96" s="25"/>
      <c r="C96" s="27" t="s">
        <v>629</v>
      </c>
      <c r="D96" s="25" t="s">
        <v>106</v>
      </c>
      <c r="E96" s="28"/>
      <c r="F96" s="28"/>
      <c r="G96" s="28">
        <f ca="1">-'表4-收入税金表'!H45</f>
        <v>-1956.0791263746489</v>
      </c>
      <c r="H96" s="28">
        <f ca="1">-'表4-收入税金表'!I45</f>
        <v>-1594.442966161198</v>
      </c>
      <c r="I96" s="28">
        <f ca="1">-'表4-收入税金表'!J45</f>
        <v>-1232.8068059477471</v>
      </c>
      <c r="J96" s="28">
        <f ca="1">-'表4-收入税金表'!K45</f>
        <v>-871.17064573429616</v>
      </c>
      <c r="K96" s="28">
        <f ca="1">-'表4-收入税金表'!L45</f>
        <v>-509.53448552084518</v>
      </c>
      <c r="L96" s="28">
        <f ca="1">-'表4-收入税金表'!M45</f>
        <v>-144.93675399454418</v>
      </c>
      <c r="M96" s="28">
        <f ca="1">-'表4-收入税金表'!N45</f>
        <v>0</v>
      </c>
      <c r="N96" s="28">
        <f ca="1">-'表4-收入税金表'!O45</f>
        <v>0</v>
      </c>
      <c r="O96" s="28">
        <f ca="1">-'表4-收入税金表'!P45</f>
        <v>0</v>
      </c>
      <c r="P96" s="28">
        <f ca="1">-'表4-收入税金表'!Q45</f>
        <v>0</v>
      </c>
      <c r="Q96" s="28">
        <f ca="1">-'表4-收入税金表'!R45</f>
        <v>0</v>
      </c>
      <c r="R96" s="28">
        <f ca="1">-'表4-收入税金表'!S45</f>
        <v>0</v>
      </c>
      <c r="S96" s="28">
        <f ca="1">-'表4-收入税金表'!T45</f>
        <v>0</v>
      </c>
      <c r="T96" s="28">
        <f ca="1">-'表4-收入税金表'!U45</f>
        <v>0</v>
      </c>
      <c r="U96" s="28">
        <f ca="1">-'表4-收入税金表'!V45</f>
        <v>0</v>
      </c>
      <c r="V96" s="28">
        <f ca="1">-'表4-收入税金表'!W45</f>
        <v>0</v>
      </c>
      <c r="W96" s="28">
        <f ca="1">-'表4-收入税金表'!X45</f>
        <v>0</v>
      </c>
      <c r="X96" s="28">
        <f ca="1">-'表4-收入税金表'!Y45</f>
        <v>0</v>
      </c>
      <c r="Y96" s="28">
        <f ca="1">-'表4-收入税金表'!Z45</f>
        <v>0</v>
      </c>
      <c r="Z96" s="28">
        <f ca="1">-'表4-收入税金表'!AA45</f>
        <v>0</v>
      </c>
    </row>
    <row r="97" spans="2:26">
      <c r="B97" s="25"/>
      <c r="C97" s="27" t="s">
        <v>630</v>
      </c>
      <c r="D97" s="25" t="s">
        <v>106</v>
      </c>
      <c r="E97" s="28"/>
      <c r="F97" s="28"/>
      <c r="G97" s="28"/>
      <c r="H97" s="28"/>
      <c r="I97" s="28"/>
      <c r="J97" s="28"/>
      <c r="K97" s="28"/>
      <c r="L97" s="28"/>
      <c r="M97" s="28"/>
      <c r="N97" s="28"/>
      <c r="O97" s="28"/>
      <c r="P97" s="28"/>
      <c r="Q97" s="28"/>
      <c r="R97" s="28"/>
      <c r="S97" s="28"/>
      <c r="T97" s="28"/>
      <c r="U97" s="28"/>
      <c r="V97" s="28"/>
      <c r="W97" s="28"/>
      <c r="X97" s="28"/>
      <c r="Y97" s="28"/>
      <c r="Z97" s="28"/>
    </row>
    <row r="98" spans="2:26">
      <c r="B98" s="25"/>
      <c r="C98" s="27" t="s">
        <v>631</v>
      </c>
      <c r="D98" s="25" t="s">
        <v>106</v>
      </c>
      <c r="E98" s="28"/>
      <c r="F98" s="28"/>
      <c r="G98" s="28"/>
      <c r="H98" s="28"/>
      <c r="I98" s="28"/>
      <c r="J98" s="28"/>
      <c r="K98" s="28"/>
      <c r="L98" s="28"/>
      <c r="M98" s="28"/>
      <c r="N98" s="28"/>
      <c r="O98" s="28"/>
      <c r="P98" s="28"/>
      <c r="Q98" s="28"/>
      <c r="R98" s="28"/>
      <c r="S98" s="28"/>
      <c r="T98" s="28"/>
      <c r="U98" s="28"/>
      <c r="V98" s="28"/>
      <c r="W98" s="28"/>
      <c r="X98" s="28"/>
      <c r="Y98" s="28"/>
      <c r="Z98" s="28"/>
    </row>
    <row r="99" spans="2:26">
      <c r="B99" s="25"/>
      <c r="C99" s="29" t="s">
        <v>632</v>
      </c>
      <c r="D99" s="25" t="s">
        <v>106</v>
      </c>
      <c r="E99" s="28"/>
      <c r="F99" s="28"/>
      <c r="G99" s="28"/>
      <c r="H99" s="28"/>
      <c r="I99" s="28"/>
      <c r="J99" s="28"/>
      <c r="K99" s="28"/>
      <c r="L99" s="28"/>
      <c r="M99" s="28"/>
      <c r="N99" s="28"/>
      <c r="O99" s="28"/>
      <c r="P99" s="28"/>
      <c r="Q99" s="28"/>
      <c r="R99" s="28"/>
      <c r="S99" s="28"/>
      <c r="T99" s="28"/>
      <c r="U99" s="28"/>
      <c r="V99" s="28"/>
      <c r="W99" s="28"/>
      <c r="X99" s="28"/>
      <c r="Y99" s="28"/>
      <c r="Z99" s="28"/>
    </row>
    <row r="100" spans="2:26" ht="23.5" customHeight="1">
      <c r="B100" s="19">
        <v>3</v>
      </c>
      <c r="C100" s="20" t="s">
        <v>633</v>
      </c>
      <c r="D100" s="32" t="s">
        <v>106</v>
      </c>
      <c r="E100" s="22">
        <f t="shared" ref="E100:P100" ca="1" si="11">E108+E109+E112-E113+E114+E116+E117+E123+E124+E125+E126</f>
        <v>4950.4987006775609</v>
      </c>
      <c r="F100" s="22">
        <f t="shared" si="11"/>
        <v>0</v>
      </c>
      <c r="G100" s="22">
        <f t="shared" ca="1" si="11"/>
        <v>5158.3071173174685</v>
      </c>
      <c r="H100" s="22">
        <f t="shared" ca="1" si="11"/>
        <v>5349.871352422063</v>
      </c>
      <c r="I100" s="22">
        <f t="shared" ca="1" si="11"/>
        <v>5567.7910720201417</v>
      </c>
      <c r="J100" s="22">
        <f t="shared" ca="1" si="11"/>
        <v>5773.3370897142131</v>
      </c>
      <c r="K100" s="22">
        <f t="shared" ca="1" si="11"/>
        <v>5998.9831089240433</v>
      </c>
      <c r="L100" s="22">
        <f t="shared" ca="1" si="11"/>
        <v>6173.3501039148423</v>
      </c>
      <c r="M100" s="22">
        <f t="shared" ca="1" si="11"/>
        <v>6385.1514415359434</v>
      </c>
      <c r="N100" s="22">
        <f t="shared" ca="1" si="11"/>
        <v>6649.2468225712682</v>
      </c>
      <c r="O100" s="22">
        <f t="shared" ca="1" si="11"/>
        <v>6923.5870011862407</v>
      </c>
      <c r="P100" s="22">
        <f t="shared" ca="1" si="11"/>
        <v>7207.5039335293477</v>
      </c>
      <c r="Q100" s="22">
        <f t="shared" ref="Q100:Z100" ca="1" si="12">Q108+Q109+Q112-Q113+Q114+Q116+Q117+Q123+Q124+Q125+Q126</f>
        <v>7383.169308810765</v>
      </c>
      <c r="R100" s="22">
        <f t="shared" ca="1" si="12"/>
        <v>7592.025208710169</v>
      </c>
      <c r="S100" s="22">
        <f t="shared" ca="1" si="12"/>
        <v>7816.9447688845994</v>
      </c>
      <c r="T100" s="22">
        <f t="shared" ca="1" si="12"/>
        <v>8056.6780592130017</v>
      </c>
      <c r="U100" s="22">
        <f t="shared" ca="1" si="12"/>
        <v>8310.1001425864288</v>
      </c>
      <c r="V100" s="22">
        <f t="shared" ca="1" si="12"/>
        <v>9470.5780139434755</v>
      </c>
      <c r="W100" s="22">
        <f t="shared" ca="1" si="12"/>
        <v>10530.775770044966</v>
      </c>
      <c r="X100" s="22">
        <f t="shared" ca="1" si="12"/>
        <v>11500.721422416456</v>
      </c>
      <c r="Y100" s="22">
        <f t="shared" ca="1" si="12"/>
        <v>12389.440181430948</v>
      </c>
      <c r="Z100" s="22">
        <f t="shared" ca="1" si="12"/>
        <v>13205.054736424139</v>
      </c>
    </row>
    <row r="101" spans="2:26">
      <c r="B101" s="25"/>
      <c r="C101" s="27" t="s">
        <v>634</v>
      </c>
      <c r="D101" s="25" t="s">
        <v>106</v>
      </c>
      <c r="E101" s="28">
        <f ca="1">'表1-资金筹措及还本付息表'!F11</f>
        <v>4950.4987006775609</v>
      </c>
      <c r="F101" s="28">
        <f>IF('表1-资金筹措及还本付息表'!G5=0,0,E101+'表1-资金筹措及还本付息表'!G11)</f>
        <v>0</v>
      </c>
      <c r="G101" s="28">
        <f ca="1">E101+'表1-资金筹措及还本付息表'!H11</f>
        <v>4995.4987006775609</v>
      </c>
      <c r="H101" s="28">
        <f ca="1">G101+'表1-资金筹措及还本付息表'!I11</f>
        <v>4995.4987006775609</v>
      </c>
      <c r="I101" s="28">
        <f ca="1">H101+'表1-资金筹措及还本付息表'!J11</f>
        <v>4995.4987006775609</v>
      </c>
      <c r="J101" s="28">
        <f ca="1">I101+'表1-资金筹措及还本付息表'!K11</f>
        <v>4995.4987006775609</v>
      </c>
      <c r="K101" s="28">
        <f ca="1">J101+'表1-资金筹措及还本付息表'!L11</f>
        <v>4995.4987006775609</v>
      </c>
      <c r="L101" s="28">
        <f ca="1">K101+'表1-资金筹措及还本付息表'!M11</f>
        <v>4995.4987006775609</v>
      </c>
      <c r="M101" s="28">
        <f ca="1">L101+'表1-资金筹措及还本付息表'!N11</f>
        <v>4995.4987006775609</v>
      </c>
      <c r="N101" s="28">
        <f ca="1">M101+'表1-资金筹措及还本付息表'!O11</f>
        <v>4995.4987006775609</v>
      </c>
      <c r="O101" s="28">
        <f ca="1">N101+'表1-资金筹措及还本付息表'!P11</f>
        <v>4995.4987006775609</v>
      </c>
      <c r="P101" s="28">
        <f ca="1">O101+'表1-资金筹措及还本付息表'!Q11</f>
        <v>4995.4987006775609</v>
      </c>
      <c r="Q101" s="28">
        <f ca="1">P101+'表1-资金筹措及还本付息表'!R11</f>
        <v>4995.4987006775609</v>
      </c>
      <c r="R101" s="28">
        <f ca="1">Q101+'表1-资金筹措及还本付息表'!S11</f>
        <v>4995.4987006775609</v>
      </c>
      <c r="S101" s="28">
        <f ca="1">R101+'表1-资金筹措及还本付息表'!T11</f>
        <v>4995.4987006775609</v>
      </c>
      <c r="T101" s="28">
        <f ca="1">S101+'表1-资金筹措及还本付息表'!U11</f>
        <v>4995.4987006775609</v>
      </c>
      <c r="U101" s="28">
        <f ca="1">T101+'表1-资金筹措及还本付息表'!V11</f>
        <v>4995.4987006775609</v>
      </c>
      <c r="V101" s="28">
        <f ca="1">U101+'表1-资金筹措及还本付息表'!W11</f>
        <v>4995.4987006775609</v>
      </c>
      <c r="W101" s="28">
        <f ca="1">V101+'表1-资金筹措及还本付息表'!X11</f>
        <v>4995.4987006775609</v>
      </c>
      <c r="X101" s="28">
        <f ca="1">W101+'表1-资金筹措及还本付息表'!Y11</f>
        <v>4995.4987006775609</v>
      </c>
      <c r="Y101" s="28">
        <f ca="1">X101+'表1-资金筹措及还本付息表'!Z11</f>
        <v>4995.4987006775609</v>
      </c>
      <c r="Z101" s="28">
        <f ca="1">Y101+'表1-资金筹措及还本付息表'!AA11</f>
        <v>4995.4987006775609</v>
      </c>
    </row>
    <row r="102" spans="2:26">
      <c r="B102" s="25"/>
      <c r="C102" s="29" t="s">
        <v>635</v>
      </c>
      <c r="D102" s="25" t="s">
        <v>106</v>
      </c>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2:26">
      <c r="B103" s="25"/>
      <c r="C103" s="29" t="s">
        <v>636</v>
      </c>
      <c r="D103" s="25" t="s">
        <v>106</v>
      </c>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2:26">
      <c r="B104" s="25"/>
      <c r="C104" s="29" t="s">
        <v>637</v>
      </c>
      <c r="D104" s="25" t="s">
        <v>106</v>
      </c>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2:26">
      <c r="B105" s="25"/>
      <c r="C105" s="29" t="s">
        <v>638</v>
      </c>
      <c r="D105" s="25" t="s">
        <v>106</v>
      </c>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2:26">
      <c r="B106" s="25"/>
      <c r="C106" s="29" t="s">
        <v>639</v>
      </c>
      <c r="D106" s="25" t="s">
        <v>106</v>
      </c>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2:26">
      <c r="B107" s="25"/>
      <c r="C107" s="27" t="s">
        <v>640</v>
      </c>
      <c r="D107" s="25" t="s">
        <v>106</v>
      </c>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2:26">
      <c r="B108" s="25"/>
      <c r="C108" s="27" t="s">
        <v>641</v>
      </c>
      <c r="D108" s="25" t="s">
        <v>106</v>
      </c>
      <c r="E108" s="28">
        <f ca="1">E101-E107</f>
        <v>4950.4987006775609</v>
      </c>
      <c r="F108" s="28">
        <f>IF('表1-资金筹措及还本付息表'!G5=0,0,F101-F107)</f>
        <v>0</v>
      </c>
      <c r="G108" s="28">
        <f ca="1">G101-G107</f>
        <v>4995.4987006775609</v>
      </c>
      <c r="H108" s="28">
        <f t="shared" ref="H108:Z108" ca="1" si="13">H101-H107</f>
        <v>4995.4987006775609</v>
      </c>
      <c r="I108" s="28">
        <f t="shared" ca="1" si="13"/>
        <v>4995.4987006775609</v>
      </c>
      <c r="J108" s="28">
        <f t="shared" ca="1" si="13"/>
        <v>4995.4987006775609</v>
      </c>
      <c r="K108" s="28">
        <f t="shared" ca="1" si="13"/>
        <v>4995.4987006775609</v>
      </c>
      <c r="L108" s="28">
        <f t="shared" ca="1" si="13"/>
        <v>4995.4987006775609</v>
      </c>
      <c r="M108" s="28">
        <f t="shared" ca="1" si="13"/>
        <v>4995.4987006775609</v>
      </c>
      <c r="N108" s="28">
        <f t="shared" ca="1" si="13"/>
        <v>4995.4987006775609</v>
      </c>
      <c r="O108" s="28">
        <f t="shared" ca="1" si="13"/>
        <v>4995.4987006775609</v>
      </c>
      <c r="P108" s="28">
        <f t="shared" ca="1" si="13"/>
        <v>4995.4987006775609</v>
      </c>
      <c r="Q108" s="28">
        <f t="shared" ca="1" si="13"/>
        <v>4995.4987006775609</v>
      </c>
      <c r="R108" s="28">
        <f t="shared" ca="1" si="13"/>
        <v>4995.4987006775609</v>
      </c>
      <c r="S108" s="28">
        <f t="shared" ca="1" si="13"/>
        <v>4995.4987006775609</v>
      </c>
      <c r="T108" s="28">
        <f t="shared" ca="1" si="13"/>
        <v>4995.4987006775609</v>
      </c>
      <c r="U108" s="28">
        <f t="shared" ca="1" si="13"/>
        <v>4995.4987006775609</v>
      </c>
      <c r="V108" s="28">
        <f t="shared" ca="1" si="13"/>
        <v>4995.4987006775609</v>
      </c>
      <c r="W108" s="28">
        <f t="shared" ca="1" si="13"/>
        <v>4995.4987006775609</v>
      </c>
      <c r="X108" s="28">
        <f t="shared" ca="1" si="13"/>
        <v>4995.4987006775609</v>
      </c>
      <c r="Y108" s="28">
        <f t="shared" ca="1" si="13"/>
        <v>4995.4987006775609</v>
      </c>
      <c r="Z108" s="28">
        <f t="shared" ca="1" si="13"/>
        <v>4995.4987006775609</v>
      </c>
    </row>
    <row r="109" spans="2:26">
      <c r="B109" s="25"/>
      <c r="C109" s="27" t="s">
        <v>642</v>
      </c>
      <c r="D109" s="25" t="s">
        <v>106</v>
      </c>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2:26">
      <c r="B110" s="25"/>
      <c r="C110" s="29" t="s">
        <v>623</v>
      </c>
      <c r="D110" s="25" t="s">
        <v>106</v>
      </c>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2:26">
      <c r="B111" s="25"/>
      <c r="C111" s="29" t="s">
        <v>624</v>
      </c>
      <c r="D111" s="25" t="s">
        <v>106</v>
      </c>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2:26">
      <c r="B112" s="25"/>
      <c r="C112" s="27" t="s">
        <v>643</v>
      </c>
      <c r="D112" s="25" t="s">
        <v>106</v>
      </c>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2:26">
      <c r="B113" s="25"/>
      <c r="C113" s="27" t="s">
        <v>644</v>
      </c>
      <c r="D113" s="25" t="s">
        <v>106</v>
      </c>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2:26">
      <c r="B114" s="25"/>
      <c r="C114" s="27" t="s">
        <v>645</v>
      </c>
      <c r="D114" s="25" t="s">
        <v>106</v>
      </c>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2:26">
      <c r="B115" s="25"/>
      <c r="C115" s="29" t="s">
        <v>646</v>
      </c>
      <c r="D115" s="25" t="s">
        <v>106</v>
      </c>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2:26">
      <c r="B116" s="25"/>
      <c r="C116" s="27" t="s">
        <v>647</v>
      </c>
      <c r="D116" s="25" t="s">
        <v>106</v>
      </c>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2:26">
      <c r="B117" s="25"/>
      <c r="C117" s="27" t="s">
        <v>648</v>
      </c>
      <c r="D117" s="25" t="s">
        <v>106</v>
      </c>
      <c r="E117" s="28">
        <f>SUM(E118:E122)</f>
        <v>0</v>
      </c>
      <c r="F117" s="28">
        <f t="shared" ref="F117:Z117" si="14">SUM(F118:F122)</f>
        <v>0</v>
      </c>
      <c r="G117" s="28">
        <f t="shared" ca="1" si="14"/>
        <v>17.891034795594216</v>
      </c>
      <c r="H117" s="28">
        <f t="shared" ca="1" si="14"/>
        <v>40.534548343838836</v>
      </c>
      <c r="I117" s="28">
        <f t="shared" ca="1" si="14"/>
        <v>67.930540644733952</v>
      </c>
      <c r="J117" s="28">
        <f t="shared" ca="1" si="14"/>
        <v>96.06045281658632</v>
      </c>
      <c r="K117" s="28">
        <f t="shared" ca="1" si="14"/>
        <v>128.34878389700782</v>
      </c>
      <c r="L117" s="28">
        <f t="shared" ca="1" si="14"/>
        <v>157.12686713060637</v>
      </c>
      <c r="M117" s="28">
        <f t="shared" ca="1" si="14"/>
        <v>191.61849254069091</v>
      </c>
      <c r="N117" s="28">
        <f t="shared" ca="1" si="14"/>
        <v>233.80517450410781</v>
      </c>
      <c r="O117" s="28">
        <f t="shared" ca="1" si="14"/>
        <v>279.55621553201252</v>
      </c>
      <c r="P117" s="28">
        <f t="shared" ca="1" si="14"/>
        <v>328.87161562440508</v>
      </c>
      <c r="Q117" s="28">
        <f t="shared" ca="1" si="14"/>
        <v>368.86927903145516</v>
      </c>
      <c r="R117" s="28">
        <f t="shared" ca="1" si="14"/>
        <v>414.0051068127276</v>
      </c>
      <c r="S117" s="28">
        <f t="shared" ca="1" si="14"/>
        <v>462.70529365848785</v>
      </c>
      <c r="T117" s="28">
        <f t="shared" ca="1" si="14"/>
        <v>514.96983956873601</v>
      </c>
      <c r="U117" s="28">
        <f t="shared" ca="1" si="14"/>
        <v>570.79874454347203</v>
      </c>
      <c r="V117" s="28">
        <f t="shared" ca="1" si="14"/>
        <v>728.47546334496496</v>
      </c>
      <c r="W117" s="28">
        <f t="shared" ca="1" si="14"/>
        <v>886.1521821464579</v>
      </c>
      <c r="X117" s="28">
        <f t="shared" ca="1" si="14"/>
        <v>1043.8289009479508</v>
      </c>
      <c r="Y117" s="28">
        <f t="shared" ca="1" si="14"/>
        <v>1201.5056197494437</v>
      </c>
      <c r="Z117" s="28">
        <f t="shared" ca="1" si="14"/>
        <v>1359.1823385509365</v>
      </c>
    </row>
    <row r="118" spans="2:26">
      <c r="B118" s="25"/>
      <c r="C118" s="29" t="s">
        <v>649</v>
      </c>
      <c r="D118" s="25" t="s">
        <v>106</v>
      </c>
      <c r="E118" s="28"/>
      <c r="F118" s="28"/>
      <c r="G118" s="28">
        <f ca="1">'表5-利润表-资本金'!H28</f>
        <v>17.891034795594216</v>
      </c>
      <c r="H118" s="28">
        <f ca="1">'表5-利润表-资本金'!I28</f>
        <v>40.534548343838836</v>
      </c>
      <c r="I118" s="28">
        <f ca="1">'表5-利润表-资本金'!J28</f>
        <v>67.930540644733952</v>
      </c>
      <c r="J118" s="28">
        <f ca="1">'表5-利润表-资本金'!K28</f>
        <v>96.06045281658632</v>
      </c>
      <c r="K118" s="28">
        <f ca="1">'表5-利润表-资本金'!L28</f>
        <v>128.34878389700782</v>
      </c>
      <c r="L118" s="28">
        <f ca="1">'表5-利润表-资本金'!M28</f>
        <v>157.12686713060637</v>
      </c>
      <c r="M118" s="28">
        <f ca="1">'表5-利润表-资本金'!N28</f>
        <v>191.61849254069091</v>
      </c>
      <c r="N118" s="28">
        <f ca="1">'表5-利润表-资本金'!O28</f>
        <v>233.80517450410781</v>
      </c>
      <c r="O118" s="28">
        <f ca="1">'表5-利润表-资本金'!P28</f>
        <v>279.55621553201252</v>
      </c>
      <c r="P118" s="28">
        <f ca="1">'表5-利润表-资本金'!Q28</f>
        <v>328.87161562440508</v>
      </c>
      <c r="Q118" s="28">
        <f ca="1">'表5-利润表-资本金'!R28</f>
        <v>368.86927903145516</v>
      </c>
      <c r="R118" s="28">
        <f ca="1">'表5-利润表-资本金'!S28</f>
        <v>414.0051068127276</v>
      </c>
      <c r="S118" s="28">
        <f ca="1">'表5-利润表-资本金'!T28</f>
        <v>462.70529365848785</v>
      </c>
      <c r="T118" s="28">
        <f ca="1">'表5-利润表-资本金'!U28</f>
        <v>514.96983956873601</v>
      </c>
      <c r="U118" s="28">
        <f ca="1">'表5-利润表-资本金'!V28</f>
        <v>570.79874454347203</v>
      </c>
      <c r="V118" s="28">
        <f ca="1">'表5-利润表-资本金'!W28</f>
        <v>728.47546334496496</v>
      </c>
      <c r="W118" s="28">
        <f ca="1">'表5-利润表-资本金'!X28</f>
        <v>886.1521821464579</v>
      </c>
      <c r="X118" s="28">
        <f ca="1">'表5-利润表-资本金'!Y28</f>
        <v>1043.8289009479508</v>
      </c>
      <c r="Y118" s="28">
        <f ca="1">'表5-利润表-资本金'!Z28</f>
        <v>1201.5056197494437</v>
      </c>
      <c r="Z118" s="28">
        <f ca="1">'表5-利润表-资本金'!AA28</f>
        <v>1359.1823385509365</v>
      </c>
    </row>
    <row r="119" spans="2:26">
      <c r="B119" s="25"/>
      <c r="C119" s="29" t="s">
        <v>650</v>
      </c>
      <c r="D119" s="25" t="s">
        <v>106</v>
      </c>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2:26">
      <c r="B120" s="25"/>
      <c r="C120" s="29" t="s">
        <v>651</v>
      </c>
      <c r="D120" s="25" t="s">
        <v>106</v>
      </c>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2:26">
      <c r="B121" s="25"/>
      <c r="C121" s="29" t="s">
        <v>652</v>
      </c>
      <c r="D121" s="25" t="s">
        <v>106</v>
      </c>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2:26">
      <c r="B122" s="25"/>
      <c r="C122" s="29" t="s">
        <v>653</v>
      </c>
      <c r="D122" s="25" t="s">
        <v>106</v>
      </c>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2:26">
      <c r="B123" s="25"/>
      <c r="C123" s="27" t="s">
        <v>654</v>
      </c>
      <c r="D123" s="25" t="s">
        <v>106</v>
      </c>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2:26">
      <c r="B124" s="25"/>
      <c r="C124" s="27" t="s">
        <v>655</v>
      </c>
      <c r="D124" s="25" t="s">
        <v>106</v>
      </c>
      <c r="E124" s="28"/>
      <c r="F124" s="28"/>
      <c r="G124" s="28">
        <f ca="1">'表5-利润表-资本金'!H32</f>
        <v>144.91738184431313</v>
      </c>
      <c r="H124" s="28">
        <f ca="1">'表5-利润表-资本金'!I32</f>
        <v>313.83810340066321</v>
      </c>
      <c r="I124" s="28">
        <f ca="1">'表5-利润表-资本金'!J32</f>
        <v>504.36183069784721</v>
      </c>
      <c r="J124" s="28">
        <f ca="1">'表5-利润表-资本金'!K32</f>
        <v>681.77793622006664</v>
      </c>
      <c r="K124" s="28">
        <f ca="1">'表5-利润表-资本金'!L32</f>
        <v>875.13562434947426</v>
      </c>
      <c r="L124" s="28">
        <f ca="1">'表5-利润表-资本金'!M32</f>
        <v>1020.7245361066749</v>
      </c>
      <c r="M124" s="28">
        <f ca="1">'表5-利润表-资本金'!N32</f>
        <v>1198.0342483176921</v>
      </c>
      <c r="N124" s="28">
        <f ca="1">'表5-利润表-资本金'!O32</f>
        <v>1419.9429473895996</v>
      </c>
      <c r="O124" s="28">
        <f ca="1">'表5-利润表-资本金'!P32</f>
        <v>1648.5320849766679</v>
      </c>
      <c r="P124" s="28">
        <f ca="1">'表5-利润表-资本金'!Q32</f>
        <v>1883.1336172273809</v>
      </c>
      <c r="Q124" s="28">
        <f ca="1">'表5-利润表-资本金'!R32</f>
        <v>2018.8013291017487</v>
      </c>
      <c r="R124" s="28">
        <f ca="1">'表5-利润表-资本金'!S32</f>
        <v>2182.5214012198803</v>
      </c>
      <c r="S124" s="28">
        <f ca="1">'表5-利润表-资本金'!T32</f>
        <v>2358.7407745485507</v>
      </c>
      <c r="T124" s="28">
        <f ca="1">'表5-利润表-资本金'!U32</f>
        <v>2546.2095189667052</v>
      </c>
      <c r="U124" s="28">
        <f ca="1">'表5-利润表-资本金'!V32</f>
        <v>2743.8026973653964</v>
      </c>
      <c r="V124" s="28">
        <f ca="1">'表5-利润表-资本金'!W32</f>
        <v>3746.6038499209499</v>
      </c>
      <c r="W124" s="28">
        <f ca="1">'表5-利润表-资本金'!X32</f>
        <v>4649.1248872209471</v>
      </c>
      <c r="X124" s="28">
        <f ca="1">'表5-利润表-资本金'!Y32</f>
        <v>5461.393820790945</v>
      </c>
      <c r="Y124" s="28">
        <f ca="1">'表5-利润表-资本金'!Z32</f>
        <v>6192.4358610039435</v>
      </c>
      <c r="Z124" s="28">
        <f ca="1">'表5-利润表-资本金'!AA32</f>
        <v>6850.3736971956423</v>
      </c>
    </row>
    <row r="125" spans="2:26">
      <c r="B125" s="25"/>
      <c r="C125" s="27" t="s">
        <v>656</v>
      </c>
      <c r="D125" s="25" t="s">
        <v>106</v>
      </c>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2:26">
      <c r="B126" s="25"/>
      <c r="C126" s="27" t="s">
        <v>657</v>
      </c>
      <c r="D126" s="25" t="s">
        <v>106</v>
      </c>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2:26" ht="23.5" customHeight="1">
      <c r="B127" s="19">
        <v>4</v>
      </c>
      <c r="C127" s="20" t="s">
        <v>658</v>
      </c>
      <c r="D127" s="32" t="s">
        <v>106</v>
      </c>
      <c r="E127" s="22">
        <f t="shared" ref="E127:Q127" ca="1" si="15">E100+E57</f>
        <v>24752.493503387799</v>
      </c>
      <c r="F127" s="22">
        <f t="shared" si="15"/>
        <v>0</v>
      </c>
      <c r="G127" s="22">
        <f t="shared" ca="1" si="15"/>
        <v>21789.08980680571</v>
      </c>
      <c r="H127" s="22">
        <f t="shared" ca="1" si="15"/>
        <v>21022.157215276409</v>
      </c>
      <c r="I127" s="22">
        <f t="shared" ca="1" si="15"/>
        <v>20281.580108240589</v>
      </c>
      <c r="J127" s="22">
        <f t="shared" ca="1" si="15"/>
        <v>19528.629299300763</v>
      </c>
      <c r="K127" s="22">
        <f t="shared" ca="1" si="15"/>
        <v>18795.778491876692</v>
      </c>
      <c r="L127" s="22">
        <f t="shared" ca="1" si="15"/>
        <v>18014.610231546445</v>
      </c>
      <c r="M127" s="22">
        <f t="shared" ca="1" si="15"/>
        <v>17051.215336314741</v>
      </c>
      <c r="N127" s="22">
        <f t="shared" ca="1" si="15"/>
        <v>15995.177730502717</v>
      </c>
      <c r="O127" s="22">
        <f t="shared" ca="1" si="15"/>
        <v>14949.384922270339</v>
      </c>
      <c r="P127" s="22">
        <f t="shared" ca="1" si="15"/>
        <v>13913.168867766097</v>
      </c>
      <c r="Q127" s="22">
        <f t="shared" ca="1" si="15"/>
        <v>12768.701256200166</v>
      </c>
      <c r="R127" s="22">
        <f t="shared" ref="R127:Z127" ca="1" si="16">R100+R57</f>
        <v>11657.424169252219</v>
      </c>
      <c r="S127" s="22">
        <f t="shared" ca="1" si="16"/>
        <v>10562.2107425793</v>
      </c>
      <c r="T127" s="22">
        <f t="shared" ca="1" si="16"/>
        <v>9481.811046060353</v>
      </c>
      <c r="U127" s="22">
        <f t="shared" ca="1" si="16"/>
        <v>8415.1001425864306</v>
      </c>
      <c r="V127" s="22">
        <f t="shared" ca="1" si="16"/>
        <v>9575.5780139434755</v>
      </c>
      <c r="W127" s="22">
        <f t="shared" ca="1" si="16"/>
        <v>10635.775770044966</v>
      </c>
      <c r="X127" s="22">
        <f t="shared" ca="1" si="16"/>
        <v>11605.721422416456</v>
      </c>
      <c r="Y127" s="22">
        <f t="shared" ca="1" si="16"/>
        <v>12494.440181430948</v>
      </c>
      <c r="Z127" s="22">
        <f t="shared" ca="1" si="16"/>
        <v>13205.054736424139</v>
      </c>
    </row>
    <row r="128" spans="2:26" s="14" customFormat="1" ht="27.65" customHeight="1">
      <c r="B128" s="33"/>
      <c r="C128" s="34" t="s">
        <v>659</v>
      </c>
      <c r="D128" s="33"/>
      <c r="E128" s="35">
        <f t="shared" ref="E128:Q128" ca="1" si="17">E5-E127</f>
        <v>0</v>
      </c>
      <c r="F128" s="35">
        <f t="shared" ca="1" si="17"/>
        <v>0</v>
      </c>
      <c r="G128" s="35">
        <f t="shared" ca="1" si="17"/>
        <v>0</v>
      </c>
      <c r="H128" s="35">
        <f t="shared" ca="1" si="17"/>
        <v>0</v>
      </c>
      <c r="I128" s="35">
        <f t="shared" ca="1" si="17"/>
        <v>0</v>
      </c>
      <c r="J128" s="35">
        <f t="shared" ca="1" si="17"/>
        <v>0</v>
      </c>
      <c r="K128" s="35">
        <f t="shared" ca="1" si="17"/>
        <v>0</v>
      </c>
      <c r="L128" s="35">
        <f t="shared" ca="1" si="17"/>
        <v>0</v>
      </c>
      <c r="M128" s="35">
        <f t="shared" ca="1" si="17"/>
        <v>0</v>
      </c>
      <c r="N128" s="35">
        <f t="shared" ca="1" si="17"/>
        <v>0</v>
      </c>
      <c r="O128" s="35">
        <f t="shared" ca="1" si="17"/>
        <v>0</v>
      </c>
      <c r="P128" s="35">
        <f t="shared" ca="1" si="17"/>
        <v>0</v>
      </c>
      <c r="Q128" s="35">
        <f t="shared" ca="1" si="17"/>
        <v>0</v>
      </c>
      <c r="R128" s="35">
        <f t="shared" ref="R128:Z128" ca="1" si="18">R5-R127</f>
        <v>0</v>
      </c>
      <c r="S128" s="35">
        <f t="shared" ca="1" si="18"/>
        <v>0</v>
      </c>
      <c r="T128" s="35">
        <f t="shared" ca="1" si="18"/>
        <v>0</v>
      </c>
      <c r="U128" s="35">
        <f t="shared" ca="1" si="18"/>
        <v>0</v>
      </c>
      <c r="V128" s="35">
        <f t="shared" ca="1" si="18"/>
        <v>0</v>
      </c>
      <c r="W128" s="35">
        <f t="shared" ca="1" si="18"/>
        <v>0</v>
      </c>
      <c r="X128" s="35">
        <f t="shared" ca="1" si="18"/>
        <v>0</v>
      </c>
      <c r="Y128" s="35">
        <f t="shared" ca="1" si="18"/>
        <v>0</v>
      </c>
      <c r="Z128" s="35">
        <f t="shared" ca="1" si="18"/>
        <v>0</v>
      </c>
    </row>
    <row r="129" spans="3:26">
      <c r="C129" s="36">
        <f ca="1">MAX(E129:Z129)</f>
        <v>0.79999999999999993</v>
      </c>
      <c r="E129" s="37">
        <f ca="1">E57/E5</f>
        <v>0.79999999999999993</v>
      </c>
      <c r="G129" s="37">
        <f ca="1">G57/G5</f>
        <v>0.7632619277329199</v>
      </c>
      <c r="H129" s="37">
        <f t="shared" ref="H129:Z129" ca="1" si="19">H57/H5</f>
        <v>0.74551273222643344</v>
      </c>
      <c r="I129" s="37">
        <f t="shared" ca="1" si="19"/>
        <v>0.72547547862121975</v>
      </c>
      <c r="J129" s="37">
        <f t="shared" ca="1" si="19"/>
        <v>0.70436547280249062</v>
      </c>
      <c r="K129" s="37">
        <f t="shared" ca="1" si="19"/>
        <v>0.68083348548096978</v>
      </c>
      <c r="L129" s="37">
        <f t="shared" ca="1" si="19"/>
        <v>0.65731425634153762</v>
      </c>
      <c r="M129" s="37">
        <f t="shared" ca="1" si="19"/>
        <v>0.62553100669972794</v>
      </c>
      <c r="N129" s="37">
        <f t="shared" ca="1" si="19"/>
        <v>0.58429678403065277</v>
      </c>
      <c r="O129" s="37">
        <f t="shared" ca="1" si="19"/>
        <v>0.53686475816994594</v>
      </c>
      <c r="P129" s="37">
        <f t="shared" ca="1" si="19"/>
        <v>0.48196532349811239</v>
      </c>
      <c r="Q129" s="37">
        <f t="shared" ca="1" si="19"/>
        <v>0.42177601616094845</v>
      </c>
      <c r="R129" s="37">
        <f t="shared" ca="1" si="19"/>
        <v>0.34873904402183498</v>
      </c>
      <c r="S129" s="37">
        <f t="shared" ca="1" si="19"/>
        <v>0.25991395557255342</v>
      </c>
      <c r="T129" s="37">
        <f t="shared" ca="1" si="19"/>
        <v>0.15030177040276377</v>
      </c>
      <c r="U129" s="37">
        <f t="shared" ca="1" si="19"/>
        <v>1.2477569870930853E-2</v>
      </c>
      <c r="V129" s="37">
        <f t="shared" ca="1" si="19"/>
        <v>1.096539549331689E-2</v>
      </c>
      <c r="W129" s="37">
        <f t="shared" ca="1" si="19"/>
        <v>9.8723405109504437E-3</v>
      </c>
      <c r="X129" s="37">
        <f t="shared" ca="1" si="19"/>
        <v>9.0472617925493638E-3</v>
      </c>
      <c r="Y129" s="37">
        <f t="shared" ca="1" si="19"/>
        <v>8.4037378606245609E-3</v>
      </c>
      <c r="Z129" s="37">
        <f t="shared" ca="1" si="19"/>
        <v>0</v>
      </c>
    </row>
  </sheetData>
  <mergeCells count="5">
    <mergeCell ref="E3:F3"/>
    <mergeCell ref="G3:Z3"/>
    <mergeCell ref="B3:B4"/>
    <mergeCell ref="C3:C4"/>
    <mergeCell ref="D3:D4"/>
  </mergeCells>
  <phoneticPr fontId="60" type="noConversion"/>
  <conditionalFormatting sqref="E128:Z128">
    <cfRule type="cellIs" dxfId="0" priority="1" operator="not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5"/>
  <sheetViews>
    <sheetView tabSelected="1" zoomScale="80" zoomScaleNormal="80" workbookViewId="0">
      <selection activeCell="G24" sqref="G24"/>
    </sheetView>
  </sheetViews>
  <sheetFormatPr defaultColWidth="8.90625" defaultRowHeight="14"/>
  <cols>
    <col min="2" max="2" width="33.08984375" customWidth="1"/>
    <col min="3" max="3" width="24.36328125" customWidth="1"/>
    <col min="4" max="4" width="31.36328125" customWidth="1"/>
    <col min="5" max="5" width="12.90625"/>
  </cols>
  <sheetData>
    <row r="1" spans="1:6">
      <c r="A1" s="1" t="s">
        <v>14</v>
      </c>
      <c r="B1" s="1" t="s">
        <v>320</v>
      </c>
      <c r="C1" s="1" t="s">
        <v>39</v>
      </c>
      <c r="D1" s="1" t="s">
        <v>38</v>
      </c>
    </row>
    <row r="2" spans="1:6">
      <c r="A2" s="2" t="s">
        <v>660</v>
      </c>
      <c r="B2" s="2" t="s">
        <v>661</v>
      </c>
      <c r="C2" s="3"/>
      <c r="D2" s="4"/>
    </row>
    <row r="3" spans="1:6">
      <c r="A3" s="2">
        <v>1.1000000000000001</v>
      </c>
      <c r="B3" s="2" t="s">
        <v>662</v>
      </c>
      <c r="C3" s="3" t="s">
        <v>64</v>
      </c>
      <c r="D3" s="4">
        <f>参数输入表!H13</f>
        <v>50</v>
      </c>
    </row>
    <row r="4" spans="1:6">
      <c r="A4" s="2">
        <v>1.2</v>
      </c>
      <c r="B4" s="2" t="s">
        <v>663</v>
      </c>
      <c r="C4" s="3" t="s">
        <v>664</v>
      </c>
      <c r="D4" s="5" t="s">
        <v>665</v>
      </c>
    </row>
    <row r="5" spans="1:6">
      <c r="A5" s="2">
        <v>2</v>
      </c>
      <c r="B5" s="2" t="s">
        <v>666</v>
      </c>
      <c r="C5" s="3"/>
      <c r="D5" s="4"/>
    </row>
    <row r="6" spans="1:6">
      <c r="A6" s="2">
        <v>2.1</v>
      </c>
      <c r="B6" s="2" t="s">
        <v>667</v>
      </c>
      <c r="C6" s="3" t="s">
        <v>68</v>
      </c>
      <c r="D6" s="6">
        <f>'表4-收入税金表'!D9/20*10</f>
        <v>35403.529699999999</v>
      </c>
    </row>
    <row r="7" spans="1:6">
      <c r="A7" s="2">
        <v>2.2000000000000002</v>
      </c>
      <c r="B7" s="2" t="s">
        <v>668</v>
      </c>
      <c r="C7" s="3" t="s">
        <v>68</v>
      </c>
      <c r="D7" s="6">
        <f>'表4-收入税金表'!D14/20*10</f>
        <v>69502.55</v>
      </c>
    </row>
    <row r="8" spans="1:6">
      <c r="A8" s="2">
        <v>3</v>
      </c>
      <c r="B8" s="2" t="s">
        <v>669</v>
      </c>
      <c r="C8" s="3"/>
      <c r="D8" s="4"/>
    </row>
    <row r="9" spans="1:6">
      <c r="A9" s="2">
        <v>3.1</v>
      </c>
      <c r="B9" s="2" t="s">
        <v>670</v>
      </c>
      <c r="C9" s="3" t="s">
        <v>99</v>
      </c>
      <c r="D9" s="7">
        <f>'表4-收入税金表'!D8/'表4-收入税金表'!D9</f>
        <v>0.26938053097345099</v>
      </c>
    </row>
    <row r="10" spans="1:6">
      <c r="A10" s="2">
        <v>3.2</v>
      </c>
      <c r="B10" s="2" t="s">
        <v>671</v>
      </c>
      <c r="C10" s="3" t="s">
        <v>99</v>
      </c>
      <c r="D10" s="7">
        <f>'表4-收入税金表'!D13/'表4-收入税金表'!D14</f>
        <v>0.265486725663717</v>
      </c>
    </row>
    <row r="11" spans="1:6">
      <c r="A11" s="2">
        <v>4</v>
      </c>
      <c r="B11" s="2" t="s">
        <v>672</v>
      </c>
      <c r="C11" s="3" t="s">
        <v>106</v>
      </c>
      <c r="D11" s="8">
        <f ca="1">'表1-资金筹措及还本付息表'!D6</f>
        <v>24902.493503387803</v>
      </c>
    </row>
    <row r="12" spans="1:6">
      <c r="A12" s="2">
        <v>5</v>
      </c>
      <c r="B12" s="2" t="s">
        <v>515</v>
      </c>
      <c r="C12" s="3" t="s">
        <v>106</v>
      </c>
      <c r="D12" s="9">
        <f>参数输入表!H77</f>
        <v>24402.36</v>
      </c>
      <c r="F12" s="10" t="s">
        <v>673</v>
      </c>
    </row>
    <row r="13" spans="1:6">
      <c r="A13" s="2">
        <v>6</v>
      </c>
      <c r="B13" s="2" t="s">
        <v>27</v>
      </c>
      <c r="C13" s="3" t="s">
        <v>106</v>
      </c>
      <c r="D13" s="8">
        <f ca="1">参数输入表!H78</f>
        <v>350.13350338780384</v>
      </c>
    </row>
    <row r="14" spans="1:6">
      <c r="A14" s="2">
        <v>7</v>
      </c>
      <c r="B14" s="2" t="s">
        <v>29</v>
      </c>
      <c r="C14" s="3" t="s">
        <v>106</v>
      </c>
      <c r="D14" s="8">
        <f>参数输入表!H81</f>
        <v>150</v>
      </c>
    </row>
    <row r="15" spans="1:6">
      <c r="A15" s="2">
        <v>8</v>
      </c>
      <c r="B15" s="2" t="s">
        <v>674</v>
      </c>
      <c r="C15" s="3" t="s">
        <v>106</v>
      </c>
      <c r="D15" s="8">
        <f>'表4-收入税金表'!D5</f>
        <v>55978.052107398202</v>
      </c>
    </row>
    <row r="16" spans="1:6">
      <c r="A16" s="2">
        <v>9</v>
      </c>
      <c r="B16" s="2" t="s">
        <v>675</v>
      </c>
      <c r="C16" s="3" t="s">
        <v>106</v>
      </c>
      <c r="D16" s="8">
        <f ca="1">'表3-成本费用表'!D5</f>
        <v>40115.553721342068</v>
      </c>
    </row>
    <row r="17" spans="1:5">
      <c r="A17" s="2">
        <v>10</v>
      </c>
      <c r="B17" s="2" t="s">
        <v>676</v>
      </c>
      <c r="C17" s="3" t="s">
        <v>106</v>
      </c>
      <c r="D17" s="8">
        <f ca="1">'表4-收入税金表'!D46</f>
        <v>588.50522981227414</v>
      </c>
    </row>
    <row r="18" spans="1:5">
      <c r="A18" s="2">
        <v>11</v>
      </c>
      <c r="B18" s="2" t="s">
        <v>677</v>
      </c>
      <c r="C18" s="3" t="s">
        <v>106</v>
      </c>
      <c r="D18" s="8">
        <f ca="1">'表5-利润表-资本金'!D14</f>
        <v>17726.098280461716</v>
      </c>
    </row>
    <row r="19" spans="1:5">
      <c r="A19" s="2">
        <v>12</v>
      </c>
      <c r="B19" s="2" t="s">
        <v>678</v>
      </c>
      <c r="C19" s="3" t="s">
        <v>55</v>
      </c>
      <c r="D19" s="8">
        <f ca="1">'表8-现金流量表-全投资'!D29</f>
        <v>10.583691921684748</v>
      </c>
    </row>
    <row r="20" spans="1:5">
      <c r="A20" s="2">
        <v>13</v>
      </c>
      <c r="B20" s="2" t="s">
        <v>679</v>
      </c>
      <c r="C20" s="3" t="s">
        <v>55</v>
      </c>
      <c r="D20" s="8">
        <f ca="1">'表8-现金流量表-全投资'!D28</f>
        <v>11.167916379034526</v>
      </c>
    </row>
    <row r="21" spans="1:5">
      <c r="A21" s="2">
        <v>14</v>
      </c>
      <c r="B21" s="2" t="s">
        <v>680</v>
      </c>
      <c r="C21" s="3" t="s">
        <v>51</v>
      </c>
      <c r="D21" s="11">
        <f ca="1">'表8-现金流量表-全投资'!D26</f>
        <v>7.8490817889508957E-2</v>
      </c>
      <c r="E21" s="351" t="s">
        <v>681</v>
      </c>
    </row>
    <row r="22" spans="1:5">
      <c r="A22" s="2">
        <v>15</v>
      </c>
      <c r="B22" s="2" t="s">
        <v>682</v>
      </c>
      <c r="C22" s="3" t="s">
        <v>51</v>
      </c>
      <c r="D22" s="11">
        <f ca="1">'表8-现金流量表-全投资'!D27</f>
        <v>6.7843500845499838E-2</v>
      </c>
      <c r="E22" s="351"/>
    </row>
    <row r="23" spans="1:5">
      <c r="A23" s="2">
        <v>16</v>
      </c>
      <c r="B23" s="2" t="s">
        <v>683</v>
      </c>
      <c r="C23" s="3" t="s">
        <v>51</v>
      </c>
      <c r="D23" s="11">
        <f ca="1">'表6-现金流量表-资本金'!D34</f>
        <v>0.13622614518422593</v>
      </c>
      <c r="E23" s="351"/>
    </row>
    <row r="24" spans="1:5">
      <c r="A24" s="2">
        <v>17</v>
      </c>
      <c r="B24" s="2" t="s">
        <v>684</v>
      </c>
      <c r="C24" s="3" t="s">
        <v>51</v>
      </c>
      <c r="D24" s="12">
        <f ca="1">'表10-资产负债表'!C129</f>
        <v>0.79999999999999993</v>
      </c>
    </row>
    <row r="25" spans="1:5">
      <c r="A25" s="2">
        <v>18</v>
      </c>
      <c r="B25" s="2" t="s">
        <v>685</v>
      </c>
      <c r="C25" s="3" t="s">
        <v>51</v>
      </c>
      <c r="D25" s="12">
        <f ca="1">'表3-成本费用表'!D5/('表4-收入税金表'!D5-'表4-收入税金表'!D46)</f>
        <v>0.72424412154877782</v>
      </c>
    </row>
  </sheetData>
  <mergeCells count="1">
    <mergeCell ref="E21:E23"/>
  </mergeCells>
  <phoneticPr fontId="60"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说明</vt:lpstr>
      <vt:lpstr>可抵扣进项税</vt:lpstr>
      <vt:lpstr>参数输入表</vt:lpstr>
      <vt:lpstr>表1-资金筹措及还本付息表</vt:lpstr>
      <vt:lpstr>表2-折旧摊销表</vt:lpstr>
      <vt:lpstr>表3-成本费用表</vt:lpstr>
      <vt:lpstr>表4-收入税金表</vt:lpstr>
      <vt:lpstr>表5-利润表-资本金</vt:lpstr>
      <vt:lpstr>表6-现金流量表-资本金</vt:lpstr>
      <vt:lpstr>表7-利润表-全投资</vt:lpstr>
      <vt:lpstr>表8-现金流量表-全投资</vt:lpstr>
      <vt:lpstr>表9-现金流量表-财务计划</vt:lpstr>
      <vt:lpstr>表10-资产负债表</vt:lpstr>
      <vt:lpstr>财务指标表</vt:lpstr>
    </vt:vector>
  </TitlesOfParts>
  <Company>神州网信技术有限公司</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2023-08-01T06:25:00Z</dcterms:created>
  <dcterms:modified xsi:type="dcterms:W3CDTF">2026-06-03T10:45:47Z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B46353AC527F4617A000EA8E2A92BF12_13</vt:lpwstr>
  </property>
  <property fmtid="{D5CDD505-2E9C-101B-9397-08002B2CF9AE}" pid="3" name="KSOProductBuildVer">
    <vt:lpwstr>2052-12.1.0.23542</vt:lpwstr>
  </property>
</Properties>
</file>