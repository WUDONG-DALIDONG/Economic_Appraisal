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180" tabRatio="811" firstSheet="8" activeTab="13"/>
  </bookViews>
  <sheets>
    <sheet name="说明" sheetId="13" r:id="rId1"/>
    <sheet name="可抵扣进项税" sheetId="5" r:id="rId2"/>
    <sheet name="参数输入表" sheetId="2" r:id="rId3"/>
    <sheet name="表1-资金筹措及还本付息表" sheetId="3" r:id="rId4"/>
    <sheet name="表2-折旧摊销表" sheetId="4" r:id="rId5"/>
    <sheet name="表3-成本费用表" sheetId="6" r:id="rId6"/>
    <sheet name="表4-收入税金表" sheetId="7" r:id="rId7"/>
    <sheet name="表5-利润表-资本金" sheetId="8" r:id="rId8"/>
    <sheet name="表6-现金流量表-资本金" sheetId="10" r:id="rId9"/>
    <sheet name="表7-利润表-全投资" sheetId="12" r:id="rId10"/>
    <sheet name="表8-现金流量表-全投资" sheetId="9" r:id="rId11"/>
    <sheet name="表9-现金流量表-财务计划" sheetId="11" r:id="rId12"/>
    <sheet name="表10-资产负债表" sheetId="14" r:id="rId13"/>
    <sheet name="财务指标表" sheetId="15" r:id="rId14"/>
  </sheets>
  <calcPr calcId="144525" iterate="1" iterateCount="32767"/>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5" l="1"/>
  <c r="D14" i="15"/>
  <c r="D12" i="15"/>
  <c r="D10" i="15"/>
  <c r="D9" i="15"/>
  <c r="D7" i="15"/>
  <c r="D6" i="15"/>
  <c r="D3" i="15"/>
  <c r="F117" i="14"/>
  <c r="E117" i="14"/>
  <c r="F108" i="14"/>
  <c r="F100" i="14" s="1"/>
  <c r="F101" i="14"/>
  <c r="AE88" i="14"/>
  <c r="AD88" i="14"/>
  <c r="AC88" i="14"/>
  <c r="AB88" i="14"/>
  <c r="AA88" i="14"/>
  <c r="Z88" i="14"/>
  <c r="Y88" i="14"/>
  <c r="X88" i="14"/>
  <c r="W88" i="14"/>
  <c r="V88" i="14"/>
  <c r="F88" i="14"/>
  <c r="F86" i="14"/>
  <c r="F59" i="14"/>
  <c r="E59" i="14"/>
  <c r="F58" i="14"/>
  <c r="E58" i="14"/>
  <c r="F57" i="14"/>
  <c r="AE53" i="14"/>
  <c r="AD53" i="14"/>
  <c r="AC53" i="14"/>
  <c r="AB53" i="14"/>
  <c r="AA53" i="14"/>
  <c r="Z53" i="14"/>
  <c r="Y53" i="14"/>
  <c r="X53" i="14"/>
  <c r="W53" i="14"/>
  <c r="V53" i="14"/>
  <c r="U53" i="14"/>
  <c r="T53" i="14"/>
  <c r="S53" i="14"/>
  <c r="R53" i="14"/>
  <c r="Q53" i="14"/>
  <c r="P53" i="14"/>
  <c r="O53" i="14"/>
  <c r="N53" i="14"/>
  <c r="M53" i="14"/>
  <c r="L53" i="14"/>
  <c r="K53" i="14"/>
  <c r="J53" i="14"/>
  <c r="I53" i="14"/>
  <c r="H53" i="14"/>
  <c r="G53" i="14"/>
  <c r="AE50" i="14"/>
  <c r="AD50" i="14"/>
  <c r="AC50" i="14"/>
  <c r="AB50" i="14"/>
  <c r="AA50" i="14"/>
  <c r="Z50" i="14"/>
  <c r="Y50" i="14"/>
  <c r="X50" i="14"/>
  <c r="W50" i="14"/>
  <c r="V50" i="14"/>
  <c r="U50" i="14"/>
  <c r="T50" i="14"/>
  <c r="S50" i="14"/>
  <c r="R50" i="14"/>
  <c r="Q50" i="14"/>
  <c r="P50" i="14"/>
  <c r="O50" i="14"/>
  <c r="N50" i="14"/>
  <c r="M50" i="14"/>
  <c r="L50" i="14"/>
  <c r="K50" i="14"/>
  <c r="J50" i="14"/>
  <c r="I50" i="14"/>
  <c r="H50" i="14"/>
  <c r="G50" i="14"/>
  <c r="F50" i="14"/>
  <c r="E50" i="14"/>
  <c r="F43" i="14"/>
  <c r="F42" i="14" s="1"/>
  <c r="F31" i="14" s="1"/>
  <c r="AE24" i="14"/>
  <c r="AD24" i="14"/>
  <c r="AC24" i="14"/>
  <c r="AB24" i="14"/>
  <c r="AA24" i="14"/>
  <c r="Z24" i="14"/>
  <c r="Y24" i="14"/>
  <c r="X24" i="14"/>
  <c r="W24" i="14"/>
  <c r="V24" i="14"/>
  <c r="U24" i="14"/>
  <c r="T24" i="14"/>
  <c r="S24" i="14"/>
  <c r="R24" i="14"/>
  <c r="Q24" i="14"/>
  <c r="P24" i="14"/>
  <c r="O24" i="14"/>
  <c r="N24" i="14"/>
  <c r="M24" i="14"/>
  <c r="L24" i="14"/>
  <c r="K24" i="14"/>
  <c r="J24" i="14"/>
  <c r="I24" i="14"/>
  <c r="H24" i="14"/>
  <c r="G24" i="14"/>
  <c r="F24" i="14"/>
  <c r="E24" i="14"/>
  <c r="AE21" i="14"/>
  <c r="AD21" i="14"/>
  <c r="AC21" i="14"/>
  <c r="AB21" i="14"/>
  <c r="AA21" i="14"/>
  <c r="Z21" i="14"/>
  <c r="Y21" i="14"/>
  <c r="X21" i="14"/>
  <c r="W21" i="14"/>
  <c r="V21" i="14"/>
  <c r="U21" i="14"/>
  <c r="T21" i="14"/>
  <c r="S21" i="14"/>
  <c r="R21" i="14"/>
  <c r="Q21" i="14"/>
  <c r="P21" i="14"/>
  <c r="O21" i="14"/>
  <c r="N21" i="14"/>
  <c r="M21" i="14"/>
  <c r="L21" i="14"/>
  <c r="K21" i="14"/>
  <c r="J21" i="14"/>
  <c r="I21" i="14"/>
  <c r="H21" i="14"/>
  <c r="G21" i="14"/>
  <c r="F21" i="14"/>
  <c r="AE14" i="14"/>
  <c r="AD14" i="14"/>
  <c r="AC14" i="14"/>
  <c r="AB14" i="14"/>
  <c r="AA14" i="14"/>
  <c r="Z14" i="14"/>
  <c r="Y14" i="14"/>
  <c r="X14" i="14"/>
  <c r="W14" i="14"/>
  <c r="V14" i="14"/>
  <c r="U14" i="14"/>
  <c r="T14" i="14"/>
  <c r="S14" i="14"/>
  <c r="R14" i="14"/>
  <c r="Q14" i="14"/>
  <c r="P14" i="14"/>
  <c r="O14" i="14"/>
  <c r="N14" i="14"/>
  <c r="M14" i="14"/>
  <c r="L14" i="14"/>
  <c r="K14" i="14"/>
  <c r="J14" i="14"/>
  <c r="I14" i="14"/>
  <c r="H14" i="14"/>
  <c r="G14" i="14"/>
  <c r="G29" i="11"/>
  <c r="F29" i="11"/>
  <c r="G28" i="11"/>
  <c r="F28" i="11"/>
  <c r="AF27" i="11"/>
  <c r="AE27" i="11"/>
  <c r="AD27" i="11"/>
  <c r="AC27" i="11"/>
  <c r="AB27" i="11"/>
  <c r="AA27" i="11"/>
  <c r="Z27" i="11"/>
  <c r="Y27" i="11"/>
  <c r="X27" i="11"/>
  <c r="W27" i="11"/>
  <c r="V27" i="11"/>
  <c r="U27" i="11"/>
  <c r="T27" i="11"/>
  <c r="S27" i="11"/>
  <c r="R27" i="11"/>
  <c r="Q27" i="11"/>
  <c r="P27" i="11"/>
  <c r="O27" i="11"/>
  <c r="N27" i="11"/>
  <c r="M27" i="11"/>
  <c r="L27" i="11"/>
  <c r="K27" i="11"/>
  <c r="J27" i="11"/>
  <c r="I27" i="11"/>
  <c r="H27" i="11"/>
  <c r="G27" i="11"/>
  <c r="F27" i="11"/>
  <c r="D27" i="11"/>
  <c r="AF26" i="11"/>
  <c r="AE26" i="11"/>
  <c r="AD26" i="11"/>
  <c r="AC26" i="11"/>
  <c r="AB26" i="11"/>
  <c r="AA26" i="11"/>
  <c r="Z26" i="11"/>
  <c r="Y26" i="11"/>
  <c r="X26" i="11"/>
  <c r="W26" i="11"/>
  <c r="V26" i="11"/>
  <c r="U26" i="11"/>
  <c r="T26" i="11"/>
  <c r="S26" i="11"/>
  <c r="R26" i="11"/>
  <c r="Q26" i="11"/>
  <c r="P26" i="11"/>
  <c r="O26" i="11"/>
  <c r="N26" i="11"/>
  <c r="M26" i="11"/>
  <c r="L26" i="11"/>
  <c r="K26" i="11"/>
  <c r="J26" i="11"/>
  <c r="I26" i="11"/>
  <c r="H26" i="11"/>
  <c r="H25"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D22" i="11"/>
  <c r="H21" i="11"/>
  <c r="D21"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D18"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G12" i="11"/>
  <c r="F12" i="11"/>
  <c r="H10" i="11"/>
  <c r="D10" i="11"/>
  <c r="D9" i="11"/>
  <c r="AF8" i="11"/>
  <c r="AE8" i="11"/>
  <c r="AD8" i="11"/>
  <c r="AC8" i="11"/>
  <c r="AB8" i="11"/>
  <c r="AA8" i="11"/>
  <c r="Z8" i="11"/>
  <c r="Y8" i="11"/>
  <c r="X8" i="11"/>
  <c r="W8" i="11"/>
  <c r="V8" i="11"/>
  <c r="U8" i="11"/>
  <c r="T8" i="11"/>
  <c r="S8" i="11"/>
  <c r="R8" i="11"/>
  <c r="Q8" i="11"/>
  <c r="P8" i="11"/>
  <c r="O8" i="11"/>
  <c r="N8" i="11"/>
  <c r="M8" i="11"/>
  <c r="L8" i="11"/>
  <c r="K8" i="11"/>
  <c r="J8" i="11"/>
  <c r="I8" i="11"/>
  <c r="H8" i="11"/>
  <c r="D8" i="11"/>
  <c r="AF7" i="11"/>
  <c r="AE7" i="11"/>
  <c r="AD7" i="11"/>
  <c r="AC7" i="11"/>
  <c r="AB7" i="11"/>
  <c r="AA7" i="11"/>
  <c r="Z7" i="11"/>
  <c r="Y7" i="11"/>
  <c r="X7" i="11"/>
  <c r="W7" i="11"/>
  <c r="V7" i="11"/>
  <c r="U7" i="11"/>
  <c r="T7" i="11"/>
  <c r="S7" i="11"/>
  <c r="R7" i="11"/>
  <c r="Q7" i="11"/>
  <c r="P7" i="11"/>
  <c r="O7" i="11"/>
  <c r="N7" i="11"/>
  <c r="M7" i="11"/>
  <c r="L7" i="11"/>
  <c r="K7" i="11"/>
  <c r="J7" i="11"/>
  <c r="I7" i="11"/>
  <c r="H7" i="11"/>
  <c r="D7" i="11"/>
  <c r="G6" i="11"/>
  <c r="F6" i="11"/>
  <c r="G5" i="11"/>
  <c r="F5" i="11"/>
  <c r="E45" i="9"/>
  <c r="E44" i="9"/>
  <c r="E43" i="9"/>
  <c r="E42" i="9"/>
  <c r="E41" i="9"/>
  <c r="G24" i="9"/>
  <c r="F24" i="9"/>
  <c r="G23" i="9"/>
  <c r="F23" i="9"/>
  <c r="G21" i="9"/>
  <c r="F21" i="9"/>
  <c r="G20" i="9"/>
  <c r="F20" i="9"/>
  <c r="AF19" i="9"/>
  <c r="AE19" i="9"/>
  <c r="AD19" i="9"/>
  <c r="AC19" i="9"/>
  <c r="AB19" i="9"/>
  <c r="AA19" i="9"/>
  <c r="Z19" i="9"/>
  <c r="Y19" i="9"/>
  <c r="X19" i="9"/>
  <c r="W19" i="9"/>
  <c r="V19" i="9"/>
  <c r="U19" i="9"/>
  <c r="T19" i="9"/>
  <c r="S19" i="9"/>
  <c r="R19" i="9"/>
  <c r="Q19" i="9"/>
  <c r="P19" i="9"/>
  <c r="O19" i="9"/>
  <c r="N19" i="9"/>
  <c r="M19" i="9"/>
  <c r="L19" i="9"/>
  <c r="K19" i="9"/>
  <c r="J19" i="9"/>
  <c r="I19" i="9"/>
  <c r="H19" i="9"/>
  <c r="D19" i="9"/>
  <c r="AF16" i="9"/>
  <c r="AE16" i="9"/>
  <c r="AD16" i="9"/>
  <c r="AC16" i="9"/>
  <c r="AB16" i="9"/>
  <c r="AA16" i="9"/>
  <c r="Z16" i="9"/>
  <c r="Y16" i="9"/>
  <c r="X16" i="9"/>
  <c r="W16" i="9"/>
  <c r="V16" i="9"/>
  <c r="U16" i="9"/>
  <c r="T16" i="9"/>
  <c r="S16" i="9"/>
  <c r="R16" i="9"/>
  <c r="Q16" i="9"/>
  <c r="P16" i="9"/>
  <c r="O16" i="9"/>
  <c r="N16" i="9"/>
  <c r="M16" i="9"/>
  <c r="L16" i="9"/>
  <c r="K16" i="9"/>
  <c r="J16" i="9"/>
  <c r="I16" i="9"/>
  <c r="H16" i="9"/>
  <c r="D16" i="9"/>
  <c r="H14" i="9"/>
  <c r="D14" i="9"/>
  <c r="G13" i="9"/>
  <c r="F13" i="9"/>
  <c r="D13" i="9"/>
  <c r="G12" i="9"/>
  <c r="F12" i="9"/>
  <c r="AF10" i="9"/>
  <c r="D10" i="9"/>
  <c r="H8" i="9"/>
  <c r="D8" i="9"/>
  <c r="AF7" i="9"/>
  <c r="AE7" i="9"/>
  <c r="AD7" i="9"/>
  <c r="AC7" i="9"/>
  <c r="AB7" i="9"/>
  <c r="AA7" i="9"/>
  <c r="Z7" i="9"/>
  <c r="Y7" i="9"/>
  <c r="X7" i="9"/>
  <c r="W7" i="9"/>
  <c r="V7" i="9"/>
  <c r="U7" i="9"/>
  <c r="T7" i="9"/>
  <c r="S7" i="9"/>
  <c r="R7" i="9"/>
  <c r="Q7" i="9"/>
  <c r="P7" i="9"/>
  <c r="O7" i="9"/>
  <c r="N7" i="9"/>
  <c r="M7" i="9"/>
  <c r="L7" i="9"/>
  <c r="K7" i="9"/>
  <c r="J7" i="9"/>
  <c r="I7" i="9"/>
  <c r="H7" i="9"/>
  <c r="D7" i="9"/>
  <c r="AF6" i="9"/>
  <c r="AE6" i="9"/>
  <c r="AD6" i="9"/>
  <c r="AC6" i="9"/>
  <c r="AB6" i="9"/>
  <c r="AA6" i="9"/>
  <c r="Z6" i="9"/>
  <c r="Y6" i="9"/>
  <c r="X6" i="9"/>
  <c r="W6" i="9"/>
  <c r="V6" i="9"/>
  <c r="U6" i="9"/>
  <c r="T6" i="9"/>
  <c r="S6" i="9"/>
  <c r="R6" i="9"/>
  <c r="Q6" i="9"/>
  <c r="P6" i="9"/>
  <c r="O6" i="9"/>
  <c r="N6" i="9"/>
  <c r="M6" i="9"/>
  <c r="L6" i="9"/>
  <c r="K6" i="9"/>
  <c r="J6" i="9"/>
  <c r="I6" i="9"/>
  <c r="H6" i="9"/>
  <c r="D6" i="9"/>
  <c r="G5" i="9"/>
  <c r="F5" i="9"/>
  <c r="H27" i="12"/>
  <c r="H24" i="12"/>
  <c r="J22" i="12"/>
  <c r="J22" i="9" s="1"/>
  <c r="I43" i="9" s="1"/>
  <c r="I22" i="12"/>
  <c r="I22" i="9" s="1"/>
  <c r="H43" i="9" s="1"/>
  <c r="H22" i="12"/>
  <c r="H22" i="9" s="1"/>
  <c r="H15" i="12"/>
  <c r="AF13" i="12"/>
  <c r="AE13" i="12"/>
  <c r="AD13" i="12"/>
  <c r="AC13" i="12"/>
  <c r="AB13" i="12"/>
  <c r="AA13" i="12"/>
  <c r="Z13" i="12"/>
  <c r="Y13" i="12"/>
  <c r="X13" i="12"/>
  <c r="W13" i="12"/>
  <c r="V13" i="12"/>
  <c r="U13" i="12"/>
  <c r="T13" i="12"/>
  <c r="S13" i="12"/>
  <c r="R13" i="12"/>
  <c r="Q13" i="12"/>
  <c r="P13" i="12"/>
  <c r="O13" i="12"/>
  <c r="N13" i="12"/>
  <c r="M13" i="12"/>
  <c r="L13" i="12"/>
  <c r="K13" i="12"/>
  <c r="J13" i="12"/>
  <c r="I13" i="12"/>
  <c r="H13" i="12"/>
  <c r="D13" i="12"/>
  <c r="AF11" i="12"/>
  <c r="AE11" i="12"/>
  <c r="AD11" i="12"/>
  <c r="AC11" i="12"/>
  <c r="AB11" i="12"/>
  <c r="AA11" i="12"/>
  <c r="Z11" i="12"/>
  <c r="Y11" i="12"/>
  <c r="X11" i="12"/>
  <c r="W11" i="12"/>
  <c r="V11" i="12"/>
  <c r="U11" i="12"/>
  <c r="T11" i="12"/>
  <c r="S11" i="12"/>
  <c r="R11" i="12"/>
  <c r="Q11" i="12"/>
  <c r="P11" i="12"/>
  <c r="O11" i="12"/>
  <c r="N11" i="12"/>
  <c r="M11" i="12"/>
  <c r="L11" i="12"/>
  <c r="K11" i="12"/>
  <c r="J11" i="12"/>
  <c r="I11" i="12"/>
  <c r="H11" i="12"/>
  <c r="D11" i="12"/>
  <c r="AF7" i="12"/>
  <c r="AE7" i="12"/>
  <c r="AD7" i="12"/>
  <c r="AC7" i="12"/>
  <c r="AB7" i="12"/>
  <c r="AA7" i="12"/>
  <c r="Z7" i="12"/>
  <c r="Y7" i="12"/>
  <c r="X7" i="12"/>
  <c r="W7" i="12"/>
  <c r="V7" i="12"/>
  <c r="U7" i="12"/>
  <c r="T7" i="12"/>
  <c r="S7" i="12"/>
  <c r="R7" i="12"/>
  <c r="Q7" i="12"/>
  <c r="P7" i="12"/>
  <c r="O7" i="12"/>
  <c r="N7" i="12"/>
  <c r="M7" i="12"/>
  <c r="L7" i="12"/>
  <c r="K7" i="12"/>
  <c r="J7" i="12"/>
  <c r="I7" i="12"/>
  <c r="H7" i="12"/>
  <c r="D7" i="12"/>
  <c r="AF6" i="12"/>
  <c r="AE6" i="12"/>
  <c r="AD6" i="12"/>
  <c r="AC6" i="12"/>
  <c r="AB6" i="12"/>
  <c r="AA6" i="12"/>
  <c r="Z6" i="12"/>
  <c r="Y6" i="12"/>
  <c r="X6" i="12"/>
  <c r="W6" i="12"/>
  <c r="V6" i="12"/>
  <c r="U6" i="12"/>
  <c r="T6" i="12"/>
  <c r="S6" i="12"/>
  <c r="R6" i="12"/>
  <c r="Q6" i="12"/>
  <c r="P6" i="12"/>
  <c r="O6" i="12"/>
  <c r="N6" i="12"/>
  <c r="M6" i="12"/>
  <c r="L6" i="12"/>
  <c r="K6" i="12"/>
  <c r="J6" i="12"/>
  <c r="I6" i="12"/>
  <c r="H6" i="12"/>
  <c r="D6" i="12"/>
  <c r="AF5" i="12"/>
  <c r="AE5" i="12"/>
  <c r="AD5" i="12"/>
  <c r="AC5" i="12"/>
  <c r="AB5" i="12"/>
  <c r="AA5" i="12"/>
  <c r="Z5" i="12"/>
  <c r="Y5" i="12"/>
  <c r="X5" i="12"/>
  <c r="W5" i="12"/>
  <c r="V5" i="12"/>
  <c r="U5" i="12"/>
  <c r="T5" i="12"/>
  <c r="S5" i="12"/>
  <c r="R5" i="12"/>
  <c r="Q5" i="12"/>
  <c r="P5" i="12"/>
  <c r="O5" i="12"/>
  <c r="N5" i="12"/>
  <c r="M5" i="12"/>
  <c r="L5" i="12"/>
  <c r="K5" i="12"/>
  <c r="J5" i="12"/>
  <c r="I5" i="12"/>
  <c r="H5" i="12"/>
  <c r="D5" i="12"/>
  <c r="E55" i="10"/>
  <c r="AF26" i="10"/>
  <c r="AE26" i="10"/>
  <c r="AD26" i="10"/>
  <c r="AC26" i="10"/>
  <c r="AB26" i="10"/>
  <c r="AA26" i="10"/>
  <c r="Z26" i="10"/>
  <c r="Y26" i="10"/>
  <c r="X26" i="10"/>
  <c r="W26" i="10"/>
  <c r="V26" i="10"/>
  <c r="U26" i="10"/>
  <c r="T26" i="10"/>
  <c r="S26" i="10"/>
  <c r="R26" i="10"/>
  <c r="Q26" i="10"/>
  <c r="P26" i="10"/>
  <c r="O26" i="10"/>
  <c r="N26" i="10"/>
  <c r="M26" i="10"/>
  <c r="L26" i="10"/>
  <c r="K26" i="10"/>
  <c r="J26" i="10"/>
  <c r="I26" i="10"/>
  <c r="H26" i="10"/>
  <c r="D26"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D23" i="10"/>
  <c r="AE20" i="10"/>
  <c r="AD20" i="10"/>
  <c r="AC20" i="10"/>
  <c r="AB20" i="10"/>
  <c r="AA20" i="10"/>
  <c r="Z20" i="10"/>
  <c r="Y20" i="10"/>
  <c r="X20" i="10"/>
  <c r="W20" i="10"/>
  <c r="V20" i="10"/>
  <c r="U20" i="10"/>
  <c r="T20" i="10"/>
  <c r="S20" i="10"/>
  <c r="R20" i="10"/>
  <c r="Q20" i="10"/>
  <c r="P20" i="10"/>
  <c r="O20" i="10"/>
  <c r="N20" i="10"/>
  <c r="M20" i="10"/>
  <c r="L20" i="10"/>
  <c r="K20" i="10"/>
  <c r="J20" i="10"/>
  <c r="I20" i="10"/>
  <c r="AF19" i="10"/>
  <c r="AE19" i="10"/>
  <c r="AD19" i="10"/>
  <c r="AC19" i="10"/>
  <c r="AB19" i="10"/>
  <c r="AA19" i="10"/>
  <c r="Z19" i="10"/>
  <c r="Y19" i="10"/>
  <c r="X19" i="10"/>
  <c r="W19" i="10"/>
  <c r="H17" i="10"/>
  <c r="AF11" i="10"/>
  <c r="D11" i="10"/>
  <c r="H9" i="10"/>
  <c r="D9" i="10"/>
  <c r="AF8" i="10"/>
  <c r="AE8" i="10"/>
  <c r="AD8" i="10"/>
  <c r="AC8" i="10"/>
  <c r="AB8" i="10"/>
  <c r="AA8" i="10"/>
  <c r="Z8" i="10"/>
  <c r="Y8" i="10"/>
  <c r="X8" i="10"/>
  <c r="W8" i="10"/>
  <c r="V8" i="10"/>
  <c r="U8" i="10"/>
  <c r="T8" i="10"/>
  <c r="S8" i="10"/>
  <c r="R8" i="10"/>
  <c r="Q8" i="10"/>
  <c r="P8" i="10"/>
  <c r="O8" i="10"/>
  <c r="N8" i="10"/>
  <c r="M8" i="10"/>
  <c r="L8" i="10"/>
  <c r="K8" i="10"/>
  <c r="J8" i="10"/>
  <c r="I8" i="10"/>
  <c r="H8" i="10"/>
  <c r="D8" i="10"/>
  <c r="AF7" i="10"/>
  <c r="AE7" i="10"/>
  <c r="AD7" i="10"/>
  <c r="AC7" i="10"/>
  <c r="AB7" i="10"/>
  <c r="AA7" i="10"/>
  <c r="Z7" i="10"/>
  <c r="Y7" i="10"/>
  <c r="X7" i="10"/>
  <c r="W7" i="10"/>
  <c r="V7" i="10"/>
  <c r="U7" i="10"/>
  <c r="T7" i="10"/>
  <c r="S7" i="10"/>
  <c r="R7" i="10"/>
  <c r="Q7" i="10"/>
  <c r="P7" i="10"/>
  <c r="O7" i="10"/>
  <c r="N7" i="10"/>
  <c r="M7" i="10"/>
  <c r="L7" i="10"/>
  <c r="K7" i="10"/>
  <c r="J7" i="10"/>
  <c r="I7" i="10"/>
  <c r="H7" i="10"/>
  <c r="D7" i="10"/>
  <c r="H27" i="8"/>
  <c r="H24" i="8"/>
  <c r="J22" i="8"/>
  <c r="I22" i="8"/>
  <c r="H22" i="8"/>
  <c r="H15" i="8"/>
  <c r="AF13" i="8"/>
  <c r="AE13" i="8"/>
  <c r="AD13" i="8"/>
  <c r="AC13" i="8"/>
  <c r="AB13" i="8"/>
  <c r="AA13" i="8"/>
  <c r="Z13" i="8"/>
  <c r="Y13" i="8"/>
  <c r="X13" i="8"/>
  <c r="W13" i="8"/>
  <c r="V13" i="8"/>
  <c r="U13" i="8"/>
  <c r="T13" i="8"/>
  <c r="S13" i="8"/>
  <c r="R13" i="8"/>
  <c r="Q13" i="8"/>
  <c r="P13" i="8"/>
  <c r="O13" i="8"/>
  <c r="N13" i="8"/>
  <c r="M13" i="8"/>
  <c r="L13" i="8"/>
  <c r="K13" i="8"/>
  <c r="J13" i="8"/>
  <c r="I13" i="8"/>
  <c r="H13" i="8"/>
  <c r="D13" i="8"/>
  <c r="AF11" i="8"/>
  <c r="AE11" i="8"/>
  <c r="AD11" i="8"/>
  <c r="AC11" i="8"/>
  <c r="AB11" i="8"/>
  <c r="AA11" i="8"/>
  <c r="Z11" i="8"/>
  <c r="Y11" i="8"/>
  <c r="X11" i="8"/>
  <c r="W11" i="8"/>
  <c r="V11" i="8"/>
  <c r="U11" i="8"/>
  <c r="T11" i="8"/>
  <c r="S11" i="8"/>
  <c r="R11" i="8"/>
  <c r="Q11" i="8"/>
  <c r="P11" i="8"/>
  <c r="O11" i="8"/>
  <c r="N11" i="8"/>
  <c r="M11" i="8"/>
  <c r="L11" i="8"/>
  <c r="K11" i="8"/>
  <c r="J11" i="8"/>
  <c r="I11" i="8"/>
  <c r="H11" i="8"/>
  <c r="D11" i="8"/>
  <c r="AF7" i="8"/>
  <c r="AE7" i="8"/>
  <c r="AD7" i="8"/>
  <c r="AC7" i="8"/>
  <c r="AB7" i="8"/>
  <c r="AA7" i="8"/>
  <c r="Z7" i="8"/>
  <c r="Y7" i="8"/>
  <c r="X7" i="8"/>
  <c r="W7" i="8"/>
  <c r="V7" i="8"/>
  <c r="U7" i="8"/>
  <c r="T7" i="8"/>
  <c r="S7" i="8"/>
  <c r="R7" i="8"/>
  <c r="Q7" i="8"/>
  <c r="P7" i="8"/>
  <c r="O7" i="8"/>
  <c r="N7" i="8"/>
  <c r="M7" i="8"/>
  <c r="L7" i="8"/>
  <c r="K7" i="8"/>
  <c r="J7" i="8"/>
  <c r="I7" i="8"/>
  <c r="H7" i="8"/>
  <c r="D7" i="8"/>
  <c r="AF6" i="8"/>
  <c r="AE6" i="8"/>
  <c r="AD6" i="8"/>
  <c r="AC6" i="8"/>
  <c r="AB6" i="8"/>
  <c r="AA6" i="8"/>
  <c r="Z6" i="8"/>
  <c r="Y6" i="8"/>
  <c r="X6" i="8"/>
  <c r="W6" i="8"/>
  <c r="V6" i="8"/>
  <c r="U6" i="8"/>
  <c r="T6" i="8"/>
  <c r="S6" i="8"/>
  <c r="R6" i="8"/>
  <c r="Q6" i="8"/>
  <c r="P6" i="8"/>
  <c r="O6" i="8"/>
  <c r="N6" i="8"/>
  <c r="M6" i="8"/>
  <c r="L6" i="8"/>
  <c r="K6" i="8"/>
  <c r="J6" i="8"/>
  <c r="I6" i="8"/>
  <c r="H6" i="8"/>
  <c r="D6" i="8"/>
  <c r="AF5" i="8"/>
  <c r="AE5" i="8"/>
  <c r="AD5" i="8"/>
  <c r="AC5" i="8"/>
  <c r="AB5" i="8"/>
  <c r="AA5" i="8"/>
  <c r="Z5" i="8"/>
  <c r="Y5" i="8"/>
  <c r="X5" i="8"/>
  <c r="W5" i="8"/>
  <c r="V5" i="8"/>
  <c r="U5" i="8"/>
  <c r="T5" i="8"/>
  <c r="S5" i="8"/>
  <c r="R5" i="8"/>
  <c r="Q5" i="8"/>
  <c r="P5" i="8"/>
  <c r="O5" i="8"/>
  <c r="N5" i="8"/>
  <c r="M5" i="8"/>
  <c r="L5" i="8"/>
  <c r="K5" i="8"/>
  <c r="J5" i="8"/>
  <c r="I5" i="8"/>
  <c r="H5" i="8"/>
  <c r="D5" i="8"/>
  <c r="AF68" i="7"/>
  <c r="AE68" i="7"/>
  <c r="AD68" i="7"/>
  <c r="AC68" i="7"/>
  <c r="AB68" i="7"/>
  <c r="AA68" i="7"/>
  <c r="Z68" i="7"/>
  <c r="Y68" i="7"/>
  <c r="X68" i="7"/>
  <c r="W68" i="7"/>
  <c r="V68" i="7"/>
  <c r="U68" i="7"/>
  <c r="T68" i="7"/>
  <c r="S68" i="7"/>
  <c r="R68" i="7"/>
  <c r="Q68" i="7"/>
  <c r="P68" i="7"/>
  <c r="O68" i="7"/>
  <c r="N68" i="7"/>
  <c r="M68" i="7"/>
  <c r="L68" i="7"/>
  <c r="K68" i="7"/>
  <c r="J68" i="7"/>
  <c r="I68" i="7"/>
  <c r="H68" i="7"/>
  <c r="G68" i="7"/>
  <c r="F68" i="7"/>
  <c r="AF67" i="7"/>
  <c r="AE67" i="7"/>
  <c r="AD67" i="7"/>
  <c r="AC67" i="7"/>
  <c r="AB67" i="7"/>
  <c r="AA67" i="7"/>
  <c r="Z67" i="7"/>
  <c r="Y67" i="7"/>
  <c r="X67" i="7"/>
  <c r="W67" i="7"/>
  <c r="V67" i="7"/>
  <c r="U67" i="7"/>
  <c r="T67" i="7"/>
  <c r="S67" i="7"/>
  <c r="R67" i="7"/>
  <c r="Q67" i="7"/>
  <c r="P67" i="7"/>
  <c r="O67" i="7"/>
  <c r="N67" i="7"/>
  <c r="M67" i="7"/>
  <c r="L67" i="7"/>
  <c r="K67" i="7"/>
  <c r="J67" i="7"/>
  <c r="I67" i="7"/>
  <c r="H67" i="7"/>
  <c r="G67" i="7"/>
  <c r="F67" i="7"/>
  <c r="AF64" i="7"/>
  <c r="AE64" i="7"/>
  <c r="AD64" i="7"/>
  <c r="AC64" i="7"/>
  <c r="AB64" i="7"/>
  <c r="AA64" i="7"/>
  <c r="Z64" i="7"/>
  <c r="Y64" i="7"/>
  <c r="X64" i="7"/>
  <c r="W64" i="7"/>
  <c r="V64" i="7"/>
  <c r="U64" i="7"/>
  <c r="T64" i="7"/>
  <c r="S64" i="7"/>
  <c r="R64" i="7"/>
  <c r="Q64" i="7"/>
  <c r="P64" i="7"/>
  <c r="O64" i="7"/>
  <c r="N64" i="7"/>
  <c r="M64" i="7"/>
  <c r="L64" i="7"/>
  <c r="K64" i="7"/>
  <c r="J64" i="7"/>
  <c r="I64" i="7"/>
  <c r="H64" i="7"/>
  <c r="G64" i="7"/>
  <c r="F64" i="7"/>
  <c r="AF60" i="7"/>
  <c r="AE60" i="7"/>
  <c r="AD60" i="7"/>
  <c r="AC60" i="7"/>
  <c r="AB60" i="7"/>
  <c r="AA60" i="7"/>
  <c r="Z60" i="7"/>
  <c r="Y60" i="7"/>
  <c r="X60" i="7"/>
  <c r="W60" i="7"/>
  <c r="V60" i="7"/>
  <c r="U60" i="7"/>
  <c r="T60" i="7"/>
  <c r="S60" i="7"/>
  <c r="R60" i="7"/>
  <c r="Q60" i="7"/>
  <c r="P60" i="7"/>
  <c r="O60" i="7"/>
  <c r="N60" i="7"/>
  <c r="M60" i="7"/>
  <c r="L60" i="7"/>
  <c r="K60" i="7"/>
  <c r="J60" i="7"/>
  <c r="I60" i="7"/>
  <c r="H60" i="7"/>
  <c r="AF59" i="7"/>
  <c r="AE59" i="7"/>
  <c r="AD59" i="7"/>
  <c r="AC59" i="7"/>
  <c r="AB59" i="7"/>
  <c r="AA59" i="7"/>
  <c r="Z59" i="7"/>
  <c r="Y59" i="7"/>
  <c r="X59" i="7"/>
  <c r="W59" i="7"/>
  <c r="V59" i="7"/>
  <c r="U59" i="7"/>
  <c r="T59" i="7"/>
  <c r="S59" i="7"/>
  <c r="R59" i="7"/>
  <c r="Q59" i="7"/>
  <c r="P59" i="7"/>
  <c r="O59" i="7"/>
  <c r="N59" i="7"/>
  <c r="M59" i="7"/>
  <c r="L59" i="7"/>
  <c r="K59" i="7"/>
  <c r="J59" i="7"/>
  <c r="I59" i="7"/>
  <c r="H59" i="7"/>
  <c r="G59" i="7"/>
  <c r="F59" i="7"/>
  <c r="AF50" i="7"/>
  <c r="AE50" i="7"/>
  <c r="AD50" i="7"/>
  <c r="AC50" i="7"/>
  <c r="AB50" i="7"/>
  <c r="AA50" i="7"/>
  <c r="Z50" i="7"/>
  <c r="Y50" i="7"/>
  <c r="X50" i="7"/>
  <c r="W50" i="7"/>
  <c r="V50" i="7"/>
  <c r="U50" i="7"/>
  <c r="T50" i="7"/>
  <c r="S50" i="7"/>
  <c r="R50" i="7"/>
  <c r="Q50" i="7"/>
  <c r="P50" i="7"/>
  <c r="O50" i="7"/>
  <c r="N50" i="7"/>
  <c r="M50" i="7"/>
  <c r="L50" i="7"/>
  <c r="K50" i="7"/>
  <c r="J50" i="7"/>
  <c r="I50" i="7"/>
  <c r="H50" i="7"/>
  <c r="D50" i="7"/>
  <c r="G45" i="7"/>
  <c r="F45" i="7"/>
  <c r="G44" i="7"/>
  <c r="F44" i="7"/>
  <c r="AF43" i="7"/>
  <c r="AE43" i="7"/>
  <c r="AD43" i="7"/>
  <c r="AC43" i="7"/>
  <c r="AB43" i="7"/>
  <c r="AA43" i="7"/>
  <c r="Z43" i="7"/>
  <c r="Y43" i="7"/>
  <c r="X43" i="7"/>
  <c r="W43" i="7"/>
  <c r="V43" i="7"/>
  <c r="U43" i="7"/>
  <c r="T43" i="7"/>
  <c r="S43" i="7"/>
  <c r="R43" i="7"/>
  <c r="Q43" i="7"/>
  <c r="P43" i="7"/>
  <c r="O43" i="7"/>
  <c r="N43" i="7"/>
  <c r="M43" i="7"/>
  <c r="L43" i="7"/>
  <c r="K43" i="7"/>
  <c r="J43" i="7"/>
  <c r="I43" i="7"/>
  <c r="H43" i="7"/>
  <c r="D43" i="7"/>
  <c r="AF42" i="7"/>
  <c r="AE42" i="7"/>
  <c r="AD42" i="7"/>
  <c r="AC42" i="7"/>
  <c r="AB42" i="7"/>
  <c r="AA42" i="7"/>
  <c r="Z42" i="7"/>
  <c r="Y42" i="7"/>
  <c r="X42" i="7"/>
  <c r="W42" i="7"/>
  <c r="V42" i="7"/>
  <c r="U42" i="7"/>
  <c r="T42" i="7"/>
  <c r="S42" i="7"/>
  <c r="R42" i="7"/>
  <c r="Q42" i="7"/>
  <c r="P42" i="7"/>
  <c r="O42" i="7"/>
  <c r="N42" i="7"/>
  <c r="M42" i="7"/>
  <c r="L42" i="7"/>
  <c r="K42" i="7"/>
  <c r="J42" i="7"/>
  <c r="I42" i="7"/>
  <c r="H42" i="7"/>
  <c r="D42" i="7"/>
  <c r="D41" i="7"/>
  <c r="AE40" i="7"/>
  <c r="AD40" i="7"/>
  <c r="AC40" i="7"/>
  <c r="AB40" i="7"/>
  <c r="AA40" i="7"/>
  <c r="Z40" i="7"/>
  <c r="Y40" i="7"/>
  <c r="X40" i="7"/>
  <c r="W40" i="7"/>
  <c r="V40" i="7"/>
  <c r="U40" i="7"/>
  <c r="T40" i="7"/>
  <c r="S40" i="7"/>
  <c r="R40" i="7"/>
  <c r="Q40" i="7"/>
  <c r="P40" i="7"/>
  <c r="O40" i="7"/>
  <c r="N40" i="7"/>
  <c r="M40" i="7"/>
  <c r="L40" i="7"/>
  <c r="K40" i="7"/>
  <c r="J40" i="7"/>
  <c r="I40" i="7"/>
  <c r="H40" i="7"/>
  <c r="D37" i="7"/>
  <c r="AF36" i="7"/>
  <c r="AE36" i="7"/>
  <c r="AD36" i="7"/>
  <c r="AC36" i="7"/>
  <c r="AB36" i="7"/>
  <c r="AA36" i="7"/>
  <c r="Z36" i="7"/>
  <c r="Y36" i="7"/>
  <c r="X36" i="7"/>
  <c r="W36" i="7"/>
  <c r="V36" i="7"/>
  <c r="U36" i="7"/>
  <c r="T36" i="7"/>
  <c r="S36" i="7"/>
  <c r="R36" i="7"/>
  <c r="Q36" i="7"/>
  <c r="P36" i="7"/>
  <c r="O36" i="7"/>
  <c r="N36" i="7"/>
  <c r="M36" i="7"/>
  <c r="L36" i="7"/>
  <c r="K36" i="7"/>
  <c r="J36" i="7"/>
  <c r="I36" i="7"/>
  <c r="H36" i="7"/>
  <c r="D36" i="7"/>
  <c r="AF35" i="7"/>
  <c r="AE35" i="7"/>
  <c r="AD35" i="7"/>
  <c r="AC35" i="7"/>
  <c r="AB35" i="7"/>
  <c r="AA35" i="7"/>
  <c r="Z35" i="7"/>
  <c r="Y35" i="7"/>
  <c r="X35" i="7"/>
  <c r="W35" i="7"/>
  <c r="V35" i="7"/>
  <c r="U35" i="7"/>
  <c r="T35" i="7"/>
  <c r="S35" i="7"/>
  <c r="R35" i="7"/>
  <c r="Q35" i="7"/>
  <c r="P35" i="7"/>
  <c r="O35" i="7"/>
  <c r="N35" i="7"/>
  <c r="M35" i="7"/>
  <c r="L35" i="7"/>
  <c r="K35" i="7"/>
  <c r="J35" i="7"/>
  <c r="I35" i="7"/>
  <c r="H35" i="7"/>
  <c r="D35" i="7"/>
  <c r="AF34" i="7"/>
  <c r="AE34" i="7"/>
  <c r="AD34" i="7"/>
  <c r="AC34" i="7"/>
  <c r="AB34" i="7"/>
  <c r="AA34" i="7"/>
  <c r="Z34" i="7"/>
  <c r="Y34" i="7"/>
  <c r="X34" i="7"/>
  <c r="W34" i="7"/>
  <c r="V34" i="7"/>
  <c r="U34" i="7"/>
  <c r="T34" i="7"/>
  <c r="S34" i="7"/>
  <c r="R34" i="7"/>
  <c r="Q34" i="7"/>
  <c r="P34" i="7"/>
  <c r="O34" i="7"/>
  <c r="N34" i="7"/>
  <c r="M34" i="7"/>
  <c r="L34" i="7"/>
  <c r="K34" i="7"/>
  <c r="J34" i="7"/>
  <c r="I34" i="7"/>
  <c r="H34" i="7"/>
  <c r="D34" i="7"/>
  <c r="AF33" i="7"/>
  <c r="AE33" i="7"/>
  <c r="AD33" i="7"/>
  <c r="AC33" i="7"/>
  <c r="AB33" i="7"/>
  <c r="AA33" i="7"/>
  <c r="Z33" i="7"/>
  <c r="Y33" i="7"/>
  <c r="X33" i="7"/>
  <c r="W33" i="7"/>
  <c r="V33" i="7"/>
  <c r="U33" i="7"/>
  <c r="T33" i="7"/>
  <c r="S33" i="7"/>
  <c r="R33" i="7"/>
  <c r="Q33" i="7"/>
  <c r="P33" i="7"/>
  <c r="O33" i="7"/>
  <c r="N33" i="7"/>
  <c r="M33" i="7"/>
  <c r="L33" i="7"/>
  <c r="K33" i="7"/>
  <c r="J33" i="7"/>
  <c r="I33" i="7"/>
  <c r="H33" i="7"/>
  <c r="D33" i="7"/>
  <c r="AF32" i="7"/>
  <c r="AE32" i="7"/>
  <c r="AD32" i="7"/>
  <c r="AC32" i="7"/>
  <c r="AB32" i="7"/>
  <c r="AA32" i="7"/>
  <c r="Z32" i="7"/>
  <c r="Y32" i="7"/>
  <c r="X32" i="7"/>
  <c r="W32" i="7"/>
  <c r="V32" i="7"/>
  <c r="U32" i="7"/>
  <c r="T32" i="7"/>
  <c r="S32" i="7"/>
  <c r="R32" i="7"/>
  <c r="Q32" i="7"/>
  <c r="P32" i="7"/>
  <c r="O32" i="7"/>
  <c r="N32" i="7"/>
  <c r="M32" i="7"/>
  <c r="L32" i="7"/>
  <c r="K32" i="7"/>
  <c r="J32" i="7"/>
  <c r="I32" i="7"/>
  <c r="H32" i="7"/>
  <c r="D32" i="7"/>
  <c r="AF31" i="7"/>
  <c r="AE31" i="7"/>
  <c r="AD31" i="7"/>
  <c r="AC31" i="7"/>
  <c r="AB31" i="7"/>
  <c r="AA31" i="7"/>
  <c r="Z31" i="7"/>
  <c r="Y31" i="7"/>
  <c r="X31" i="7"/>
  <c r="W31" i="7"/>
  <c r="V31" i="7"/>
  <c r="U31" i="7"/>
  <c r="T31" i="7"/>
  <c r="S31" i="7"/>
  <c r="R31" i="7"/>
  <c r="Q31" i="7"/>
  <c r="P31" i="7"/>
  <c r="O31" i="7"/>
  <c r="N31" i="7"/>
  <c r="M31" i="7"/>
  <c r="L31" i="7"/>
  <c r="K31" i="7"/>
  <c r="J31" i="7"/>
  <c r="I31" i="7"/>
  <c r="H31" i="7"/>
  <c r="D31" i="7"/>
  <c r="AF30" i="7"/>
  <c r="AE30" i="7"/>
  <c r="AD30" i="7"/>
  <c r="AC30" i="7"/>
  <c r="AB30" i="7"/>
  <c r="AA30" i="7"/>
  <c r="Z30" i="7"/>
  <c r="Y30" i="7"/>
  <c r="X30" i="7"/>
  <c r="W30" i="7"/>
  <c r="V30" i="7"/>
  <c r="U30" i="7"/>
  <c r="T30" i="7"/>
  <c r="S30" i="7"/>
  <c r="R30" i="7"/>
  <c r="Q30" i="7"/>
  <c r="P30" i="7"/>
  <c r="O30" i="7"/>
  <c r="N30" i="7"/>
  <c r="M30" i="7"/>
  <c r="L30" i="7"/>
  <c r="K30" i="7"/>
  <c r="J30" i="7"/>
  <c r="I30" i="7"/>
  <c r="H30" i="7"/>
  <c r="D30" i="7"/>
  <c r="AF29" i="7"/>
  <c r="AE29" i="7"/>
  <c r="AD29" i="7"/>
  <c r="AC29" i="7"/>
  <c r="AB29" i="7"/>
  <c r="AA29" i="7"/>
  <c r="Z29" i="7"/>
  <c r="Y29" i="7"/>
  <c r="X29" i="7"/>
  <c r="W29" i="7"/>
  <c r="V29" i="7"/>
  <c r="U29" i="7"/>
  <c r="T29" i="7"/>
  <c r="S29" i="7"/>
  <c r="R29" i="7"/>
  <c r="Q29" i="7"/>
  <c r="P29" i="7"/>
  <c r="O29" i="7"/>
  <c r="N29" i="7"/>
  <c r="M29" i="7"/>
  <c r="L29" i="7"/>
  <c r="K29" i="7"/>
  <c r="J29" i="7"/>
  <c r="I29" i="7"/>
  <c r="H29" i="7"/>
  <c r="D29" i="7"/>
  <c r="G28" i="7"/>
  <c r="F28" i="7"/>
  <c r="G27" i="7"/>
  <c r="F27" i="7"/>
  <c r="D27" i="7"/>
  <c r="G26" i="7"/>
  <c r="F26" i="7"/>
  <c r="AF25" i="7"/>
  <c r="AE25" i="7"/>
  <c r="AD25" i="7"/>
  <c r="AC25" i="7"/>
  <c r="AB25" i="7"/>
  <c r="AA25" i="7"/>
  <c r="Z25" i="7"/>
  <c r="Y25" i="7"/>
  <c r="X25" i="7"/>
  <c r="W25" i="7"/>
  <c r="V25" i="7"/>
  <c r="U25" i="7"/>
  <c r="T25" i="7"/>
  <c r="S25" i="7"/>
  <c r="R25" i="7"/>
  <c r="Q25" i="7"/>
  <c r="P25" i="7"/>
  <c r="O25" i="7"/>
  <c r="N25" i="7"/>
  <c r="M25" i="7"/>
  <c r="L25" i="7"/>
  <c r="K25" i="7"/>
  <c r="J25" i="7"/>
  <c r="I25" i="7"/>
  <c r="H25" i="7"/>
  <c r="D25" i="7"/>
  <c r="AF24" i="7"/>
  <c r="AE24" i="7"/>
  <c r="AD24" i="7"/>
  <c r="AC24" i="7"/>
  <c r="AB24" i="7"/>
  <c r="AA24" i="7"/>
  <c r="Z24" i="7"/>
  <c r="Y24" i="7"/>
  <c r="X24" i="7"/>
  <c r="W24" i="7"/>
  <c r="V24" i="7"/>
  <c r="U24" i="7"/>
  <c r="T24" i="7"/>
  <c r="S24" i="7"/>
  <c r="R24" i="7"/>
  <c r="Q24" i="7"/>
  <c r="P24" i="7"/>
  <c r="O24" i="7"/>
  <c r="N24" i="7"/>
  <c r="M24" i="7"/>
  <c r="L24" i="7"/>
  <c r="K24" i="7"/>
  <c r="J24" i="7"/>
  <c r="I24" i="7"/>
  <c r="H24" i="7"/>
  <c r="D24" i="7"/>
  <c r="AF23" i="7"/>
  <c r="AE23" i="7"/>
  <c r="AD23" i="7"/>
  <c r="AC23" i="7"/>
  <c r="AB23" i="7"/>
  <c r="AA23" i="7"/>
  <c r="Z23" i="7"/>
  <c r="Y23" i="7"/>
  <c r="X23" i="7"/>
  <c r="W23" i="7"/>
  <c r="V23" i="7"/>
  <c r="U23" i="7"/>
  <c r="T23" i="7"/>
  <c r="S23" i="7"/>
  <c r="R23" i="7"/>
  <c r="Q23" i="7"/>
  <c r="P23" i="7"/>
  <c r="O23" i="7"/>
  <c r="N23" i="7"/>
  <c r="M23" i="7"/>
  <c r="L23" i="7"/>
  <c r="K23" i="7"/>
  <c r="J23" i="7"/>
  <c r="I23" i="7"/>
  <c r="H23" i="7"/>
  <c r="G23" i="7"/>
  <c r="F23" i="7"/>
  <c r="D23" i="7"/>
  <c r="G22" i="7"/>
  <c r="H18" i="7"/>
  <c r="D18" i="7"/>
  <c r="AF16" i="7"/>
  <c r="AE16" i="7"/>
  <c r="AD16" i="7"/>
  <c r="AC16" i="7"/>
  <c r="AB16" i="7"/>
  <c r="AA16" i="7"/>
  <c r="Z16" i="7"/>
  <c r="Y16" i="7"/>
  <c r="X16" i="7"/>
  <c r="W16" i="7"/>
  <c r="V16" i="7"/>
  <c r="U16" i="7"/>
  <c r="T16" i="7"/>
  <c r="S16" i="7"/>
  <c r="R16" i="7"/>
  <c r="Q16" i="7"/>
  <c r="P16" i="7"/>
  <c r="O16" i="7"/>
  <c r="N16" i="7"/>
  <c r="M16" i="7"/>
  <c r="L16" i="7"/>
  <c r="K16" i="7"/>
  <c r="J16" i="7"/>
  <c r="I16" i="7"/>
  <c r="H16" i="7"/>
  <c r="D16" i="7"/>
  <c r="AF15" i="7"/>
  <c r="AE15" i="7"/>
  <c r="AD15" i="7"/>
  <c r="AC15" i="7"/>
  <c r="AB15" i="7"/>
  <c r="AA15" i="7"/>
  <c r="Z15" i="7"/>
  <c r="Y15" i="7"/>
  <c r="X15" i="7"/>
  <c r="W15" i="7"/>
  <c r="V15" i="7"/>
  <c r="U15" i="7"/>
  <c r="T15" i="7"/>
  <c r="S15" i="7"/>
  <c r="R15" i="7"/>
  <c r="Q15" i="7"/>
  <c r="P15" i="7"/>
  <c r="O15" i="7"/>
  <c r="N15" i="7"/>
  <c r="M15" i="7"/>
  <c r="L15" i="7"/>
  <c r="K15" i="7"/>
  <c r="J15" i="7"/>
  <c r="I15" i="7"/>
  <c r="H15" i="7"/>
  <c r="AF14" i="7"/>
  <c r="AE14" i="7"/>
  <c r="AD14" i="7"/>
  <c r="AC14" i="7"/>
  <c r="AB14" i="7"/>
  <c r="AA14" i="7"/>
  <c r="Z14" i="7"/>
  <c r="Y14" i="7"/>
  <c r="X14" i="7"/>
  <c r="W14" i="7"/>
  <c r="V14" i="7"/>
  <c r="U14" i="7"/>
  <c r="T14" i="7"/>
  <c r="S14" i="7"/>
  <c r="R14" i="7"/>
  <c r="Q14" i="7"/>
  <c r="P14" i="7"/>
  <c r="O14" i="7"/>
  <c r="N14" i="7"/>
  <c r="M14" i="7"/>
  <c r="L14" i="7"/>
  <c r="K14" i="7"/>
  <c r="J14" i="7"/>
  <c r="I14" i="7"/>
  <c r="H14" i="7"/>
  <c r="D14" i="7"/>
  <c r="AF13" i="7"/>
  <c r="AE13" i="7"/>
  <c r="AD13" i="7"/>
  <c r="AC13" i="7"/>
  <c r="AB13" i="7"/>
  <c r="AA13" i="7"/>
  <c r="Z13" i="7"/>
  <c r="Y13" i="7"/>
  <c r="X13" i="7"/>
  <c r="W13" i="7"/>
  <c r="V13" i="7"/>
  <c r="U13" i="7"/>
  <c r="T13" i="7"/>
  <c r="S13" i="7"/>
  <c r="R13" i="7"/>
  <c r="Q13" i="7"/>
  <c r="P13" i="7"/>
  <c r="O13" i="7"/>
  <c r="N13" i="7"/>
  <c r="M13" i="7"/>
  <c r="L13" i="7"/>
  <c r="K13" i="7"/>
  <c r="J13" i="7"/>
  <c r="I13" i="7"/>
  <c r="H13" i="7"/>
  <c r="D13" i="7"/>
  <c r="AF12" i="7"/>
  <c r="AE12" i="7"/>
  <c r="AD12" i="7"/>
  <c r="AC12" i="7"/>
  <c r="AB12" i="7"/>
  <c r="AA12" i="7"/>
  <c r="Z12" i="7"/>
  <c r="Y12" i="7"/>
  <c r="X12" i="7"/>
  <c r="W12" i="7"/>
  <c r="V12" i="7"/>
  <c r="U12" i="7"/>
  <c r="T12" i="7"/>
  <c r="S12" i="7"/>
  <c r="R12" i="7"/>
  <c r="Q12" i="7"/>
  <c r="P12" i="7"/>
  <c r="O12" i="7"/>
  <c r="N12" i="7"/>
  <c r="M12" i="7"/>
  <c r="L12" i="7"/>
  <c r="K12" i="7"/>
  <c r="J12" i="7"/>
  <c r="I12" i="7"/>
  <c r="H12" i="7"/>
  <c r="D12" i="7"/>
  <c r="AF11" i="7"/>
  <c r="AE11" i="7"/>
  <c r="AD11" i="7"/>
  <c r="AC11" i="7"/>
  <c r="AB11" i="7"/>
  <c r="AA11" i="7"/>
  <c r="Z11" i="7"/>
  <c r="Y11" i="7"/>
  <c r="X11" i="7"/>
  <c r="W11" i="7"/>
  <c r="V11" i="7"/>
  <c r="U11" i="7"/>
  <c r="T11" i="7"/>
  <c r="S11" i="7"/>
  <c r="R11" i="7"/>
  <c r="Q11" i="7"/>
  <c r="P11" i="7"/>
  <c r="O11" i="7"/>
  <c r="N11" i="7"/>
  <c r="M11" i="7"/>
  <c r="L11" i="7"/>
  <c r="K11" i="7"/>
  <c r="J11" i="7"/>
  <c r="I11" i="7"/>
  <c r="H11" i="7"/>
  <c r="D11" i="7"/>
  <c r="AF10" i="7"/>
  <c r="AE10" i="7"/>
  <c r="AD10" i="7"/>
  <c r="AC10" i="7"/>
  <c r="AB10" i="7"/>
  <c r="AA10" i="7"/>
  <c r="Z10" i="7"/>
  <c r="Y10" i="7"/>
  <c r="X10" i="7"/>
  <c r="W10" i="7"/>
  <c r="V10" i="7"/>
  <c r="U10" i="7"/>
  <c r="T10" i="7"/>
  <c r="S10" i="7"/>
  <c r="R10" i="7"/>
  <c r="Q10" i="7"/>
  <c r="P10" i="7"/>
  <c r="O10" i="7"/>
  <c r="N10" i="7"/>
  <c r="M10" i="7"/>
  <c r="L10" i="7"/>
  <c r="K10" i="7"/>
  <c r="J10" i="7"/>
  <c r="I10" i="7"/>
  <c r="H10" i="7"/>
  <c r="AF9" i="7"/>
  <c r="AE9" i="7"/>
  <c r="AD9" i="7"/>
  <c r="AC9" i="7"/>
  <c r="AB9" i="7"/>
  <c r="AA9" i="7"/>
  <c r="Z9" i="7"/>
  <c r="Y9" i="7"/>
  <c r="X9" i="7"/>
  <c r="W9" i="7"/>
  <c r="V9" i="7"/>
  <c r="U9" i="7"/>
  <c r="T9" i="7"/>
  <c r="S9" i="7"/>
  <c r="R9" i="7"/>
  <c r="Q9" i="7"/>
  <c r="P9" i="7"/>
  <c r="O9" i="7"/>
  <c r="N9" i="7"/>
  <c r="M9" i="7"/>
  <c r="L9" i="7"/>
  <c r="K9" i="7"/>
  <c r="J9" i="7"/>
  <c r="I9" i="7"/>
  <c r="H9" i="7"/>
  <c r="D9" i="7"/>
  <c r="AF8" i="7"/>
  <c r="AE8" i="7"/>
  <c r="AD8" i="7"/>
  <c r="AC8" i="7"/>
  <c r="AB8" i="7"/>
  <c r="AA8" i="7"/>
  <c r="Z8" i="7"/>
  <c r="Y8" i="7"/>
  <c r="X8" i="7"/>
  <c r="W8" i="7"/>
  <c r="V8" i="7"/>
  <c r="U8" i="7"/>
  <c r="T8" i="7"/>
  <c r="S8" i="7"/>
  <c r="R8" i="7"/>
  <c r="Q8" i="7"/>
  <c r="P8" i="7"/>
  <c r="O8" i="7"/>
  <c r="N8" i="7"/>
  <c r="M8" i="7"/>
  <c r="L8" i="7"/>
  <c r="K8" i="7"/>
  <c r="J8" i="7"/>
  <c r="I8" i="7"/>
  <c r="H8" i="7"/>
  <c r="D8" i="7"/>
  <c r="AF7" i="7"/>
  <c r="AE7" i="7"/>
  <c r="AD7" i="7"/>
  <c r="AC7" i="7"/>
  <c r="AB7" i="7"/>
  <c r="AA7" i="7"/>
  <c r="Z7" i="7"/>
  <c r="Y7" i="7"/>
  <c r="X7" i="7"/>
  <c r="W7" i="7"/>
  <c r="V7" i="7"/>
  <c r="U7" i="7"/>
  <c r="T7" i="7"/>
  <c r="S7" i="7"/>
  <c r="R7" i="7"/>
  <c r="Q7" i="7"/>
  <c r="P7" i="7"/>
  <c r="O7" i="7"/>
  <c r="N7" i="7"/>
  <c r="M7" i="7"/>
  <c r="L7" i="7"/>
  <c r="K7" i="7"/>
  <c r="J7" i="7"/>
  <c r="I7" i="7"/>
  <c r="H7" i="7"/>
  <c r="D7" i="7"/>
  <c r="AF6" i="7"/>
  <c r="AE6" i="7"/>
  <c r="AD6" i="7"/>
  <c r="AC6" i="7"/>
  <c r="AB6" i="7"/>
  <c r="AA6" i="7"/>
  <c r="Z6" i="7"/>
  <c r="Y6" i="7"/>
  <c r="X6" i="7"/>
  <c r="W6" i="7"/>
  <c r="V6" i="7"/>
  <c r="U6" i="7"/>
  <c r="T6" i="7"/>
  <c r="S6" i="7"/>
  <c r="R6" i="7"/>
  <c r="Q6" i="7"/>
  <c r="P6" i="7"/>
  <c r="O6" i="7"/>
  <c r="N6" i="7"/>
  <c r="M6" i="7"/>
  <c r="L6" i="7"/>
  <c r="K6" i="7"/>
  <c r="J6" i="7"/>
  <c r="I6" i="7"/>
  <c r="H6" i="7"/>
  <c r="D6" i="7"/>
  <c r="AF5" i="7"/>
  <c r="AE5" i="7"/>
  <c r="AD5" i="7"/>
  <c r="AC5" i="7"/>
  <c r="AB5" i="7"/>
  <c r="AA5" i="7"/>
  <c r="Z5" i="7"/>
  <c r="Y5" i="7"/>
  <c r="X5" i="7"/>
  <c r="W5" i="7"/>
  <c r="V5" i="7"/>
  <c r="U5" i="7"/>
  <c r="T5" i="7"/>
  <c r="S5" i="7"/>
  <c r="R5" i="7"/>
  <c r="Q5" i="7"/>
  <c r="P5" i="7"/>
  <c r="O5" i="7"/>
  <c r="N5" i="7"/>
  <c r="M5" i="7"/>
  <c r="L5" i="7"/>
  <c r="K5" i="7"/>
  <c r="J5" i="7"/>
  <c r="I5" i="7"/>
  <c r="H5" i="7"/>
  <c r="D5" i="7"/>
  <c r="AF62" i="6"/>
  <c r="AE62" i="6"/>
  <c r="AD62" i="6"/>
  <c r="AC62" i="6"/>
  <c r="AB62" i="6"/>
  <c r="AA62" i="6"/>
  <c r="Z62" i="6"/>
  <c r="Y62" i="6"/>
  <c r="X62" i="6"/>
  <c r="W62" i="6"/>
  <c r="V62" i="6"/>
  <c r="U62" i="6"/>
  <c r="T62" i="6"/>
  <c r="S62" i="6"/>
  <c r="R62" i="6"/>
  <c r="Q62" i="6"/>
  <c r="P62" i="6"/>
  <c r="O62" i="6"/>
  <c r="N62" i="6"/>
  <c r="M62" i="6"/>
  <c r="L62" i="6"/>
  <c r="K62" i="6"/>
  <c r="J62" i="6"/>
  <c r="I62" i="6"/>
  <c r="H62" i="6"/>
  <c r="D62" i="6"/>
  <c r="D61" i="6"/>
  <c r="D57" i="6"/>
  <c r="AF56" i="6"/>
  <c r="AE56" i="6"/>
  <c r="AD56" i="6"/>
  <c r="AC56" i="6"/>
  <c r="AB56" i="6"/>
  <c r="AA56" i="6"/>
  <c r="Z56" i="6"/>
  <c r="Y56" i="6"/>
  <c r="X56" i="6"/>
  <c r="W56" i="6"/>
  <c r="V56" i="6"/>
  <c r="U56" i="6"/>
  <c r="T56" i="6"/>
  <c r="S56" i="6"/>
  <c r="R56" i="6"/>
  <c r="Q56" i="6"/>
  <c r="P56" i="6"/>
  <c r="O56" i="6"/>
  <c r="N56" i="6"/>
  <c r="M56" i="6"/>
  <c r="L56" i="6"/>
  <c r="K56" i="6"/>
  <c r="J56" i="6"/>
  <c r="I56" i="6"/>
  <c r="H56" i="6"/>
  <c r="D56" i="6"/>
  <c r="AF55" i="6"/>
  <c r="AE55" i="6"/>
  <c r="AD55" i="6"/>
  <c r="AC55" i="6"/>
  <c r="AB55" i="6"/>
  <c r="AA55" i="6"/>
  <c r="Z55" i="6"/>
  <c r="Y55" i="6"/>
  <c r="X55" i="6"/>
  <c r="W55" i="6"/>
  <c r="V55" i="6"/>
  <c r="U55" i="6"/>
  <c r="T55" i="6"/>
  <c r="S55" i="6"/>
  <c r="R55" i="6"/>
  <c r="Q55" i="6"/>
  <c r="P55" i="6"/>
  <c r="O55" i="6"/>
  <c r="N55" i="6"/>
  <c r="M55" i="6"/>
  <c r="L55" i="6"/>
  <c r="K55" i="6"/>
  <c r="J55" i="6"/>
  <c r="I55" i="6"/>
  <c r="H55" i="6"/>
  <c r="D55" i="6"/>
  <c r="AF54" i="6"/>
  <c r="AE54" i="6"/>
  <c r="AD54" i="6"/>
  <c r="AC54" i="6"/>
  <c r="AB54" i="6"/>
  <c r="AA54" i="6"/>
  <c r="Z54" i="6"/>
  <c r="Y54" i="6"/>
  <c r="X54" i="6"/>
  <c r="W54" i="6"/>
  <c r="V54" i="6"/>
  <c r="U54" i="6"/>
  <c r="T54" i="6"/>
  <c r="S54" i="6"/>
  <c r="R54" i="6"/>
  <c r="Q54" i="6"/>
  <c r="P54" i="6"/>
  <c r="O54" i="6"/>
  <c r="N54" i="6"/>
  <c r="M54" i="6"/>
  <c r="L54" i="6"/>
  <c r="K54" i="6"/>
  <c r="J54" i="6"/>
  <c r="I54" i="6"/>
  <c r="H54" i="6"/>
  <c r="D54" i="6"/>
  <c r="AF53" i="6"/>
  <c r="AE53" i="6"/>
  <c r="AD53" i="6"/>
  <c r="AC53" i="6"/>
  <c r="AB53" i="6"/>
  <c r="AA53" i="6"/>
  <c r="Z53" i="6"/>
  <c r="Y53" i="6"/>
  <c r="X53" i="6"/>
  <c r="W53" i="6"/>
  <c r="V53" i="6"/>
  <c r="U53" i="6"/>
  <c r="T53" i="6"/>
  <c r="S53" i="6"/>
  <c r="R53" i="6"/>
  <c r="Q53" i="6"/>
  <c r="P53" i="6"/>
  <c r="O53" i="6"/>
  <c r="N53" i="6"/>
  <c r="M53" i="6"/>
  <c r="L53" i="6"/>
  <c r="K53" i="6"/>
  <c r="J53" i="6"/>
  <c r="I53" i="6"/>
  <c r="H53" i="6"/>
  <c r="D53" i="6"/>
  <c r="AF52" i="6"/>
  <c r="AE52" i="6"/>
  <c r="AD52" i="6"/>
  <c r="AC52" i="6"/>
  <c r="AB52" i="6"/>
  <c r="AA52" i="6"/>
  <c r="Z52" i="6"/>
  <c r="Y52" i="6"/>
  <c r="X52" i="6"/>
  <c r="W52" i="6"/>
  <c r="V52" i="6"/>
  <c r="U52" i="6"/>
  <c r="T52" i="6"/>
  <c r="S52" i="6"/>
  <c r="R52" i="6"/>
  <c r="Q52" i="6"/>
  <c r="P52" i="6"/>
  <c r="O52" i="6"/>
  <c r="N52" i="6"/>
  <c r="M52" i="6"/>
  <c r="L52" i="6"/>
  <c r="K52" i="6"/>
  <c r="J52" i="6"/>
  <c r="I52" i="6"/>
  <c r="H52" i="6"/>
  <c r="D52" i="6"/>
  <c r="AF51" i="6"/>
  <c r="AE51" i="6"/>
  <c r="AD51" i="6"/>
  <c r="AC51" i="6"/>
  <c r="AB51" i="6"/>
  <c r="AA51" i="6"/>
  <c r="Z51" i="6"/>
  <c r="Y51" i="6"/>
  <c r="X51" i="6"/>
  <c r="W51" i="6"/>
  <c r="V51" i="6"/>
  <c r="U51" i="6"/>
  <c r="T51" i="6"/>
  <c r="S51" i="6"/>
  <c r="R51" i="6"/>
  <c r="Q51" i="6"/>
  <c r="P51" i="6"/>
  <c r="O51" i="6"/>
  <c r="N51" i="6"/>
  <c r="M51" i="6"/>
  <c r="L51" i="6"/>
  <c r="K51" i="6"/>
  <c r="J51" i="6"/>
  <c r="I51" i="6"/>
  <c r="H51" i="6"/>
  <c r="D51" i="6"/>
  <c r="AF50" i="6"/>
  <c r="AE50" i="6"/>
  <c r="AD50" i="6"/>
  <c r="AC50" i="6"/>
  <c r="AB50" i="6"/>
  <c r="AA50" i="6"/>
  <c r="Z50" i="6"/>
  <c r="Y50" i="6"/>
  <c r="X50" i="6"/>
  <c r="W50" i="6"/>
  <c r="V50" i="6"/>
  <c r="U50" i="6"/>
  <c r="T50" i="6"/>
  <c r="S50" i="6"/>
  <c r="R50" i="6"/>
  <c r="Q50" i="6"/>
  <c r="P50" i="6"/>
  <c r="O50" i="6"/>
  <c r="N50" i="6"/>
  <c r="M50" i="6"/>
  <c r="L50" i="6"/>
  <c r="K50" i="6"/>
  <c r="J50" i="6"/>
  <c r="I50" i="6"/>
  <c r="H50" i="6"/>
  <c r="D50" i="6"/>
  <c r="AF49" i="6"/>
  <c r="AE49" i="6"/>
  <c r="AD49" i="6"/>
  <c r="AC49" i="6"/>
  <c r="AB49" i="6"/>
  <c r="AA49" i="6"/>
  <c r="Z49" i="6"/>
  <c r="Y49" i="6"/>
  <c r="X49" i="6"/>
  <c r="W49" i="6"/>
  <c r="V49" i="6"/>
  <c r="U49" i="6"/>
  <c r="T49" i="6"/>
  <c r="S49" i="6"/>
  <c r="R49" i="6"/>
  <c r="Q49" i="6"/>
  <c r="P49" i="6"/>
  <c r="O49" i="6"/>
  <c r="N49" i="6"/>
  <c r="M49" i="6"/>
  <c r="L49" i="6"/>
  <c r="K49" i="6"/>
  <c r="J49" i="6"/>
  <c r="I49" i="6"/>
  <c r="H49" i="6"/>
  <c r="D49" i="6"/>
  <c r="AF44" i="6"/>
  <c r="AE44" i="6"/>
  <c r="AD44" i="6"/>
  <c r="AC44" i="6"/>
  <c r="AB44" i="6"/>
  <c r="AA44" i="6"/>
  <c r="Z44" i="6"/>
  <c r="Y44" i="6"/>
  <c r="X44" i="6"/>
  <c r="W44" i="6"/>
  <c r="V44" i="6"/>
  <c r="U44" i="6"/>
  <c r="T44" i="6"/>
  <c r="S44" i="6"/>
  <c r="R44" i="6"/>
  <c r="Q44" i="6"/>
  <c r="P44" i="6"/>
  <c r="O44" i="6"/>
  <c r="N44" i="6"/>
  <c r="M44" i="6"/>
  <c r="L44" i="6"/>
  <c r="K44" i="6"/>
  <c r="J44" i="6"/>
  <c r="I44" i="6"/>
  <c r="H44" i="6"/>
  <c r="D44" i="6"/>
  <c r="D43" i="6"/>
  <c r="D39" i="6"/>
  <c r="AF38" i="6"/>
  <c r="AE38" i="6"/>
  <c r="AD38" i="6"/>
  <c r="AC38" i="6"/>
  <c r="AB38" i="6"/>
  <c r="AA38" i="6"/>
  <c r="Z38" i="6"/>
  <c r="Y38" i="6"/>
  <c r="X38" i="6"/>
  <c r="W38" i="6"/>
  <c r="V38" i="6"/>
  <c r="U38" i="6"/>
  <c r="T38" i="6"/>
  <c r="S38" i="6"/>
  <c r="R38" i="6"/>
  <c r="Q38" i="6"/>
  <c r="P38" i="6"/>
  <c r="O38" i="6"/>
  <c r="N38" i="6"/>
  <c r="M38" i="6"/>
  <c r="L38" i="6"/>
  <c r="K38" i="6"/>
  <c r="J38" i="6"/>
  <c r="I38" i="6"/>
  <c r="H38" i="6"/>
  <c r="D38" i="6"/>
  <c r="AF37" i="6"/>
  <c r="AE37" i="6"/>
  <c r="AD37" i="6"/>
  <c r="AC37" i="6"/>
  <c r="AB37" i="6"/>
  <c r="AA37" i="6"/>
  <c r="Z37" i="6"/>
  <c r="Y37" i="6"/>
  <c r="X37" i="6"/>
  <c r="W37" i="6"/>
  <c r="V37" i="6"/>
  <c r="U37" i="6"/>
  <c r="T37" i="6"/>
  <c r="S37" i="6"/>
  <c r="R37" i="6"/>
  <c r="Q37" i="6"/>
  <c r="P37" i="6"/>
  <c r="O37" i="6"/>
  <c r="N37" i="6"/>
  <c r="M37" i="6"/>
  <c r="L37" i="6"/>
  <c r="K37" i="6"/>
  <c r="J37" i="6"/>
  <c r="I37" i="6"/>
  <c r="H37" i="6"/>
  <c r="D37" i="6"/>
  <c r="AF36" i="6"/>
  <c r="AE36" i="6"/>
  <c r="AD36" i="6"/>
  <c r="AC36" i="6"/>
  <c r="AB36" i="6"/>
  <c r="AA36" i="6"/>
  <c r="Z36" i="6"/>
  <c r="Y36" i="6"/>
  <c r="X36" i="6"/>
  <c r="W36" i="6"/>
  <c r="V36" i="6"/>
  <c r="U36" i="6"/>
  <c r="T36" i="6"/>
  <c r="S36" i="6"/>
  <c r="R36" i="6"/>
  <c r="Q36" i="6"/>
  <c r="P36" i="6"/>
  <c r="O36" i="6"/>
  <c r="N36" i="6"/>
  <c r="M36" i="6"/>
  <c r="L36" i="6"/>
  <c r="K36" i="6"/>
  <c r="J36" i="6"/>
  <c r="I36" i="6"/>
  <c r="H36" i="6"/>
  <c r="D36" i="6"/>
  <c r="AF34" i="6"/>
  <c r="AE34" i="6"/>
  <c r="AD34" i="6"/>
  <c r="AC34" i="6"/>
  <c r="AB34" i="6"/>
  <c r="AA34" i="6"/>
  <c r="Z34" i="6"/>
  <c r="Y34" i="6"/>
  <c r="X34" i="6"/>
  <c r="W34" i="6"/>
  <c r="V34" i="6"/>
  <c r="U34" i="6"/>
  <c r="T34" i="6"/>
  <c r="S34" i="6"/>
  <c r="R34" i="6"/>
  <c r="Q34" i="6"/>
  <c r="P34" i="6"/>
  <c r="O34" i="6"/>
  <c r="N34" i="6"/>
  <c r="M34" i="6"/>
  <c r="L34" i="6"/>
  <c r="K34" i="6"/>
  <c r="J34" i="6"/>
  <c r="I34" i="6"/>
  <c r="H34" i="6"/>
  <c r="D34" i="6"/>
  <c r="AF33" i="6"/>
  <c r="AE33" i="6"/>
  <c r="AD33" i="6"/>
  <c r="AC33" i="6"/>
  <c r="AB33" i="6"/>
  <c r="AA33" i="6"/>
  <c r="Z33" i="6"/>
  <c r="Y33" i="6"/>
  <c r="X33" i="6"/>
  <c r="W33" i="6"/>
  <c r="V33" i="6"/>
  <c r="U33" i="6"/>
  <c r="T33" i="6"/>
  <c r="S33" i="6"/>
  <c r="R33" i="6"/>
  <c r="Q33" i="6"/>
  <c r="P33" i="6"/>
  <c r="O33" i="6"/>
  <c r="N33" i="6"/>
  <c r="M33" i="6"/>
  <c r="L33" i="6"/>
  <c r="K33" i="6"/>
  <c r="J33" i="6"/>
  <c r="I33" i="6"/>
  <c r="H33" i="6"/>
  <c r="D33" i="6"/>
  <c r="AF32" i="6"/>
  <c r="AE32" i="6"/>
  <c r="AD32" i="6"/>
  <c r="AC32" i="6"/>
  <c r="AB32" i="6"/>
  <c r="AA32" i="6"/>
  <c r="Z32" i="6"/>
  <c r="Y32" i="6"/>
  <c r="X32" i="6"/>
  <c r="W32" i="6"/>
  <c r="V32" i="6"/>
  <c r="U32" i="6"/>
  <c r="T32" i="6"/>
  <c r="S32" i="6"/>
  <c r="R32" i="6"/>
  <c r="Q32" i="6"/>
  <c r="P32" i="6"/>
  <c r="O32" i="6"/>
  <c r="N32" i="6"/>
  <c r="M32" i="6"/>
  <c r="L32" i="6"/>
  <c r="K32" i="6"/>
  <c r="J32" i="6"/>
  <c r="I32" i="6"/>
  <c r="H32" i="6"/>
  <c r="D32" i="6"/>
  <c r="AF31" i="6"/>
  <c r="AE31" i="6"/>
  <c r="AD31" i="6"/>
  <c r="AC31" i="6"/>
  <c r="AB31" i="6"/>
  <c r="AA31" i="6"/>
  <c r="Z31" i="6"/>
  <c r="Y31" i="6"/>
  <c r="X31" i="6"/>
  <c r="W31" i="6"/>
  <c r="V31" i="6"/>
  <c r="U31" i="6"/>
  <c r="T31" i="6"/>
  <c r="S31" i="6"/>
  <c r="R31" i="6"/>
  <c r="Q31" i="6"/>
  <c r="P31" i="6"/>
  <c r="O31" i="6"/>
  <c r="N31" i="6"/>
  <c r="M31" i="6"/>
  <c r="L31" i="6"/>
  <c r="K31" i="6"/>
  <c r="J31" i="6"/>
  <c r="I31" i="6"/>
  <c r="H31" i="6"/>
  <c r="D31" i="6"/>
  <c r="AF24" i="6"/>
  <c r="AE24" i="6"/>
  <c r="AD24" i="6"/>
  <c r="AC24" i="6"/>
  <c r="AB24" i="6"/>
  <c r="AA24" i="6"/>
  <c r="Z24" i="6"/>
  <c r="Y24" i="6"/>
  <c r="X24" i="6"/>
  <c r="W24" i="6"/>
  <c r="V24" i="6"/>
  <c r="U24" i="6"/>
  <c r="T24" i="6"/>
  <c r="S24" i="6"/>
  <c r="R24" i="6"/>
  <c r="Q24" i="6"/>
  <c r="P24" i="6"/>
  <c r="O24" i="6"/>
  <c r="N24" i="6"/>
  <c r="M24" i="6"/>
  <c r="L24" i="6"/>
  <c r="K24" i="6"/>
  <c r="J24" i="6"/>
  <c r="I24" i="6"/>
  <c r="H24" i="6"/>
  <c r="D24" i="6"/>
  <c r="AF22" i="6"/>
  <c r="AE22" i="6"/>
  <c r="AD22" i="6"/>
  <c r="AC22" i="6"/>
  <c r="AB22" i="6"/>
  <c r="AA22" i="6"/>
  <c r="Z22" i="6"/>
  <c r="Y22" i="6"/>
  <c r="X22" i="6"/>
  <c r="W22" i="6"/>
  <c r="V22" i="6"/>
  <c r="U22" i="6"/>
  <c r="T22" i="6"/>
  <c r="S22" i="6"/>
  <c r="R22" i="6"/>
  <c r="Q22" i="6"/>
  <c r="P22" i="6"/>
  <c r="O22" i="6"/>
  <c r="N22" i="6"/>
  <c r="M22" i="6"/>
  <c r="L22" i="6"/>
  <c r="K22" i="6"/>
  <c r="J22" i="6"/>
  <c r="I22" i="6"/>
  <c r="H22" i="6"/>
  <c r="D22" i="6"/>
  <c r="AF21" i="6"/>
  <c r="AE21" i="6"/>
  <c r="AD21" i="6"/>
  <c r="AC21" i="6"/>
  <c r="AB21" i="6"/>
  <c r="AA21" i="6"/>
  <c r="Z21" i="6"/>
  <c r="Y21" i="6"/>
  <c r="X21" i="6"/>
  <c r="W21" i="6"/>
  <c r="D19" i="6"/>
  <c r="D15" i="6"/>
  <c r="AF14" i="6"/>
  <c r="AE14" i="6"/>
  <c r="AD14" i="6"/>
  <c r="AC14" i="6"/>
  <c r="AB14" i="6"/>
  <c r="AA14" i="6"/>
  <c r="Z14" i="6"/>
  <c r="Y14" i="6"/>
  <c r="X14" i="6"/>
  <c r="W14" i="6"/>
  <c r="V14" i="6"/>
  <c r="U14" i="6"/>
  <c r="T14" i="6"/>
  <c r="S14" i="6"/>
  <c r="R14" i="6"/>
  <c r="Q14" i="6"/>
  <c r="P14" i="6"/>
  <c r="O14" i="6"/>
  <c r="N14" i="6"/>
  <c r="M14" i="6"/>
  <c r="L14" i="6"/>
  <c r="K14" i="6"/>
  <c r="J14" i="6"/>
  <c r="I14" i="6"/>
  <c r="H14" i="6"/>
  <c r="D14" i="6"/>
  <c r="AF13" i="6"/>
  <c r="AE13" i="6"/>
  <c r="AD13" i="6"/>
  <c r="AC13" i="6"/>
  <c r="AB13" i="6"/>
  <c r="AA13" i="6"/>
  <c r="Z13" i="6"/>
  <c r="Y13" i="6"/>
  <c r="X13" i="6"/>
  <c r="W13" i="6"/>
  <c r="V13" i="6"/>
  <c r="U13" i="6"/>
  <c r="T13" i="6"/>
  <c r="S13" i="6"/>
  <c r="R13" i="6"/>
  <c r="Q13" i="6"/>
  <c r="P13" i="6"/>
  <c r="O13" i="6"/>
  <c r="N13" i="6"/>
  <c r="M13" i="6"/>
  <c r="L13" i="6"/>
  <c r="K13" i="6"/>
  <c r="J13" i="6"/>
  <c r="I13" i="6"/>
  <c r="H13" i="6"/>
  <c r="D13" i="6"/>
  <c r="AF12" i="6"/>
  <c r="AE12" i="6"/>
  <c r="AD12" i="6"/>
  <c r="AC12" i="6"/>
  <c r="AB12" i="6"/>
  <c r="AA12" i="6"/>
  <c r="Z12" i="6"/>
  <c r="Y12" i="6"/>
  <c r="X12" i="6"/>
  <c r="W12" i="6"/>
  <c r="V12" i="6"/>
  <c r="U12" i="6"/>
  <c r="T12" i="6"/>
  <c r="S12" i="6"/>
  <c r="R12" i="6"/>
  <c r="Q12" i="6"/>
  <c r="P12" i="6"/>
  <c r="O12" i="6"/>
  <c r="N12" i="6"/>
  <c r="M12" i="6"/>
  <c r="L12" i="6"/>
  <c r="K12" i="6"/>
  <c r="J12" i="6"/>
  <c r="I12" i="6"/>
  <c r="H12" i="6"/>
  <c r="D12" i="6"/>
  <c r="AF10" i="6"/>
  <c r="AE10" i="6"/>
  <c r="AD10" i="6"/>
  <c r="AC10" i="6"/>
  <c r="AB10" i="6"/>
  <c r="AA10" i="6"/>
  <c r="Z10" i="6"/>
  <c r="Y10" i="6"/>
  <c r="X10" i="6"/>
  <c r="W10" i="6"/>
  <c r="V10" i="6"/>
  <c r="U10" i="6"/>
  <c r="T10" i="6"/>
  <c r="S10" i="6"/>
  <c r="R10" i="6"/>
  <c r="Q10" i="6"/>
  <c r="P10" i="6"/>
  <c r="O10" i="6"/>
  <c r="N10" i="6"/>
  <c r="M10" i="6"/>
  <c r="L10" i="6"/>
  <c r="K10" i="6"/>
  <c r="J10" i="6"/>
  <c r="I10" i="6"/>
  <c r="H10" i="6"/>
  <c r="D10" i="6"/>
  <c r="AF9" i="6"/>
  <c r="AE9" i="6"/>
  <c r="AD9" i="6"/>
  <c r="AC9" i="6"/>
  <c r="AB9" i="6"/>
  <c r="AA9" i="6"/>
  <c r="Z9" i="6"/>
  <c r="Y9" i="6"/>
  <c r="X9" i="6"/>
  <c r="W9" i="6"/>
  <c r="V9" i="6"/>
  <c r="U9" i="6"/>
  <c r="T9" i="6"/>
  <c r="S9" i="6"/>
  <c r="R9" i="6"/>
  <c r="Q9" i="6"/>
  <c r="P9" i="6"/>
  <c r="O9" i="6"/>
  <c r="N9" i="6"/>
  <c r="M9" i="6"/>
  <c r="L9" i="6"/>
  <c r="K9" i="6"/>
  <c r="J9" i="6"/>
  <c r="I9" i="6"/>
  <c r="H9" i="6"/>
  <c r="D9" i="6"/>
  <c r="AF8" i="6"/>
  <c r="AE8" i="6"/>
  <c r="AD8" i="6"/>
  <c r="AC8" i="6"/>
  <c r="AB8" i="6"/>
  <c r="AA8" i="6"/>
  <c r="Z8" i="6"/>
  <c r="Y8" i="6"/>
  <c r="X8" i="6"/>
  <c r="W8" i="6"/>
  <c r="V8" i="6"/>
  <c r="U8" i="6"/>
  <c r="T8" i="6"/>
  <c r="S8" i="6"/>
  <c r="R8" i="6"/>
  <c r="Q8" i="6"/>
  <c r="P8" i="6"/>
  <c r="O8" i="6"/>
  <c r="N8" i="6"/>
  <c r="M8" i="6"/>
  <c r="L8" i="6"/>
  <c r="K8" i="6"/>
  <c r="J8" i="6"/>
  <c r="I8" i="6"/>
  <c r="H8" i="6"/>
  <c r="D8" i="6"/>
  <c r="AF7" i="6"/>
  <c r="AE7" i="6"/>
  <c r="AD7" i="6"/>
  <c r="AC7" i="6"/>
  <c r="AB7" i="6"/>
  <c r="AA7" i="6"/>
  <c r="Z7" i="6"/>
  <c r="Y7" i="6"/>
  <c r="X7" i="6"/>
  <c r="W7" i="6"/>
  <c r="V7" i="6"/>
  <c r="U7" i="6"/>
  <c r="T7" i="6"/>
  <c r="S7" i="6"/>
  <c r="R7" i="6"/>
  <c r="Q7" i="6"/>
  <c r="P7" i="6"/>
  <c r="O7" i="6"/>
  <c r="N7" i="6"/>
  <c r="M7" i="6"/>
  <c r="L7" i="6"/>
  <c r="K7" i="6"/>
  <c r="J7" i="6"/>
  <c r="I7" i="6"/>
  <c r="H7" i="6"/>
  <c r="D7" i="6"/>
  <c r="G67" i="4"/>
  <c r="F67" i="4"/>
  <c r="AF66" i="4"/>
  <c r="AE66" i="4"/>
  <c r="AD66" i="4"/>
  <c r="AC66" i="4"/>
  <c r="AB66" i="4"/>
  <c r="AA66" i="4"/>
  <c r="Z66" i="4"/>
  <c r="Y66" i="4"/>
  <c r="X66" i="4"/>
  <c r="W66" i="4"/>
  <c r="V66" i="4"/>
  <c r="U66" i="4"/>
  <c r="T66" i="4"/>
  <c r="S66" i="4"/>
  <c r="R66" i="4"/>
  <c r="Q66" i="4"/>
  <c r="P66" i="4"/>
  <c r="O66" i="4"/>
  <c r="N66" i="4"/>
  <c r="M66" i="4"/>
  <c r="L66" i="4"/>
  <c r="K66" i="4"/>
  <c r="J66" i="4"/>
  <c r="I66" i="4"/>
  <c r="H66" i="4"/>
  <c r="AF65" i="4"/>
  <c r="AE65" i="4"/>
  <c r="AD65" i="4"/>
  <c r="AC65" i="4"/>
  <c r="AB65" i="4"/>
  <c r="AA65" i="4"/>
  <c r="Z65" i="4"/>
  <c r="Y65" i="4"/>
  <c r="X65" i="4"/>
  <c r="W65" i="4"/>
  <c r="V65" i="4"/>
  <c r="U65" i="4"/>
  <c r="T65" i="4"/>
  <c r="S65" i="4"/>
  <c r="R65" i="4"/>
  <c r="Q65" i="4"/>
  <c r="P65" i="4"/>
  <c r="O65" i="4"/>
  <c r="N65" i="4"/>
  <c r="M65" i="4"/>
  <c r="L65" i="4"/>
  <c r="K65" i="4"/>
  <c r="J65" i="4"/>
  <c r="I65" i="4"/>
  <c r="H65" i="4"/>
  <c r="D65" i="4"/>
  <c r="AF64" i="4"/>
  <c r="AE64" i="4"/>
  <c r="AD64" i="4"/>
  <c r="AC64" i="4"/>
  <c r="AB64" i="4"/>
  <c r="AA64" i="4"/>
  <c r="Z64" i="4"/>
  <c r="Y64" i="4"/>
  <c r="X64" i="4"/>
  <c r="W64" i="4"/>
  <c r="V64" i="4"/>
  <c r="U64" i="4"/>
  <c r="T64" i="4"/>
  <c r="S64" i="4"/>
  <c r="R64" i="4"/>
  <c r="Q64" i="4"/>
  <c r="P64" i="4"/>
  <c r="O64" i="4"/>
  <c r="N64" i="4"/>
  <c r="M64" i="4"/>
  <c r="L64" i="4"/>
  <c r="K64" i="4"/>
  <c r="J64" i="4"/>
  <c r="I64" i="4"/>
  <c r="H64" i="4"/>
  <c r="AF63" i="4"/>
  <c r="AE63" i="4"/>
  <c r="AD63" i="4"/>
  <c r="AC63" i="4"/>
  <c r="AB63" i="4"/>
  <c r="AA63" i="4"/>
  <c r="Z63" i="4"/>
  <c r="Y63" i="4"/>
  <c r="X63" i="4"/>
  <c r="W63" i="4"/>
  <c r="V63" i="4"/>
  <c r="U63" i="4"/>
  <c r="T63" i="4"/>
  <c r="S63" i="4"/>
  <c r="R63" i="4"/>
  <c r="Q63" i="4"/>
  <c r="P63" i="4"/>
  <c r="O63" i="4"/>
  <c r="N63" i="4"/>
  <c r="M63" i="4"/>
  <c r="L63" i="4"/>
  <c r="K63" i="4"/>
  <c r="J63" i="4"/>
  <c r="I63" i="4"/>
  <c r="H63" i="4"/>
  <c r="AF62" i="4"/>
  <c r="AE62" i="4"/>
  <c r="AD62" i="4"/>
  <c r="AC62" i="4"/>
  <c r="AB62" i="4"/>
  <c r="AA62" i="4"/>
  <c r="Z62" i="4"/>
  <c r="Y62" i="4"/>
  <c r="X62" i="4"/>
  <c r="W62" i="4"/>
  <c r="V62" i="4"/>
  <c r="U62" i="4"/>
  <c r="T62" i="4"/>
  <c r="S62" i="4"/>
  <c r="R62" i="4"/>
  <c r="Q62" i="4"/>
  <c r="P62" i="4"/>
  <c r="O62" i="4"/>
  <c r="N62" i="4"/>
  <c r="M62" i="4"/>
  <c r="L62" i="4"/>
  <c r="K62" i="4"/>
  <c r="J62" i="4"/>
  <c r="I62" i="4"/>
  <c r="H62" i="4"/>
  <c r="D62"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AF60" i="4"/>
  <c r="AE60" i="4"/>
  <c r="AD60" i="4"/>
  <c r="AC60" i="4"/>
  <c r="AB60" i="4"/>
  <c r="AA60" i="4"/>
  <c r="Z60" i="4"/>
  <c r="Y60" i="4"/>
  <c r="X60" i="4"/>
  <c r="W60" i="4"/>
  <c r="V60" i="4"/>
  <c r="U60" i="4"/>
  <c r="T60" i="4"/>
  <c r="S60" i="4"/>
  <c r="R60" i="4"/>
  <c r="Q60" i="4"/>
  <c r="P60" i="4"/>
  <c r="O60" i="4"/>
  <c r="N60" i="4"/>
  <c r="M60" i="4"/>
  <c r="L60" i="4"/>
  <c r="K60" i="4"/>
  <c r="J60" i="4"/>
  <c r="I60" i="4"/>
  <c r="H60" i="4"/>
  <c r="AF59" i="4"/>
  <c r="AE59" i="4"/>
  <c r="AD59" i="4"/>
  <c r="AC59" i="4"/>
  <c r="AB59" i="4"/>
  <c r="AA59" i="4"/>
  <c r="Z59" i="4"/>
  <c r="Y59" i="4"/>
  <c r="X59" i="4"/>
  <c r="W59" i="4"/>
  <c r="V59" i="4"/>
  <c r="U59" i="4"/>
  <c r="T59" i="4"/>
  <c r="S59" i="4"/>
  <c r="R59" i="4"/>
  <c r="Q59" i="4"/>
  <c r="P59" i="4"/>
  <c r="O59" i="4"/>
  <c r="N59" i="4"/>
  <c r="M59" i="4"/>
  <c r="L59" i="4"/>
  <c r="K59" i="4"/>
  <c r="J59" i="4"/>
  <c r="I59" i="4"/>
  <c r="H59" i="4"/>
  <c r="D59" i="4"/>
  <c r="AF58" i="4"/>
  <c r="AE58" i="4"/>
  <c r="AD58" i="4"/>
  <c r="AC58" i="4"/>
  <c r="AB58" i="4"/>
  <c r="AA58" i="4"/>
  <c r="Z58" i="4"/>
  <c r="Y58" i="4"/>
  <c r="X58" i="4"/>
  <c r="W58" i="4"/>
  <c r="V58" i="4"/>
  <c r="U58" i="4"/>
  <c r="T58" i="4"/>
  <c r="S58" i="4"/>
  <c r="R58" i="4"/>
  <c r="Q58" i="4"/>
  <c r="P58" i="4"/>
  <c r="O58" i="4"/>
  <c r="N58" i="4"/>
  <c r="M58" i="4"/>
  <c r="L58" i="4"/>
  <c r="K58" i="4"/>
  <c r="J58" i="4"/>
  <c r="I58" i="4"/>
  <c r="H58" i="4"/>
  <c r="AF57" i="4"/>
  <c r="AE57" i="4"/>
  <c r="AD57" i="4"/>
  <c r="AC57" i="4"/>
  <c r="AB57" i="4"/>
  <c r="AA57" i="4"/>
  <c r="Z57" i="4"/>
  <c r="Y57" i="4"/>
  <c r="X57" i="4"/>
  <c r="W57" i="4"/>
  <c r="V57" i="4"/>
  <c r="U57" i="4"/>
  <c r="T57" i="4"/>
  <c r="S57" i="4"/>
  <c r="R57" i="4"/>
  <c r="Q57" i="4"/>
  <c r="P57" i="4"/>
  <c r="O57" i="4"/>
  <c r="N57" i="4"/>
  <c r="M57" i="4"/>
  <c r="L57" i="4"/>
  <c r="K57" i="4"/>
  <c r="J57" i="4"/>
  <c r="I57" i="4"/>
  <c r="G55" i="4"/>
  <c r="D50" i="4"/>
  <c r="D49" i="4"/>
  <c r="D46" i="4"/>
  <c r="G39" i="4"/>
  <c r="F39" i="4"/>
  <c r="AF38" i="4"/>
  <c r="AE38" i="4"/>
  <c r="AD38" i="4"/>
  <c r="AC38" i="4"/>
  <c r="AB38" i="4"/>
  <c r="AA38" i="4"/>
  <c r="Z38" i="4"/>
  <c r="Y38" i="4"/>
  <c r="X38" i="4"/>
  <c r="W38" i="4"/>
  <c r="V38" i="4"/>
  <c r="U38" i="4"/>
  <c r="T38" i="4"/>
  <c r="S38" i="4"/>
  <c r="R38" i="4"/>
  <c r="Q38" i="4"/>
  <c r="P38" i="4"/>
  <c r="O38" i="4"/>
  <c r="N38" i="4"/>
  <c r="M38" i="4"/>
  <c r="L38" i="4"/>
  <c r="K38" i="4"/>
  <c r="J38" i="4"/>
  <c r="I38" i="4"/>
  <c r="H38" i="4"/>
  <c r="AF37" i="4"/>
  <c r="AE37" i="4"/>
  <c r="AD37" i="4"/>
  <c r="AC37" i="4"/>
  <c r="AB37" i="4"/>
  <c r="AA37" i="4"/>
  <c r="Z37" i="4"/>
  <c r="Y37" i="4"/>
  <c r="X37" i="4"/>
  <c r="W37" i="4"/>
  <c r="V37" i="4"/>
  <c r="U37" i="4"/>
  <c r="T37" i="4"/>
  <c r="S37" i="4"/>
  <c r="R37" i="4"/>
  <c r="Q37" i="4"/>
  <c r="D37" i="4"/>
  <c r="AF36" i="4"/>
  <c r="AE36" i="4"/>
  <c r="AD36" i="4"/>
  <c r="AC36" i="4"/>
  <c r="AB36" i="4"/>
  <c r="AA36" i="4"/>
  <c r="Z36" i="4"/>
  <c r="Y36" i="4"/>
  <c r="X36" i="4"/>
  <c r="W36" i="4"/>
  <c r="V36" i="4"/>
  <c r="U36" i="4"/>
  <c r="T36" i="4"/>
  <c r="S36" i="4"/>
  <c r="R36" i="4"/>
  <c r="Q36" i="4"/>
  <c r="P36" i="4"/>
  <c r="O36" i="4"/>
  <c r="N36" i="4"/>
  <c r="M36" i="4"/>
  <c r="L36" i="4"/>
  <c r="K36" i="4"/>
  <c r="J36" i="4"/>
  <c r="I36" i="4"/>
  <c r="H36" i="4"/>
  <c r="AF35" i="4"/>
  <c r="AE35" i="4"/>
  <c r="AD35" i="4"/>
  <c r="AC35" i="4"/>
  <c r="AB35" i="4"/>
  <c r="AA35" i="4"/>
  <c r="Z35" i="4"/>
  <c r="Y35" i="4"/>
  <c r="X35" i="4"/>
  <c r="W35" i="4"/>
  <c r="V35" i="4"/>
  <c r="U35" i="4"/>
  <c r="T35" i="4"/>
  <c r="S35" i="4"/>
  <c r="R35" i="4"/>
  <c r="Q35" i="4"/>
  <c r="P35" i="4"/>
  <c r="O35" i="4"/>
  <c r="N35" i="4"/>
  <c r="M35" i="4"/>
  <c r="L35" i="4"/>
  <c r="K35" i="4"/>
  <c r="J35" i="4"/>
  <c r="I35" i="4"/>
  <c r="AF34" i="4"/>
  <c r="AE34" i="4"/>
  <c r="AD34" i="4"/>
  <c r="AC34" i="4"/>
  <c r="AB34" i="4"/>
  <c r="AA34" i="4"/>
  <c r="Z34" i="4"/>
  <c r="Y34" i="4"/>
  <c r="X34" i="4"/>
  <c r="W34" i="4"/>
  <c r="V34" i="4"/>
  <c r="U34" i="4"/>
  <c r="T34" i="4"/>
  <c r="S34" i="4"/>
  <c r="R34" i="4"/>
  <c r="Q34" i="4"/>
  <c r="P34" i="4"/>
  <c r="O34" i="4"/>
  <c r="N34" i="4"/>
  <c r="M34" i="4"/>
  <c r="L34" i="4"/>
  <c r="K34" i="4"/>
  <c r="J34" i="4"/>
  <c r="I34" i="4"/>
  <c r="H34" i="4"/>
  <c r="D34"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AF32" i="4"/>
  <c r="AE32" i="4"/>
  <c r="AD32" i="4"/>
  <c r="AC32" i="4"/>
  <c r="AB32" i="4"/>
  <c r="AA32" i="4"/>
  <c r="Z32" i="4"/>
  <c r="Y32" i="4"/>
  <c r="X32" i="4"/>
  <c r="W32" i="4"/>
  <c r="V32" i="4"/>
  <c r="U32" i="4"/>
  <c r="T32" i="4"/>
  <c r="S32" i="4"/>
  <c r="R32" i="4"/>
  <c r="Q32" i="4"/>
  <c r="P32" i="4"/>
  <c r="O32" i="4"/>
  <c r="N32" i="4"/>
  <c r="M32" i="4"/>
  <c r="L32" i="4"/>
  <c r="K32" i="4"/>
  <c r="J32" i="4"/>
  <c r="I32" i="4"/>
  <c r="H32" i="4"/>
  <c r="AF31" i="4"/>
  <c r="AE31" i="4"/>
  <c r="AD31" i="4"/>
  <c r="AC31" i="4"/>
  <c r="AB31" i="4"/>
  <c r="AA31" i="4"/>
  <c r="Z31" i="4"/>
  <c r="Y31" i="4"/>
  <c r="X31" i="4"/>
  <c r="W31" i="4"/>
  <c r="V31" i="4"/>
  <c r="U31" i="4"/>
  <c r="T31" i="4"/>
  <c r="S31" i="4"/>
  <c r="R31" i="4"/>
  <c r="Q31" i="4"/>
  <c r="P31" i="4"/>
  <c r="O31" i="4"/>
  <c r="N31" i="4"/>
  <c r="M31" i="4"/>
  <c r="L31" i="4"/>
  <c r="K31" i="4"/>
  <c r="J31" i="4"/>
  <c r="I31" i="4"/>
  <c r="H31" i="4"/>
  <c r="D31" i="4"/>
  <c r="AF30" i="4"/>
  <c r="AE30" i="4"/>
  <c r="AD30" i="4"/>
  <c r="AC30" i="4"/>
  <c r="AB30" i="4"/>
  <c r="AA30" i="4"/>
  <c r="Z30" i="4"/>
  <c r="Y30" i="4"/>
  <c r="X30" i="4"/>
  <c r="W30" i="4"/>
  <c r="V30" i="4"/>
  <c r="U30" i="4"/>
  <c r="T30" i="4"/>
  <c r="S30" i="4"/>
  <c r="R30" i="4"/>
  <c r="Q30" i="4"/>
  <c r="P30" i="4"/>
  <c r="O30" i="4"/>
  <c r="N30" i="4"/>
  <c r="M30" i="4"/>
  <c r="L30" i="4"/>
  <c r="K30" i="4"/>
  <c r="J30" i="4"/>
  <c r="I30" i="4"/>
  <c r="H30" i="4"/>
  <c r="AF29" i="4"/>
  <c r="AE29" i="4"/>
  <c r="AD29" i="4"/>
  <c r="AC29" i="4"/>
  <c r="AB29" i="4"/>
  <c r="AA29" i="4"/>
  <c r="Z29" i="4"/>
  <c r="Y29" i="4"/>
  <c r="X29" i="4"/>
  <c r="W29" i="4"/>
  <c r="V29" i="4"/>
  <c r="U29" i="4"/>
  <c r="T29" i="4"/>
  <c r="S29" i="4"/>
  <c r="R29" i="4"/>
  <c r="Q29" i="4"/>
  <c r="P29" i="4"/>
  <c r="O29" i="4"/>
  <c r="N29" i="4"/>
  <c r="M29" i="4"/>
  <c r="L29" i="4"/>
  <c r="K29" i="4"/>
  <c r="J29" i="4"/>
  <c r="I29" i="4"/>
  <c r="AF28" i="4"/>
  <c r="AF11" i="6" s="1"/>
  <c r="AF6" i="6" s="1"/>
  <c r="AE28" i="4"/>
  <c r="AE11" i="6" s="1"/>
  <c r="AE6" i="6" s="1"/>
  <c r="AD28" i="4"/>
  <c r="AD39" i="4" s="1"/>
  <c r="AC28" i="4"/>
  <c r="AC39" i="4" s="1"/>
  <c r="AB28" i="4"/>
  <c r="AB11" i="6" s="1"/>
  <c r="AB6" i="6" s="1"/>
  <c r="G27" i="4"/>
  <c r="D22" i="4"/>
  <c r="D21" i="4"/>
  <c r="D19" i="4"/>
  <c r="D18" i="4"/>
  <c r="D17" i="4"/>
  <c r="D15" i="4"/>
  <c r="D14" i="4"/>
  <c r="D12" i="4"/>
  <c r="D11" i="4"/>
  <c r="D10" i="4"/>
  <c r="D9" i="4"/>
  <c r="D8" i="4"/>
  <c r="D7" i="4"/>
  <c r="D6" i="4"/>
  <c r="D3" i="4"/>
  <c r="F89" i="3"/>
  <c r="F79" i="3"/>
  <c r="G74" i="3"/>
  <c r="F74" i="3"/>
  <c r="H69" i="3"/>
  <c r="G69" i="3"/>
  <c r="AF64" i="3"/>
  <c r="AE64" i="3"/>
  <c r="AD64" i="3"/>
  <c r="AC64" i="3"/>
  <c r="AB64" i="3"/>
  <c r="AA64" i="3"/>
  <c r="Z64" i="3"/>
  <c r="Y64" i="3"/>
  <c r="X64" i="3"/>
  <c r="W64" i="3"/>
  <c r="V64" i="3"/>
  <c r="U64" i="3"/>
  <c r="T64" i="3"/>
  <c r="S64" i="3"/>
  <c r="R64" i="3"/>
  <c r="Q64" i="3"/>
  <c r="P64" i="3"/>
  <c r="O64" i="3"/>
  <c r="N64" i="3"/>
  <c r="M64" i="3"/>
  <c r="L64" i="3"/>
  <c r="K64" i="3"/>
  <c r="J64" i="3"/>
  <c r="I64" i="3"/>
  <c r="H64" i="3"/>
  <c r="G64" i="3"/>
  <c r="F64" i="3"/>
  <c r="D64" i="3"/>
  <c r="AF63" i="3"/>
  <c r="AE63" i="3"/>
  <c r="AD63" i="3"/>
  <c r="AC63" i="3"/>
  <c r="AB63" i="3"/>
  <c r="AA63" i="3"/>
  <c r="Z63" i="3"/>
  <c r="Y63" i="3"/>
  <c r="X63" i="3"/>
  <c r="W63" i="3"/>
  <c r="V63" i="3"/>
  <c r="U63" i="3"/>
  <c r="T63" i="3"/>
  <c r="S63" i="3"/>
  <c r="R63" i="3"/>
  <c r="Q63" i="3"/>
  <c r="P63" i="3"/>
  <c r="O63" i="3"/>
  <c r="N63" i="3"/>
  <c r="M63" i="3"/>
  <c r="L63" i="3"/>
  <c r="K63" i="3"/>
  <c r="J63" i="3"/>
  <c r="I63" i="3"/>
  <c r="H63" i="3"/>
  <c r="D63" i="3"/>
  <c r="AF62" i="3"/>
  <c r="H62" i="3"/>
  <c r="D62" i="3"/>
  <c r="AF61" i="3"/>
  <c r="AE61" i="3"/>
  <c r="AD61" i="3"/>
  <c r="AC61" i="3"/>
  <c r="AB61" i="3"/>
  <c r="AA61" i="3"/>
  <c r="Z61" i="3"/>
  <c r="Y61" i="3"/>
  <c r="X61" i="3"/>
  <c r="W61" i="3"/>
  <c r="V61" i="3"/>
  <c r="U61" i="3"/>
  <c r="T61" i="3"/>
  <c r="S61" i="3"/>
  <c r="R61" i="3"/>
  <c r="Q61" i="3"/>
  <c r="P61" i="3"/>
  <c r="O61" i="3"/>
  <c r="N61" i="3"/>
  <c r="M61" i="3"/>
  <c r="L61" i="3"/>
  <c r="K61" i="3"/>
  <c r="J61" i="3"/>
  <c r="I61" i="3"/>
  <c r="H61" i="3"/>
  <c r="D61" i="3"/>
  <c r="H60" i="3"/>
  <c r="D60" i="3"/>
  <c r="AF59" i="3"/>
  <c r="AE59" i="3"/>
  <c r="AD59" i="3"/>
  <c r="AC59" i="3"/>
  <c r="AB59" i="3"/>
  <c r="AA59" i="3"/>
  <c r="Z59" i="3"/>
  <c r="Y59" i="3"/>
  <c r="X59" i="3"/>
  <c r="W59" i="3"/>
  <c r="V59" i="3"/>
  <c r="U59" i="3"/>
  <c r="T59" i="3"/>
  <c r="S59" i="3"/>
  <c r="R59" i="3"/>
  <c r="Q59" i="3"/>
  <c r="P59" i="3"/>
  <c r="O59" i="3"/>
  <c r="N59" i="3"/>
  <c r="M59" i="3"/>
  <c r="L59" i="3"/>
  <c r="K59" i="3"/>
  <c r="J59" i="3"/>
  <c r="I59" i="3"/>
  <c r="H59" i="3"/>
  <c r="G59" i="3"/>
  <c r="D54" i="3"/>
  <c r="D44" i="3"/>
  <c r="AF39" i="3"/>
  <c r="AE39" i="3"/>
  <c r="AD39" i="3"/>
  <c r="AC39" i="3"/>
  <c r="AB39" i="3"/>
  <c r="AA39" i="3"/>
  <c r="Z39" i="3"/>
  <c r="Y39" i="3"/>
  <c r="X39" i="3"/>
  <c r="D34" i="3"/>
  <c r="AF31" i="3"/>
  <c r="AE31" i="3"/>
  <c r="AD31" i="3"/>
  <c r="AC31" i="3"/>
  <c r="AB31" i="3"/>
  <c r="AA31" i="3"/>
  <c r="Z31" i="3"/>
  <c r="Y31" i="3"/>
  <c r="X31" i="3"/>
  <c r="W31" i="3"/>
  <c r="V31" i="3"/>
  <c r="U31" i="3"/>
  <c r="T31" i="3"/>
  <c r="S31" i="3"/>
  <c r="R31" i="3"/>
  <c r="Q31" i="3"/>
  <c r="P31" i="3"/>
  <c r="O31" i="3"/>
  <c r="N31" i="3"/>
  <c r="M31" i="3"/>
  <c r="L31" i="3"/>
  <c r="K31" i="3"/>
  <c r="J31" i="3"/>
  <c r="I31" i="3"/>
  <c r="H31" i="3"/>
  <c r="D31" i="3"/>
  <c r="D30" i="3"/>
  <c r="G29" i="3"/>
  <c r="F29" i="3"/>
  <c r="G28" i="3"/>
  <c r="F28" i="3"/>
  <c r="G27" i="3"/>
  <c r="F27" i="3"/>
  <c r="D26" i="3"/>
  <c r="AF25" i="3"/>
  <c r="AE25" i="3"/>
  <c r="AD25" i="3"/>
  <c r="AC25" i="3"/>
  <c r="AB25" i="3"/>
  <c r="AA25" i="3"/>
  <c r="Z25" i="3"/>
  <c r="Y25" i="3"/>
  <c r="X25" i="3"/>
  <c r="W25" i="3"/>
  <c r="V25" i="3"/>
  <c r="U25" i="3"/>
  <c r="T25" i="3"/>
  <c r="S25" i="3"/>
  <c r="R25" i="3"/>
  <c r="Q25" i="3"/>
  <c r="P25" i="3"/>
  <c r="O25" i="3"/>
  <c r="N25" i="3"/>
  <c r="M25" i="3"/>
  <c r="L25" i="3"/>
  <c r="K25" i="3"/>
  <c r="J25" i="3"/>
  <c r="I25" i="3"/>
  <c r="H25" i="3"/>
  <c r="D25" i="3"/>
  <c r="H18" i="3"/>
  <c r="D18" i="3"/>
  <c r="G17" i="3"/>
  <c r="H16" i="3"/>
  <c r="H15" i="3"/>
  <c r="H14" i="3"/>
  <c r="D14" i="3"/>
  <c r="D13" i="3"/>
  <c r="H11" i="3"/>
  <c r="H9" i="3"/>
  <c r="D9" i="3"/>
  <c r="H8" i="3"/>
  <c r="G8" i="3"/>
  <c r="G7" i="3"/>
  <c r="F7" i="3"/>
  <c r="D7" i="3"/>
  <c r="H6" i="3"/>
  <c r="G6" i="3"/>
  <c r="G20" i="11" s="1"/>
  <c r="G19" i="11" s="1"/>
  <c r="G17" i="11" s="1"/>
  <c r="G5" i="3"/>
  <c r="F5" i="3"/>
  <c r="D5" i="3"/>
  <c r="H265" i="2"/>
  <c r="H133" i="2"/>
  <c r="H120" i="2"/>
  <c r="H118" i="2"/>
  <c r="H114" i="2"/>
  <c r="H113" i="2"/>
  <c r="H105" i="2"/>
  <c r="H101" i="2"/>
  <c r="H100" i="2"/>
  <c r="H99" i="2"/>
  <c r="H98" i="2"/>
  <c r="H97" i="2"/>
  <c r="H96" i="2"/>
  <c r="H95" i="2"/>
  <c r="H94" i="2"/>
  <c r="H93" i="2"/>
  <c r="H92" i="2"/>
  <c r="H91" i="2"/>
  <c r="H90" i="2"/>
  <c r="H89" i="2"/>
  <c r="H88" i="2"/>
  <c r="H87" i="2"/>
  <c r="H86" i="2"/>
  <c r="H85" i="2"/>
  <c r="H84" i="2"/>
  <c r="H83" i="2"/>
  <c r="H82" i="2"/>
  <c r="H81" i="2"/>
  <c r="H80" i="2"/>
  <c r="H79" i="2"/>
  <c r="H78" i="2"/>
  <c r="H77" i="2"/>
  <c r="H75" i="2"/>
  <c r="H71" i="2"/>
  <c r="H70" i="2"/>
  <c r="H69" i="2"/>
  <c r="H68" i="2"/>
  <c r="H67" i="2"/>
  <c r="H66" i="2"/>
  <c r="H65" i="2"/>
  <c r="H64" i="2"/>
  <c r="H63" i="2"/>
  <c r="H62" i="2"/>
  <c r="H61" i="2"/>
  <c r="H60" i="2"/>
  <c r="H59" i="2"/>
  <c r="H58" i="2"/>
  <c r="H57" i="2"/>
  <c r="H56" i="2"/>
  <c r="H55" i="2"/>
  <c r="H54" i="2"/>
  <c r="H53" i="2"/>
  <c r="H52" i="2"/>
  <c r="H51" i="2"/>
  <c r="H50" i="2"/>
  <c r="H49" i="2"/>
  <c r="H48" i="2"/>
  <c r="H47" i="2"/>
  <c r="H45" i="2"/>
  <c r="H44" i="2"/>
  <c r="H43" i="2"/>
  <c r="H42" i="2"/>
  <c r="H41" i="2"/>
  <c r="H40" i="2"/>
  <c r="H39" i="2"/>
  <c r="H38" i="2"/>
  <c r="H37" i="2"/>
  <c r="H36" i="2"/>
  <c r="H35" i="2"/>
  <c r="H34" i="2"/>
  <c r="H33" i="2"/>
  <c r="H32" i="2"/>
  <c r="H31" i="2"/>
  <c r="H30" i="2"/>
  <c r="H29" i="2"/>
  <c r="H28" i="2"/>
  <c r="H27" i="2"/>
  <c r="H26" i="2"/>
  <c r="H25" i="2"/>
  <c r="H24" i="2"/>
  <c r="H23" i="2"/>
  <c r="H22" i="2"/>
  <c r="H21" i="2"/>
  <c r="H8" i="2"/>
  <c r="E14" i="5"/>
  <c r="E13" i="5"/>
  <c r="E10" i="5"/>
  <c r="G9" i="5"/>
  <c r="F9" i="5"/>
  <c r="E9" i="5"/>
  <c r="G8" i="5"/>
  <c r="F8" i="5"/>
  <c r="E8" i="5"/>
  <c r="G7" i="5"/>
  <c r="F7" i="5"/>
  <c r="E7" i="5"/>
  <c r="G6" i="5"/>
  <c r="F6" i="5"/>
  <c r="E6" i="5"/>
  <c r="G5" i="5"/>
  <c r="F5" i="5"/>
  <c r="E5" i="5"/>
  <c r="G4" i="5"/>
  <c r="F4" i="5"/>
  <c r="E4" i="5"/>
  <c r="G3" i="5"/>
  <c r="F3" i="5"/>
  <c r="E3" i="5"/>
  <c r="G11" i="3" l="1"/>
  <c r="AE39" i="4"/>
  <c r="AC56" i="4"/>
  <c r="AC11" i="6"/>
  <c r="AC6" i="6" s="1"/>
  <c r="AB39" i="4"/>
  <c r="AF39" i="4"/>
  <c r="AD56" i="4"/>
  <c r="AD11" i="6"/>
  <c r="AD6" i="6" s="1"/>
  <c r="AE56" i="4"/>
  <c r="AB56" i="4"/>
  <c r="AF56" i="4"/>
  <c r="I16" i="11"/>
  <c r="I29" i="10"/>
  <c r="H55" i="10" s="1"/>
  <c r="J16" i="11"/>
  <c r="J29" i="10"/>
  <c r="I55" i="10" s="1"/>
  <c r="H16" i="11"/>
  <c r="H29" i="10"/>
  <c r="G43" i="9"/>
  <c r="F127" i="14"/>
  <c r="AF35" i="6" l="1"/>
  <c r="AF30" i="6" s="1"/>
  <c r="AF67" i="4"/>
  <c r="AD35" i="6"/>
  <c r="AD30" i="6" s="1"/>
  <c r="AD67" i="4"/>
  <c r="AB35" i="6"/>
  <c r="AB30" i="6" s="1"/>
  <c r="AB67" i="4"/>
  <c r="AC35" i="6"/>
  <c r="AC30" i="6" s="1"/>
  <c r="AC67" i="4"/>
  <c r="G55" i="10"/>
  <c r="AE35" i="6"/>
  <c r="AE30" i="6" s="1"/>
  <c r="AE67" i="4"/>
  <c r="G25" i="11"/>
  <c r="G15" i="10"/>
  <c r="G12" i="3"/>
  <c r="G16" i="3" s="1"/>
  <c r="G15" i="3" s="1"/>
  <c r="G16" i="10" l="1"/>
  <c r="G14" i="10" s="1"/>
  <c r="G13" i="10" s="1"/>
  <c r="G50" i="3"/>
  <c r="G90" i="3" s="1"/>
  <c r="G40" i="3"/>
  <c r="G26" i="11" l="1"/>
  <c r="G24" i="11" s="1"/>
  <c r="G23" i="11" s="1"/>
  <c r="G33" i="11" s="1"/>
  <c r="G80" i="3"/>
  <c r="G6" i="10" s="1"/>
  <c r="G5" i="10" s="1"/>
  <c r="G27" i="10" s="1"/>
  <c r="G30" i="10" s="1"/>
  <c r="E5" i="14"/>
  <c r="F5" i="14"/>
  <c r="G5" i="14"/>
  <c r="H5" i="14"/>
  <c r="I5" i="14"/>
  <c r="J5" i="14"/>
  <c r="K5" i="14"/>
  <c r="L5" i="14"/>
  <c r="M5" i="14"/>
  <c r="N5" i="14"/>
  <c r="O5" i="14"/>
  <c r="P5" i="14"/>
  <c r="Q5" i="14"/>
  <c r="R5" i="14"/>
  <c r="S5" i="14"/>
  <c r="T5" i="14"/>
  <c r="U5" i="14"/>
  <c r="V5" i="14"/>
  <c r="W5" i="14"/>
  <c r="X5" i="14"/>
  <c r="Y5" i="14"/>
  <c r="Z5" i="14"/>
  <c r="AA5" i="14"/>
  <c r="AB5" i="14"/>
  <c r="AC5" i="14"/>
  <c r="AD5" i="14"/>
  <c r="AE5" i="14"/>
  <c r="E6" i="14"/>
  <c r="F6" i="14"/>
  <c r="G6" i="14"/>
  <c r="H6" i="14"/>
  <c r="I6" i="14"/>
  <c r="J6" i="14"/>
  <c r="K6" i="14"/>
  <c r="L6" i="14"/>
  <c r="M6" i="14"/>
  <c r="N6" i="14"/>
  <c r="O6" i="14"/>
  <c r="P6" i="14"/>
  <c r="Q6" i="14"/>
  <c r="R6" i="14"/>
  <c r="S6" i="14"/>
  <c r="T6" i="14"/>
  <c r="U6" i="14"/>
  <c r="V6" i="14"/>
  <c r="W6" i="14"/>
  <c r="X6" i="14"/>
  <c r="Y6" i="14"/>
  <c r="Z6" i="14"/>
  <c r="AA6" i="14"/>
  <c r="AB6" i="14"/>
  <c r="AC6" i="14"/>
  <c r="AD6" i="14"/>
  <c r="AE6" i="14"/>
  <c r="E7" i="14"/>
  <c r="F7" i="14"/>
  <c r="G7" i="14"/>
  <c r="H7" i="14"/>
  <c r="I7" i="14"/>
  <c r="J7" i="14"/>
  <c r="K7" i="14"/>
  <c r="L7" i="14"/>
  <c r="M7" i="14"/>
  <c r="N7" i="14"/>
  <c r="O7" i="14"/>
  <c r="P7" i="14"/>
  <c r="Q7" i="14"/>
  <c r="R7" i="14"/>
  <c r="S7" i="14"/>
  <c r="T7" i="14"/>
  <c r="U7" i="14"/>
  <c r="V7" i="14"/>
  <c r="W7" i="14"/>
  <c r="X7" i="14"/>
  <c r="Y7" i="14"/>
  <c r="Z7" i="14"/>
  <c r="AA7" i="14"/>
  <c r="AB7" i="14"/>
  <c r="AC7" i="14"/>
  <c r="AD7" i="14"/>
  <c r="AE7" i="14"/>
  <c r="E31" i="14"/>
  <c r="G31" i="14"/>
  <c r="H31" i="14"/>
  <c r="I31" i="14"/>
  <c r="J31" i="14"/>
  <c r="K31" i="14"/>
  <c r="L31" i="14"/>
  <c r="M31" i="14"/>
  <c r="N31" i="14"/>
  <c r="O31" i="14"/>
  <c r="P31" i="14"/>
  <c r="Q31" i="14"/>
  <c r="R31" i="14"/>
  <c r="S31" i="14"/>
  <c r="T31" i="14"/>
  <c r="U31" i="14"/>
  <c r="V31" i="14"/>
  <c r="W31" i="14"/>
  <c r="X31" i="14"/>
  <c r="Y31" i="14"/>
  <c r="Z31" i="14"/>
  <c r="AA31" i="14"/>
  <c r="AB31" i="14"/>
  <c r="AC31" i="14"/>
  <c r="AD31" i="14"/>
  <c r="AE31" i="14"/>
  <c r="G42" i="14"/>
  <c r="H42" i="14"/>
  <c r="I42" i="14"/>
  <c r="J42" i="14"/>
  <c r="K42" i="14"/>
  <c r="L42" i="14"/>
  <c r="M42" i="14"/>
  <c r="N42" i="14"/>
  <c r="O42" i="14"/>
  <c r="P42" i="14"/>
  <c r="Q42" i="14"/>
  <c r="R42" i="14"/>
  <c r="S42" i="14"/>
  <c r="T42" i="14"/>
  <c r="U42" i="14"/>
  <c r="V42" i="14"/>
  <c r="W42" i="14"/>
  <c r="X42" i="14"/>
  <c r="Y42" i="14"/>
  <c r="Z42" i="14"/>
  <c r="AA42" i="14"/>
  <c r="AB42" i="14"/>
  <c r="AC42" i="14"/>
  <c r="AD42" i="14"/>
  <c r="AE42" i="14"/>
  <c r="G43" i="14"/>
  <c r="H43" i="14"/>
  <c r="I43" i="14"/>
  <c r="J43" i="14"/>
  <c r="K43" i="14"/>
  <c r="L43" i="14"/>
  <c r="M43" i="14"/>
  <c r="N43" i="14"/>
  <c r="O43" i="14"/>
  <c r="P43" i="14"/>
  <c r="Q43" i="14"/>
  <c r="R43" i="14"/>
  <c r="S43" i="14"/>
  <c r="T43" i="14"/>
  <c r="U43" i="14"/>
  <c r="V43" i="14"/>
  <c r="W43" i="14"/>
  <c r="X43" i="14"/>
  <c r="Y43" i="14"/>
  <c r="Z43" i="14"/>
  <c r="AA43" i="14"/>
  <c r="AB43" i="14"/>
  <c r="AC43" i="14"/>
  <c r="AD43" i="14"/>
  <c r="AE43" i="14"/>
  <c r="G44" i="14"/>
  <c r="H44" i="14"/>
  <c r="I44" i="14"/>
  <c r="J44" i="14"/>
  <c r="K44" i="14"/>
  <c r="L44" i="14"/>
  <c r="M44" i="14"/>
  <c r="N44" i="14"/>
  <c r="O44" i="14"/>
  <c r="P44" i="14"/>
  <c r="Q44" i="14"/>
  <c r="R44" i="14"/>
  <c r="S44" i="14"/>
  <c r="T44" i="14"/>
  <c r="U44" i="14"/>
  <c r="V44" i="14"/>
  <c r="W44" i="14"/>
  <c r="X44" i="14"/>
  <c r="Y44" i="14"/>
  <c r="Z44" i="14"/>
  <c r="AA44" i="14"/>
  <c r="AB44" i="14"/>
  <c r="AC44" i="14"/>
  <c r="AD44" i="14"/>
  <c r="AE44" i="14"/>
  <c r="E46" i="14"/>
  <c r="E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G58" i="14"/>
  <c r="H58" i="14"/>
  <c r="I58" i="14"/>
  <c r="J58" i="14"/>
  <c r="K58" i="14"/>
  <c r="L58" i="14"/>
  <c r="M58" i="14"/>
  <c r="N58" i="14"/>
  <c r="O58" i="14"/>
  <c r="P58" i="14"/>
  <c r="Q58" i="14"/>
  <c r="R58" i="14"/>
  <c r="S58" i="14"/>
  <c r="T58" i="14"/>
  <c r="U58" i="14"/>
  <c r="V58" i="14"/>
  <c r="W58" i="14"/>
  <c r="X58" i="14"/>
  <c r="Y58" i="14"/>
  <c r="Z58" i="14"/>
  <c r="AA58" i="14"/>
  <c r="AB58" i="14"/>
  <c r="AC58" i="14"/>
  <c r="AD58" i="14"/>
  <c r="AE58" i="14"/>
  <c r="G59" i="14"/>
  <c r="H59" i="14"/>
  <c r="I59" i="14"/>
  <c r="J59" i="14"/>
  <c r="K59" i="14"/>
  <c r="L59" i="14"/>
  <c r="M59" i="14"/>
  <c r="N59" i="14"/>
  <c r="O59" i="14"/>
  <c r="P59" i="14"/>
  <c r="Q59" i="14"/>
  <c r="R59" i="14"/>
  <c r="S59" i="14"/>
  <c r="T59" i="14"/>
  <c r="U59" i="14"/>
  <c r="V59" i="14"/>
  <c r="W59" i="14"/>
  <c r="X59" i="14"/>
  <c r="Y59" i="14"/>
  <c r="Z59" i="14"/>
  <c r="AA59" i="14"/>
  <c r="AB59" i="14"/>
  <c r="AC59" i="14"/>
  <c r="AD59" i="14"/>
  <c r="AE59" i="14"/>
  <c r="E86" i="14"/>
  <c r="G86" i="14"/>
  <c r="H86" i="14"/>
  <c r="I86" i="14"/>
  <c r="J86" i="14"/>
  <c r="K86" i="14"/>
  <c r="L86" i="14"/>
  <c r="M86" i="14"/>
  <c r="N86" i="14"/>
  <c r="O86" i="14"/>
  <c r="P86" i="14"/>
  <c r="Q86" i="14"/>
  <c r="R86" i="14"/>
  <c r="S86" i="14"/>
  <c r="T86" i="14"/>
  <c r="U86" i="14"/>
  <c r="V86" i="14"/>
  <c r="W86" i="14"/>
  <c r="X86" i="14"/>
  <c r="Y86" i="14"/>
  <c r="Z86" i="14"/>
  <c r="AA86" i="14"/>
  <c r="AB86" i="14"/>
  <c r="AC86" i="14"/>
  <c r="AD86" i="14"/>
  <c r="AE86" i="14"/>
  <c r="E88" i="14"/>
  <c r="G88" i="14"/>
  <c r="H88" i="14"/>
  <c r="I88" i="14"/>
  <c r="J88" i="14"/>
  <c r="K88" i="14"/>
  <c r="L88" i="14"/>
  <c r="M88" i="14"/>
  <c r="N88" i="14"/>
  <c r="O88" i="14"/>
  <c r="P88" i="14"/>
  <c r="Q88" i="14"/>
  <c r="R88" i="14"/>
  <c r="S88" i="14"/>
  <c r="T88" i="14"/>
  <c r="U88" i="14"/>
  <c r="G96" i="14"/>
  <c r="H96" i="14"/>
  <c r="I96" i="14"/>
  <c r="J96" i="14"/>
  <c r="K96" i="14"/>
  <c r="L96" i="14"/>
  <c r="M96" i="14"/>
  <c r="N96" i="14"/>
  <c r="O96" i="14"/>
  <c r="P96" i="14"/>
  <c r="Q96" i="14"/>
  <c r="R96" i="14"/>
  <c r="S96" i="14"/>
  <c r="T96" i="14"/>
  <c r="U96" i="14"/>
  <c r="V96" i="14"/>
  <c r="W96" i="14"/>
  <c r="X96" i="14"/>
  <c r="Y96" i="14"/>
  <c r="Z96" i="14"/>
  <c r="AA96" i="14"/>
  <c r="AB96" i="14"/>
  <c r="AC96" i="14"/>
  <c r="AD96" i="14"/>
  <c r="AE96" i="14"/>
  <c r="E100" i="14"/>
  <c r="G100" i="14"/>
  <c r="H100" i="14"/>
  <c r="I100" i="14"/>
  <c r="J100" i="14"/>
  <c r="K100" i="14"/>
  <c r="L100" i="14"/>
  <c r="M100" i="14"/>
  <c r="N100" i="14"/>
  <c r="O100" i="14"/>
  <c r="P100" i="14"/>
  <c r="Q100" i="14"/>
  <c r="R100" i="14"/>
  <c r="S100" i="14"/>
  <c r="T100" i="14"/>
  <c r="U100" i="14"/>
  <c r="V100" i="14"/>
  <c r="W100" i="14"/>
  <c r="X100" i="14"/>
  <c r="Y100" i="14"/>
  <c r="Z100" i="14"/>
  <c r="AA100" i="14"/>
  <c r="AB100" i="14"/>
  <c r="AC100" i="14"/>
  <c r="AD100" i="14"/>
  <c r="AE100" i="14"/>
  <c r="E101" i="14"/>
  <c r="G101" i="14"/>
  <c r="H101" i="14"/>
  <c r="I101" i="14"/>
  <c r="J101" i="14"/>
  <c r="K101" i="14"/>
  <c r="L101" i="14"/>
  <c r="M101" i="14"/>
  <c r="N101" i="14"/>
  <c r="O101" i="14"/>
  <c r="P101" i="14"/>
  <c r="Q101" i="14"/>
  <c r="R101" i="14"/>
  <c r="S101" i="14"/>
  <c r="T101" i="14"/>
  <c r="U101" i="14"/>
  <c r="V101" i="14"/>
  <c r="W101" i="14"/>
  <c r="X101" i="14"/>
  <c r="Y101" i="14"/>
  <c r="Z101" i="14"/>
  <c r="AA101" i="14"/>
  <c r="AB101" i="14"/>
  <c r="AC101" i="14"/>
  <c r="AD101" i="14"/>
  <c r="AE101" i="14"/>
  <c r="E108" i="14"/>
  <c r="G108" i="14"/>
  <c r="H108" i="14"/>
  <c r="I108" i="14"/>
  <c r="J108" i="14"/>
  <c r="K108" i="14"/>
  <c r="L108" i="14"/>
  <c r="M108" i="14"/>
  <c r="N108" i="14"/>
  <c r="O108" i="14"/>
  <c r="P108" i="14"/>
  <c r="Q108" i="14"/>
  <c r="R108" i="14"/>
  <c r="S108" i="14"/>
  <c r="T108" i="14"/>
  <c r="U108" i="14"/>
  <c r="V108" i="14"/>
  <c r="W108" i="14"/>
  <c r="X108" i="14"/>
  <c r="Y108" i="14"/>
  <c r="Z108" i="14"/>
  <c r="AA108" i="14"/>
  <c r="AB108" i="14"/>
  <c r="AC108" i="14"/>
  <c r="AD108" i="14"/>
  <c r="AE108" i="14"/>
  <c r="G117" i="14"/>
  <c r="H117" i="14"/>
  <c r="I117" i="14"/>
  <c r="J117" i="14"/>
  <c r="K117" i="14"/>
  <c r="L117" i="14"/>
  <c r="M117" i="14"/>
  <c r="N117" i="14"/>
  <c r="O117" i="14"/>
  <c r="P117" i="14"/>
  <c r="Q117" i="14"/>
  <c r="R117" i="14"/>
  <c r="S117" i="14"/>
  <c r="T117" i="14"/>
  <c r="U117" i="14"/>
  <c r="V117" i="14"/>
  <c r="W117" i="14"/>
  <c r="X117" i="14"/>
  <c r="Y117" i="14"/>
  <c r="Z117" i="14"/>
  <c r="AA117" i="14"/>
  <c r="AB117" i="14"/>
  <c r="AC117" i="14"/>
  <c r="AD117" i="14"/>
  <c r="AE117" i="14"/>
  <c r="G118" i="14"/>
  <c r="H118" i="14"/>
  <c r="I118" i="14"/>
  <c r="J118" i="14"/>
  <c r="K118" i="14"/>
  <c r="L118" i="14"/>
  <c r="M118" i="14"/>
  <c r="N118" i="14"/>
  <c r="O118" i="14"/>
  <c r="P118" i="14"/>
  <c r="Q118" i="14"/>
  <c r="R118" i="14"/>
  <c r="S118" i="14"/>
  <c r="T118" i="14"/>
  <c r="U118" i="14"/>
  <c r="V118" i="14"/>
  <c r="W118" i="14"/>
  <c r="X118" i="14"/>
  <c r="Y118" i="14"/>
  <c r="Z118" i="14"/>
  <c r="AA118" i="14"/>
  <c r="AB118" i="14"/>
  <c r="AC118" i="14"/>
  <c r="AD118" i="14"/>
  <c r="AE118" i="14"/>
  <c r="G124" i="14"/>
  <c r="H124" i="14"/>
  <c r="I124" i="14"/>
  <c r="J124" i="14"/>
  <c r="K124" i="14"/>
  <c r="L124" i="14"/>
  <c r="M124" i="14"/>
  <c r="N124" i="14"/>
  <c r="O124" i="14"/>
  <c r="P124" i="14"/>
  <c r="Q124" i="14"/>
  <c r="R124" i="14"/>
  <c r="S124" i="14"/>
  <c r="T124" i="14"/>
  <c r="U124" i="14"/>
  <c r="V124" i="14"/>
  <c r="W124" i="14"/>
  <c r="X124" i="14"/>
  <c r="Y124" i="14"/>
  <c r="Z124" i="14"/>
  <c r="AA124" i="14"/>
  <c r="AB124" i="14"/>
  <c r="AC124" i="14"/>
  <c r="AD124" i="14"/>
  <c r="AE124" i="14"/>
  <c r="E127" i="14"/>
  <c r="G127" i="14"/>
  <c r="H127" i="14"/>
  <c r="I127" i="14"/>
  <c r="J127" i="14"/>
  <c r="K127" i="14"/>
  <c r="L127" i="14"/>
  <c r="M127" i="14"/>
  <c r="N127" i="14"/>
  <c r="O127" i="14"/>
  <c r="P127" i="14"/>
  <c r="Q127" i="14"/>
  <c r="R127" i="14"/>
  <c r="S127" i="14"/>
  <c r="T127" i="14"/>
  <c r="U127" i="14"/>
  <c r="V127" i="14"/>
  <c r="W127" i="14"/>
  <c r="X127" i="14"/>
  <c r="Y127" i="14"/>
  <c r="Z127" i="14"/>
  <c r="AA127" i="14"/>
  <c r="AB127" i="14"/>
  <c r="AC127" i="14"/>
  <c r="AD127" i="14"/>
  <c r="AE127" i="14"/>
  <c r="E128" i="14"/>
  <c r="F128" i="14"/>
  <c r="G128" i="14"/>
  <c r="H128" i="14"/>
  <c r="I128" i="14"/>
  <c r="J128" i="14"/>
  <c r="K128" i="14"/>
  <c r="L128" i="14"/>
  <c r="M128" i="14"/>
  <c r="N128" i="14"/>
  <c r="O128" i="14"/>
  <c r="P128" i="14"/>
  <c r="Q128" i="14"/>
  <c r="R128" i="14"/>
  <c r="S128" i="14"/>
  <c r="T128" i="14"/>
  <c r="U128" i="14"/>
  <c r="V128" i="14"/>
  <c r="W128" i="14"/>
  <c r="X128" i="14"/>
  <c r="Y128" i="14"/>
  <c r="Z128" i="14"/>
  <c r="AA128" i="14"/>
  <c r="AB128" i="14"/>
  <c r="AC128" i="14"/>
  <c r="AD128" i="14"/>
  <c r="AE128" i="14"/>
  <c r="C131" i="14"/>
  <c r="E131" i="14"/>
  <c r="G131" i="14"/>
  <c r="H131" i="14"/>
  <c r="I131" i="14"/>
  <c r="J131" i="14"/>
  <c r="K131" i="14"/>
  <c r="L131" i="14"/>
  <c r="M131" i="14"/>
  <c r="N131" i="14"/>
  <c r="O131" i="14"/>
  <c r="P131" i="14"/>
  <c r="Q131" i="14"/>
  <c r="R131" i="14"/>
  <c r="S131" i="14"/>
  <c r="T131" i="14"/>
  <c r="U131" i="14"/>
  <c r="V131" i="14"/>
  <c r="W131" i="14"/>
  <c r="X131" i="14"/>
  <c r="Y131" i="14"/>
  <c r="Z131" i="14"/>
  <c r="AA131" i="14"/>
  <c r="AB131" i="14"/>
  <c r="AC131" i="14"/>
  <c r="AD131" i="14"/>
  <c r="AE131" i="14"/>
  <c r="D6" i="3"/>
  <c r="F6" i="3"/>
  <c r="D8" i="3"/>
  <c r="F8" i="3"/>
  <c r="D11" i="3"/>
  <c r="F11" i="3"/>
  <c r="D12" i="3"/>
  <c r="F12" i="3"/>
  <c r="D15" i="3"/>
  <c r="F15" i="3"/>
  <c r="D16" i="3"/>
  <c r="F16" i="3"/>
  <c r="D17" i="3"/>
  <c r="F17" i="3"/>
  <c r="D23" i="3"/>
  <c r="F23" i="3"/>
  <c r="G23" i="3"/>
  <c r="H23" i="3"/>
  <c r="I23" i="3"/>
  <c r="J23" i="3"/>
  <c r="K23" i="3"/>
  <c r="L23" i="3"/>
  <c r="M23" i="3"/>
  <c r="N23" i="3"/>
  <c r="O23" i="3"/>
  <c r="P23" i="3"/>
  <c r="Q23" i="3"/>
  <c r="R23" i="3"/>
  <c r="S23" i="3"/>
  <c r="T23" i="3"/>
  <c r="U23" i="3"/>
  <c r="V23" i="3"/>
  <c r="W23" i="3"/>
  <c r="X23" i="3"/>
  <c r="Y23" i="3"/>
  <c r="Z23" i="3"/>
  <c r="AA23" i="3"/>
  <c r="AB23" i="3"/>
  <c r="AC23" i="3"/>
  <c r="AD23" i="3"/>
  <c r="AE23" i="3"/>
  <c r="AF23" i="3"/>
  <c r="D24" i="3"/>
  <c r="F24" i="3"/>
  <c r="G24" i="3"/>
  <c r="H24" i="3"/>
  <c r="I24" i="3"/>
  <c r="J24" i="3"/>
  <c r="K24" i="3"/>
  <c r="L24" i="3"/>
  <c r="M24" i="3"/>
  <c r="N24" i="3"/>
  <c r="O24" i="3"/>
  <c r="P24" i="3"/>
  <c r="Q24" i="3"/>
  <c r="R24" i="3"/>
  <c r="S24" i="3"/>
  <c r="T24" i="3"/>
  <c r="U24" i="3"/>
  <c r="V24" i="3"/>
  <c r="W24" i="3"/>
  <c r="X24" i="3"/>
  <c r="Y24" i="3"/>
  <c r="Z24" i="3"/>
  <c r="AA24" i="3"/>
  <c r="AB24" i="3"/>
  <c r="AC24" i="3"/>
  <c r="AD24" i="3"/>
  <c r="AE24" i="3"/>
  <c r="AF24" i="3"/>
  <c r="D27" i="3"/>
  <c r="H27" i="3"/>
  <c r="I27" i="3"/>
  <c r="J27" i="3"/>
  <c r="K27" i="3"/>
  <c r="L27" i="3"/>
  <c r="M27" i="3"/>
  <c r="N27" i="3"/>
  <c r="O27" i="3"/>
  <c r="P27" i="3"/>
  <c r="Q27" i="3"/>
  <c r="R27" i="3"/>
  <c r="S27" i="3"/>
  <c r="T27" i="3"/>
  <c r="U27" i="3"/>
  <c r="V27" i="3"/>
  <c r="W27" i="3"/>
  <c r="X27" i="3"/>
  <c r="Y27" i="3"/>
  <c r="Z27" i="3"/>
  <c r="AA27" i="3"/>
  <c r="AB27" i="3"/>
  <c r="AC27" i="3"/>
  <c r="AD27" i="3"/>
  <c r="AE27" i="3"/>
  <c r="AF27" i="3"/>
  <c r="D28" i="3"/>
  <c r="H28" i="3"/>
  <c r="I28" i="3"/>
  <c r="J28" i="3"/>
  <c r="K28" i="3"/>
  <c r="L28" i="3"/>
  <c r="M28" i="3"/>
  <c r="N28" i="3"/>
  <c r="O28" i="3"/>
  <c r="P28" i="3"/>
  <c r="Q28" i="3"/>
  <c r="R28" i="3"/>
  <c r="S28" i="3"/>
  <c r="T28" i="3"/>
  <c r="U28" i="3"/>
  <c r="V28" i="3"/>
  <c r="W28" i="3"/>
  <c r="X28" i="3"/>
  <c r="Y28" i="3"/>
  <c r="Z28" i="3"/>
  <c r="AA28" i="3"/>
  <c r="AB28" i="3"/>
  <c r="AC28" i="3"/>
  <c r="AD28" i="3"/>
  <c r="AE28" i="3"/>
  <c r="AF28" i="3"/>
  <c r="D29" i="3"/>
  <c r="H29" i="3"/>
  <c r="I29" i="3"/>
  <c r="J29" i="3"/>
  <c r="K29" i="3"/>
  <c r="L29" i="3"/>
  <c r="M29" i="3"/>
  <c r="N29" i="3"/>
  <c r="O29" i="3"/>
  <c r="P29" i="3"/>
  <c r="Q29" i="3"/>
  <c r="R29" i="3"/>
  <c r="S29" i="3"/>
  <c r="T29" i="3"/>
  <c r="U29" i="3"/>
  <c r="V29" i="3"/>
  <c r="W29" i="3"/>
  <c r="X29" i="3"/>
  <c r="Y29" i="3"/>
  <c r="Z29" i="3"/>
  <c r="AA29" i="3"/>
  <c r="AB29" i="3"/>
  <c r="AC29" i="3"/>
  <c r="AD29" i="3"/>
  <c r="AE29" i="3"/>
  <c r="AF29" i="3"/>
  <c r="D32" i="3"/>
  <c r="H32" i="3"/>
  <c r="I32" i="3"/>
  <c r="J32" i="3"/>
  <c r="K32" i="3"/>
  <c r="L32" i="3"/>
  <c r="M32" i="3"/>
  <c r="N32" i="3"/>
  <c r="O32" i="3"/>
  <c r="P32" i="3"/>
  <c r="Q32" i="3"/>
  <c r="R32" i="3"/>
  <c r="S32" i="3"/>
  <c r="T32" i="3"/>
  <c r="U32" i="3"/>
  <c r="V32" i="3"/>
  <c r="W32" i="3"/>
  <c r="X32" i="3"/>
  <c r="Y32" i="3"/>
  <c r="Z32" i="3"/>
  <c r="AA32" i="3"/>
  <c r="AB32" i="3"/>
  <c r="AC32" i="3"/>
  <c r="AD32" i="3"/>
  <c r="AE32" i="3"/>
  <c r="AF32" i="3"/>
  <c r="D33" i="3"/>
  <c r="H33" i="3"/>
  <c r="I33" i="3"/>
  <c r="J33" i="3"/>
  <c r="K33" i="3"/>
  <c r="L33" i="3"/>
  <c r="M33" i="3"/>
  <c r="N33" i="3"/>
  <c r="O33" i="3"/>
  <c r="P33" i="3"/>
  <c r="Q33" i="3"/>
  <c r="R33" i="3"/>
  <c r="S33" i="3"/>
  <c r="T33" i="3"/>
  <c r="U33" i="3"/>
  <c r="V33" i="3"/>
  <c r="W33" i="3"/>
  <c r="X33" i="3"/>
  <c r="Y33" i="3"/>
  <c r="Z33" i="3"/>
  <c r="AA33" i="3"/>
  <c r="AB33" i="3"/>
  <c r="AC33" i="3"/>
  <c r="AD33" i="3"/>
  <c r="AE33" i="3"/>
  <c r="AF33" i="3"/>
  <c r="G39" i="3"/>
  <c r="H39" i="3"/>
  <c r="I39" i="3"/>
  <c r="J39" i="3"/>
  <c r="K39" i="3"/>
  <c r="L39" i="3"/>
  <c r="M39" i="3"/>
  <c r="N39" i="3"/>
  <c r="O39" i="3"/>
  <c r="P39" i="3"/>
  <c r="Q39" i="3"/>
  <c r="R39" i="3"/>
  <c r="S39" i="3"/>
  <c r="T39" i="3"/>
  <c r="U39" i="3"/>
  <c r="V39" i="3"/>
  <c r="W39" i="3"/>
  <c r="D40" i="3"/>
  <c r="F40" i="3"/>
  <c r="D41" i="3"/>
  <c r="H41" i="3"/>
  <c r="I41" i="3"/>
  <c r="J41" i="3"/>
  <c r="K41" i="3"/>
  <c r="L41" i="3"/>
  <c r="M41" i="3"/>
  <c r="N41" i="3"/>
  <c r="O41" i="3"/>
  <c r="P41" i="3"/>
  <c r="Q41" i="3"/>
  <c r="R41" i="3"/>
  <c r="S41" i="3"/>
  <c r="T41" i="3"/>
  <c r="U41" i="3"/>
  <c r="V41" i="3"/>
  <c r="D42" i="3"/>
  <c r="H42" i="3"/>
  <c r="I42" i="3"/>
  <c r="J42" i="3"/>
  <c r="K42" i="3"/>
  <c r="L42" i="3"/>
  <c r="M42" i="3"/>
  <c r="N42" i="3"/>
  <c r="O42" i="3"/>
  <c r="P42" i="3"/>
  <c r="Q42" i="3"/>
  <c r="R42" i="3"/>
  <c r="S42" i="3"/>
  <c r="T42" i="3"/>
  <c r="U42" i="3"/>
  <c r="V42" i="3"/>
  <c r="D43" i="3"/>
  <c r="H43" i="3"/>
  <c r="I43" i="3"/>
  <c r="J43" i="3"/>
  <c r="K43" i="3"/>
  <c r="L43" i="3"/>
  <c r="M43" i="3"/>
  <c r="N43" i="3"/>
  <c r="O43" i="3"/>
  <c r="P43" i="3"/>
  <c r="Q43" i="3"/>
  <c r="R43" i="3"/>
  <c r="S43" i="3"/>
  <c r="T43" i="3"/>
  <c r="U43" i="3"/>
  <c r="V43" i="3"/>
  <c r="F44" i="3"/>
  <c r="G44" i="3"/>
  <c r="H44" i="3"/>
  <c r="I44" i="3"/>
  <c r="J44" i="3"/>
  <c r="K44" i="3"/>
  <c r="L44" i="3"/>
  <c r="M44" i="3"/>
  <c r="N44" i="3"/>
  <c r="O44" i="3"/>
  <c r="P44" i="3"/>
  <c r="Q44" i="3"/>
  <c r="R44" i="3"/>
  <c r="S44" i="3"/>
  <c r="T44" i="3"/>
  <c r="U44" i="3"/>
  <c r="V44" i="3"/>
  <c r="G49" i="3"/>
  <c r="H49" i="3"/>
  <c r="I49" i="3"/>
  <c r="J49" i="3"/>
  <c r="K49" i="3"/>
  <c r="L49" i="3"/>
  <c r="M49" i="3"/>
  <c r="N49" i="3"/>
  <c r="O49" i="3"/>
  <c r="P49" i="3"/>
  <c r="Q49" i="3"/>
  <c r="R49" i="3"/>
  <c r="S49" i="3"/>
  <c r="T49" i="3"/>
  <c r="U49" i="3"/>
  <c r="V49" i="3"/>
  <c r="D50" i="3"/>
  <c r="F50" i="3"/>
  <c r="D51" i="3"/>
  <c r="H51" i="3"/>
  <c r="I51" i="3"/>
  <c r="J51" i="3"/>
  <c r="K51" i="3"/>
  <c r="L51" i="3"/>
  <c r="M51" i="3"/>
  <c r="N51" i="3"/>
  <c r="O51" i="3"/>
  <c r="P51" i="3"/>
  <c r="Q51" i="3"/>
  <c r="R51" i="3"/>
  <c r="S51" i="3"/>
  <c r="T51" i="3"/>
  <c r="U51" i="3"/>
  <c r="V51" i="3"/>
  <c r="D52" i="3"/>
  <c r="H52" i="3"/>
  <c r="I52" i="3"/>
  <c r="J52" i="3"/>
  <c r="K52" i="3"/>
  <c r="L52" i="3"/>
  <c r="M52" i="3"/>
  <c r="N52" i="3"/>
  <c r="O52" i="3"/>
  <c r="P52" i="3"/>
  <c r="Q52" i="3"/>
  <c r="R52" i="3"/>
  <c r="S52" i="3"/>
  <c r="T52" i="3"/>
  <c r="U52" i="3"/>
  <c r="V52" i="3"/>
  <c r="D53" i="3"/>
  <c r="H53" i="3"/>
  <c r="I53" i="3"/>
  <c r="J53" i="3"/>
  <c r="K53" i="3"/>
  <c r="L53" i="3"/>
  <c r="M53" i="3"/>
  <c r="N53" i="3"/>
  <c r="O53" i="3"/>
  <c r="P53" i="3"/>
  <c r="Q53" i="3"/>
  <c r="R53" i="3"/>
  <c r="S53" i="3"/>
  <c r="T53" i="3"/>
  <c r="U53" i="3"/>
  <c r="V53" i="3"/>
  <c r="F54" i="3"/>
  <c r="G54" i="3"/>
  <c r="H54" i="3"/>
  <c r="I54" i="3"/>
  <c r="J54" i="3"/>
  <c r="K54" i="3"/>
  <c r="L54" i="3"/>
  <c r="M54" i="3"/>
  <c r="N54" i="3"/>
  <c r="O54" i="3"/>
  <c r="P54" i="3"/>
  <c r="Q54" i="3"/>
  <c r="R54" i="3"/>
  <c r="S54" i="3"/>
  <c r="T54" i="3"/>
  <c r="U54" i="3"/>
  <c r="V54" i="3"/>
  <c r="I69" i="3"/>
  <c r="J69" i="3"/>
  <c r="K69" i="3"/>
  <c r="L69" i="3"/>
  <c r="M69" i="3"/>
  <c r="N69" i="3"/>
  <c r="O69" i="3"/>
  <c r="P69" i="3"/>
  <c r="Q69" i="3"/>
  <c r="R69" i="3"/>
  <c r="S69" i="3"/>
  <c r="T69" i="3"/>
  <c r="U69" i="3"/>
  <c r="V69" i="3"/>
  <c r="W69" i="3"/>
  <c r="X69" i="3"/>
  <c r="Y69" i="3"/>
  <c r="Z69" i="3"/>
  <c r="AA69" i="3"/>
  <c r="AB69" i="3"/>
  <c r="AC69" i="3"/>
  <c r="AD69" i="3"/>
  <c r="AE69" i="3"/>
  <c r="AF69" i="3"/>
  <c r="D70" i="3"/>
  <c r="H70" i="3"/>
  <c r="I70" i="3"/>
  <c r="J70" i="3"/>
  <c r="K70" i="3"/>
  <c r="L70" i="3"/>
  <c r="M70" i="3"/>
  <c r="N70" i="3"/>
  <c r="O70" i="3"/>
  <c r="P70" i="3"/>
  <c r="Q70" i="3"/>
  <c r="R70" i="3"/>
  <c r="S70" i="3"/>
  <c r="T70" i="3"/>
  <c r="U70" i="3"/>
  <c r="V70" i="3"/>
  <c r="W70" i="3"/>
  <c r="X70" i="3"/>
  <c r="Y70" i="3"/>
  <c r="Z70" i="3"/>
  <c r="AA70" i="3"/>
  <c r="AB70" i="3"/>
  <c r="AC70" i="3"/>
  <c r="AD70" i="3"/>
  <c r="AE70" i="3"/>
  <c r="AF70" i="3"/>
  <c r="D71" i="3"/>
  <c r="H71" i="3"/>
  <c r="I71" i="3"/>
  <c r="J71" i="3"/>
  <c r="K71" i="3"/>
  <c r="L71" i="3"/>
  <c r="M71" i="3"/>
  <c r="N71" i="3"/>
  <c r="O71" i="3"/>
  <c r="P71" i="3"/>
  <c r="Q71" i="3"/>
  <c r="R71" i="3"/>
  <c r="S71" i="3"/>
  <c r="T71" i="3"/>
  <c r="U71" i="3"/>
  <c r="V71" i="3"/>
  <c r="W71" i="3"/>
  <c r="X71" i="3"/>
  <c r="Y71" i="3"/>
  <c r="Z71" i="3"/>
  <c r="AA71" i="3"/>
  <c r="AB71" i="3"/>
  <c r="AC71" i="3"/>
  <c r="AD71" i="3"/>
  <c r="AE71" i="3"/>
  <c r="AF71" i="3"/>
  <c r="D72" i="3"/>
  <c r="I72" i="3"/>
  <c r="J72" i="3"/>
  <c r="K72" i="3"/>
  <c r="L72" i="3"/>
  <c r="M72" i="3"/>
  <c r="N72" i="3"/>
  <c r="O72" i="3"/>
  <c r="P72" i="3"/>
  <c r="Q72" i="3"/>
  <c r="R72" i="3"/>
  <c r="S72" i="3"/>
  <c r="T72" i="3"/>
  <c r="U72" i="3"/>
  <c r="V72" i="3"/>
  <c r="W72" i="3"/>
  <c r="X72" i="3"/>
  <c r="Y72" i="3"/>
  <c r="Z72" i="3"/>
  <c r="AA72" i="3"/>
  <c r="AB72" i="3"/>
  <c r="AC72" i="3"/>
  <c r="AD72" i="3"/>
  <c r="AE72" i="3"/>
  <c r="AF72" i="3"/>
  <c r="D73" i="3"/>
  <c r="H73" i="3"/>
  <c r="I73" i="3"/>
  <c r="J73" i="3"/>
  <c r="K73" i="3"/>
  <c r="L73" i="3"/>
  <c r="M73" i="3"/>
  <c r="N73" i="3"/>
  <c r="O73" i="3"/>
  <c r="P73" i="3"/>
  <c r="Q73" i="3"/>
  <c r="R73" i="3"/>
  <c r="S73" i="3"/>
  <c r="T73" i="3"/>
  <c r="U73" i="3"/>
  <c r="V73" i="3"/>
  <c r="W73" i="3"/>
  <c r="X73" i="3"/>
  <c r="Y73" i="3"/>
  <c r="Z73" i="3"/>
  <c r="AA73" i="3"/>
  <c r="AB73" i="3"/>
  <c r="AC73" i="3"/>
  <c r="AD73" i="3"/>
  <c r="AE73" i="3"/>
  <c r="AF73" i="3"/>
  <c r="D74" i="3"/>
  <c r="H74" i="3"/>
  <c r="I74" i="3"/>
  <c r="J74" i="3"/>
  <c r="K74" i="3"/>
  <c r="L74" i="3"/>
  <c r="M74" i="3"/>
  <c r="N74" i="3"/>
  <c r="O74" i="3"/>
  <c r="P74" i="3"/>
  <c r="Q74" i="3"/>
  <c r="R74" i="3"/>
  <c r="S74" i="3"/>
  <c r="T74" i="3"/>
  <c r="U74" i="3"/>
  <c r="V74" i="3"/>
  <c r="W74" i="3"/>
  <c r="X74" i="3"/>
  <c r="Y74" i="3"/>
  <c r="Z74" i="3"/>
  <c r="AA74" i="3"/>
  <c r="AB74" i="3"/>
  <c r="AC74" i="3"/>
  <c r="AD74" i="3"/>
  <c r="AE74" i="3"/>
  <c r="AF74" i="3"/>
  <c r="G79" i="3"/>
  <c r="H79" i="3"/>
  <c r="I79" i="3"/>
  <c r="J79" i="3"/>
  <c r="K79" i="3"/>
  <c r="L79" i="3"/>
  <c r="M79" i="3"/>
  <c r="N79" i="3"/>
  <c r="O79" i="3"/>
  <c r="P79" i="3"/>
  <c r="Q79" i="3"/>
  <c r="R79" i="3"/>
  <c r="S79" i="3"/>
  <c r="T79" i="3"/>
  <c r="U79" i="3"/>
  <c r="V79" i="3"/>
  <c r="W79" i="3"/>
  <c r="X79" i="3"/>
  <c r="Y79" i="3"/>
  <c r="Z79" i="3"/>
  <c r="AA79" i="3"/>
  <c r="AB79" i="3"/>
  <c r="AC79" i="3"/>
  <c r="AD79" i="3"/>
  <c r="AE79" i="3"/>
  <c r="AF79" i="3"/>
  <c r="D80" i="3"/>
  <c r="F80" i="3"/>
  <c r="H80" i="3"/>
  <c r="I80" i="3"/>
  <c r="J80" i="3"/>
  <c r="K80" i="3"/>
  <c r="L80" i="3"/>
  <c r="M80" i="3"/>
  <c r="N80" i="3"/>
  <c r="O80" i="3"/>
  <c r="P80" i="3"/>
  <c r="Q80" i="3"/>
  <c r="R80" i="3"/>
  <c r="S80" i="3"/>
  <c r="T80" i="3"/>
  <c r="U80" i="3"/>
  <c r="V80" i="3"/>
  <c r="W80" i="3"/>
  <c r="X80" i="3"/>
  <c r="Y80" i="3"/>
  <c r="Z80" i="3"/>
  <c r="AA80" i="3"/>
  <c r="AB80" i="3"/>
  <c r="AC80" i="3"/>
  <c r="AD80" i="3"/>
  <c r="AE80" i="3"/>
  <c r="AF80" i="3"/>
  <c r="D81" i="3"/>
  <c r="H81" i="3"/>
  <c r="I81" i="3"/>
  <c r="J81" i="3"/>
  <c r="K81" i="3"/>
  <c r="L81" i="3"/>
  <c r="M81" i="3"/>
  <c r="N81" i="3"/>
  <c r="O81" i="3"/>
  <c r="P81" i="3"/>
  <c r="Q81" i="3"/>
  <c r="R81" i="3"/>
  <c r="S81" i="3"/>
  <c r="T81" i="3"/>
  <c r="U81" i="3"/>
  <c r="V81" i="3"/>
  <c r="W81" i="3"/>
  <c r="X81" i="3"/>
  <c r="Y81" i="3"/>
  <c r="Z81" i="3"/>
  <c r="AA81" i="3"/>
  <c r="AB81" i="3"/>
  <c r="AC81" i="3"/>
  <c r="AD81" i="3"/>
  <c r="AE81" i="3"/>
  <c r="AF81" i="3"/>
  <c r="D82" i="3"/>
  <c r="H82" i="3"/>
  <c r="I82" i="3"/>
  <c r="J82" i="3"/>
  <c r="K82" i="3"/>
  <c r="L82" i="3"/>
  <c r="M82" i="3"/>
  <c r="N82" i="3"/>
  <c r="O82" i="3"/>
  <c r="P82" i="3"/>
  <c r="Q82" i="3"/>
  <c r="R82" i="3"/>
  <c r="S82" i="3"/>
  <c r="T82" i="3"/>
  <c r="U82" i="3"/>
  <c r="V82" i="3"/>
  <c r="W82" i="3"/>
  <c r="X82" i="3"/>
  <c r="Y82" i="3"/>
  <c r="Z82" i="3"/>
  <c r="AA82" i="3"/>
  <c r="AB82" i="3"/>
  <c r="AC82" i="3"/>
  <c r="AD82" i="3"/>
  <c r="AE82" i="3"/>
  <c r="AF82" i="3"/>
  <c r="D83" i="3"/>
  <c r="H83" i="3"/>
  <c r="I83" i="3"/>
  <c r="J83" i="3"/>
  <c r="K83" i="3"/>
  <c r="L83" i="3"/>
  <c r="M83" i="3"/>
  <c r="N83" i="3"/>
  <c r="O83" i="3"/>
  <c r="P83" i="3"/>
  <c r="Q83" i="3"/>
  <c r="R83" i="3"/>
  <c r="S83" i="3"/>
  <c r="T83" i="3"/>
  <c r="U83" i="3"/>
  <c r="V83" i="3"/>
  <c r="W83" i="3"/>
  <c r="X83" i="3"/>
  <c r="Y83" i="3"/>
  <c r="Z83" i="3"/>
  <c r="AA83" i="3"/>
  <c r="AB83" i="3"/>
  <c r="AC83" i="3"/>
  <c r="AD83" i="3"/>
  <c r="AE83" i="3"/>
  <c r="AF83" i="3"/>
  <c r="D84" i="3"/>
  <c r="F84" i="3"/>
  <c r="G84" i="3"/>
  <c r="H84" i="3"/>
  <c r="I84" i="3"/>
  <c r="J84" i="3"/>
  <c r="K84" i="3"/>
  <c r="L84" i="3"/>
  <c r="M84" i="3"/>
  <c r="N84" i="3"/>
  <c r="O84" i="3"/>
  <c r="P84" i="3"/>
  <c r="Q84" i="3"/>
  <c r="R84" i="3"/>
  <c r="S84" i="3"/>
  <c r="T84" i="3"/>
  <c r="U84" i="3"/>
  <c r="V84" i="3"/>
  <c r="W84" i="3"/>
  <c r="X84" i="3"/>
  <c r="Y84" i="3"/>
  <c r="Z84" i="3"/>
  <c r="AA84" i="3"/>
  <c r="AB84" i="3"/>
  <c r="AC84" i="3"/>
  <c r="AD84" i="3"/>
  <c r="AE84" i="3"/>
  <c r="AF84" i="3"/>
  <c r="G89" i="3"/>
  <c r="H89" i="3"/>
  <c r="I89" i="3"/>
  <c r="J89" i="3"/>
  <c r="K89" i="3"/>
  <c r="L89" i="3"/>
  <c r="M89" i="3"/>
  <c r="N89" i="3"/>
  <c r="O89" i="3"/>
  <c r="P89" i="3"/>
  <c r="Q89" i="3"/>
  <c r="R89" i="3"/>
  <c r="S89" i="3"/>
  <c r="T89" i="3"/>
  <c r="U89" i="3"/>
  <c r="V89" i="3"/>
  <c r="W89" i="3"/>
  <c r="X89" i="3"/>
  <c r="Y89" i="3"/>
  <c r="Z89" i="3"/>
  <c r="AA89" i="3"/>
  <c r="AB89" i="3"/>
  <c r="AC89" i="3"/>
  <c r="AD89" i="3"/>
  <c r="AE89" i="3"/>
  <c r="AF89" i="3"/>
  <c r="D90" i="3"/>
  <c r="F90" i="3"/>
  <c r="H90" i="3"/>
  <c r="I90" i="3"/>
  <c r="J90" i="3"/>
  <c r="K90" i="3"/>
  <c r="L90" i="3"/>
  <c r="M90" i="3"/>
  <c r="N90" i="3"/>
  <c r="O90" i="3"/>
  <c r="P90" i="3"/>
  <c r="Q90" i="3"/>
  <c r="R90" i="3"/>
  <c r="S90" i="3"/>
  <c r="T90" i="3"/>
  <c r="U90" i="3"/>
  <c r="V90" i="3"/>
  <c r="W90" i="3"/>
  <c r="X90" i="3"/>
  <c r="Y90" i="3"/>
  <c r="Z90" i="3"/>
  <c r="AA90" i="3"/>
  <c r="AB90" i="3"/>
  <c r="AC90" i="3"/>
  <c r="AD90" i="3"/>
  <c r="AE90" i="3"/>
  <c r="AF90" i="3"/>
  <c r="D91" i="3"/>
  <c r="H91" i="3"/>
  <c r="I91" i="3"/>
  <c r="J91" i="3"/>
  <c r="K91" i="3"/>
  <c r="L91" i="3"/>
  <c r="M91" i="3"/>
  <c r="N91" i="3"/>
  <c r="O91" i="3"/>
  <c r="P91" i="3"/>
  <c r="Q91" i="3"/>
  <c r="R91" i="3"/>
  <c r="S91" i="3"/>
  <c r="T91" i="3"/>
  <c r="U91" i="3"/>
  <c r="V91" i="3"/>
  <c r="W91" i="3"/>
  <c r="X91" i="3"/>
  <c r="Y91" i="3"/>
  <c r="Z91" i="3"/>
  <c r="AA91" i="3"/>
  <c r="AB91" i="3"/>
  <c r="AC91" i="3"/>
  <c r="AD91" i="3"/>
  <c r="AE91" i="3"/>
  <c r="AF91" i="3"/>
  <c r="D92" i="3"/>
  <c r="H92" i="3"/>
  <c r="I92" i="3"/>
  <c r="J92" i="3"/>
  <c r="K92" i="3"/>
  <c r="L92" i="3"/>
  <c r="M92" i="3"/>
  <c r="N92" i="3"/>
  <c r="O92" i="3"/>
  <c r="P92" i="3"/>
  <c r="Q92" i="3"/>
  <c r="R92" i="3"/>
  <c r="S92" i="3"/>
  <c r="T92" i="3"/>
  <c r="U92" i="3"/>
  <c r="V92" i="3"/>
  <c r="W92" i="3"/>
  <c r="X92" i="3"/>
  <c r="Y92" i="3"/>
  <c r="Z92" i="3"/>
  <c r="AA92" i="3"/>
  <c r="AB92" i="3"/>
  <c r="AC92" i="3"/>
  <c r="AD92" i="3"/>
  <c r="AE92" i="3"/>
  <c r="AF92" i="3"/>
  <c r="D93" i="3"/>
  <c r="H93" i="3"/>
  <c r="I93" i="3"/>
  <c r="J93" i="3"/>
  <c r="K93" i="3"/>
  <c r="L93" i="3"/>
  <c r="M93" i="3"/>
  <c r="N93" i="3"/>
  <c r="O93" i="3"/>
  <c r="P93" i="3"/>
  <c r="Q93" i="3"/>
  <c r="R93" i="3"/>
  <c r="S93" i="3"/>
  <c r="T93" i="3"/>
  <c r="U93" i="3"/>
  <c r="V93" i="3"/>
  <c r="W93" i="3"/>
  <c r="X93" i="3"/>
  <c r="Y93" i="3"/>
  <c r="Z93" i="3"/>
  <c r="AA93" i="3"/>
  <c r="AB93" i="3"/>
  <c r="AC93" i="3"/>
  <c r="AD93" i="3"/>
  <c r="AE93" i="3"/>
  <c r="AF93" i="3"/>
  <c r="D94" i="3"/>
  <c r="F94" i="3"/>
  <c r="G94" i="3"/>
  <c r="H94" i="3"/>
  <c r="I94" i="3"/>
  <c r="J94" i="3"/>
  <c r="K94" i="3"/>
  <c r="L94" i="3"/>
  <c r="M94" i="3"/>
  <c r="N94" i="3"/>
  <c r="O94" i="3"/>
  <c r="P94" i="3"/>
  <c r="Q94" i="3"/>
  <c r="R94" i="3"/>
  <c r="S94" i="3"/>
  <c r="T94" i="3"/>
  <c r="U94" i="3"/>
  <c r="V94" i="3"/>
  <c r="W94" i="3"/>
  <c r="X94" i="3"/>
  <c r="Y94" i="3"/>
  <c r="Z94" i="3"/>
  <c r="AA94" i="3"/>
  <c r="AB94" i="3"/>
  <c r="AC94" i="3"/>
  <c r="AD94" i="3"/>
  <c r="AE94" i="3"/>
  <c r="AF94" i="3"/>
  <c r="D2" i="4"/>
  <c r="D4" i="4"/>
  <c r="H13" i="4"/>
  <c r="F27" i="4"/>
  <c r="H27" i="4"/>
  <c r="I27" i="4"/>
  <c r="J27" i="4"/>
  <c r="K27" i="4"/>
  <c r="L27" i="4"/>
  <c r="M27" i="4"/>
  <c r="N27" i="4"/>
  <c r="O27" i="4"/>
  <c r="P27" i="4"/>
  <c r="Q27" i="4"/>
  <c r="R27" i="4"/>
  <c r="S27" i="4"/>
  <c r="T27" i="4"/>
  <c r="U27" i="4"/>
  <c r="V27" i="4"/>
  <c r="W27" i="4"/>
  <c r="X27" i="4"/>
  <c r="Y27" i="4"/>
  <c r="Z27" i="4"/>
  <c r="AA27" i="4"/>
  <c r="AB27" i="4"/>
  <c r="AC27" i="4"/>
  <c r="AD27" i="4"/>
  <c r="AE27" i="4"/>
  <c r="AF27" i="4"/>
  <c r="D28" i="4"/>
  <c r="H28" i="4"/>
  <c r="I28" i="4"/>
  <c r="J28" i="4"/>
  <c r="K28" i="4"/>
  <c r="L28" i="4"/>
  <c r="M28" i="4"/>
  <c r="N28" i="4"/>
  <c r="O28" i="4"/>
  <c r="P28" i="4"/>
  <c r="Q28" i="4"/>
  <c r="R28" i="4"/>
  <c r="S28" i="4"/>
  <c r="T28" i="4"/>
  <c r="U28" i="4"/>
  <c r="V28" i="4"/>
  <c r="W28" i="4"/>
  <c r="X28" i="4"/>
  <c r="Y28" i="4"/>
  <c r="Z28" i="4"/>
  <c r="AA28" i="4"/>
  <c r="D39" i="4"/>
  <c r="H39" i="4"/>
  <c r="I39" i="4"/>
  <c r="J39" i="4"/>
  <c r="K39" i="4"/>
  <c r="L39" i="4"/>
  <c r="M39" i="4"/>
  <c r="N39" i="4"/>
  <c r="O39" i="4"/>
  <c r="P39" i="4"/>
  <c r="Q39" i="4"/>
  <c r="R39" i="4"/>
  <c r="S39" i="4"/>
  <c r="T39" i="4"/>
  <c r="U39" i="4"/>
  <c r="V39" i="4"/>
  <c r="W39" i="4"/>
  <c r="X39" i="4"/>
  <c r="Y39" i="4"/>
  <c r="Z39" i="4"/>
  <c r="AA39" i="4"/>
  <c r="D45" i="4"/>
  <c r="D47" i="4"/>
  <c r="F55" i="4"/>
  <c r="H55" i="4"/>
  <c r="I55" i="4"/>
  <c r="J55" i="4"/>
  <c r="K55" i="4"/>
  <c r="L55" i="4"/>
  <c r="M55" i="4"/>
  <c r="N55" i="4"/>
  <c r="O55" i="4"/>
  <c r="P55" i="4"/>
  <c r="Q55" i="4"/>
  <c r="R55" i="4"/>
  <c r="S55" i="4"/>
  <c r="T55" i="4"/>
  <c r="U55" i="4"/>
  <c r="V55" i="4"/>
  <c r="W55" i="4"/>
  <c r="X55" i="4"/>
  <c r="Y55" i="4"/>
  <c r="Z55" i="4"/>
  <c r="AA55" i="4"/>
  <c r="AB55" i="4"/>
  <c r="AC55" i="4"/>
  <c r="AD55" i="4"/>
  <c r="AE55" i="4"/>
  <c r="AF55" i="4"/>
  <c r="D56" i="4"/>
  <c r="H56" i="4"/>
  <c r="I56" i="4"/>
  <c r="J56" i="4"/>
  <c r="K56" i="4"/>
  <c r="L56" i="4"/>
  <c r="M56" i="4"/>
  <c r="N56" i="4"/>
  <c r="O56" i="4"/>
  <c r="P56" i="4"/>
  <c r="Q56" i="4"/>
  <c r="R56" i="4"/>
  <c r="S56" i="4"/>
  <c r="T56" i="4"/>
  <c r="U56" i="4"/>
  <c r="V56" i="4"/>
  <c r="W56" i="4"/>
  <c r="X56" i="4"/>
  <c r="Y56" i="4"/>
  <c r="Z56" i="4"/>
  <c r="AA56" i="4"/>
  <c r="D67" i="4"/>
  <c r="H67" i="4"/>
  <c r="I67" i="4"/>
  <c r="J67" i="4"/>
  <c r="K67" i="4"/>
  <c r="L67" i="4"/>
  <c r="M67" i="4"/>
  <c r="N67" i="4"/>
  <c r="O67" i="4"/>
  <c r="P67" i="4"/>
  <c r="Q67" i="4"/>
  <c r="R67" i="4"/>
  <c r="S67" i="4"/>
  <c r="T67" i="4"/>
  <c r="U67" i="4"/>
  <c r="V67" i="4"/>
  <c r="W67" i="4"/>
  <c r="X67" i="4"/>
  <c r="Y67" i="4"/>
  <c r="Z67" i="4"/>
  <c r="AA67" i="4"/>
  <c r="D5" i="6"/>
  <c r="H5" i="6"/>
  <c r="I5" i="6"/>
  <c r="J5" i="6"/>
  <c r="K5" i="6"/>
  <c r="L5" i="6"/>
  <c r="M5" i="6"/>
  <c r="N5" i="6"/>
  <c r="O5" i="6"/>
  <c r="P5" i="6"/>
  <c r="Q5" i="6"/>
  <c r="R5" i="6"/>
  <c r="S5" i="6"/>
  <c r="T5" i="6"/>
  <c r="U5" i="6"/>
  <c r="V5" i="6"/>
  <c r="W5" i="6"/>
  <c r="X5" i="6"/>
  <c r="Y5" i="6"/>
  <c r="Z5" i="6"/>
  <c r="AA5" i="6"/>
  <c r="AB5" i="6"/>
  <c r="AC5" i="6"/>
  <c r="AD5" i="6"/>
  <c r="AE5" i="6"/>
  <c r="AF5" i="6"/>
  <c r="D6" i="6"/>
  <c r="H6" i="6"/>
  <c r="I6" i="6"/>
  <c r="J6" i="6"/>
  <c r="K6" i="6"/>
  <c r="L6" i="6"/>
  <c r="M6" i="6"/>
  <c r="N6" i="6"/>
  <c r="O6" i="6"/>
  <c r="P6" i="6"/>
  <c r="Q6" i="6"/>
  <c r="R6" i="6"/>
  <c r="S6" i="6"/>
  <c r="T6" i="6"/>
  <c r="U6" i="6"/>
  <c r="V6" i="6"/>
  <c r="W6" i="6"/>
  <c r="X6" i="6"/>
  <c r="Y6" i="6"/>
  <c r="Z6" i="6"/>
  <c r="AA6" i="6"/>
  <c r="D11" i="6"/>
  <c r="H11" i="6"/>
  <c r="I11" i="6"/>
  <c r="J11" i="6"/>
  <c r="K11" i="6"/>
  <c r="L11" i="6"/>
  <c r="M11" i="6"/>
  <c r="N11" i="6"/>
  <c r="O11" i="6"/>
  <c r="P11" i="6"/>
  <c r="Q11" i="6"/>
  <c r="R11" i="6"/>
  <c r="S11" i="6"/>
  <c r="T11" i="6"/>
  <c r="U11" i="6"/>
  <c r="V11" i="6"/>
  <c r="W11" i="6"/>
  <c r="X11" i="6"/>
  <c r="Y11" i="6"/>
  <c r="Z11" i="6"/>
  <c r="AA11" i="6"/>
  <c r="D16" i="6"/>
  <c r="H16" i="6"/>
  <c r="I16" i="6"/>
  <c r="J16" i="6"/>
  <c r="K16" i="6"/>
  <c r="L16" i="6"/>
  <c r="M16" i="6"/>
  <c r="N16" i="6"/>
  <c r="O16" i="6"/>
  <c r="P16" i="6"/>
  <c r="Q16" i="6"/>
  <c r="R16" i="6"/>
  <c r="S16" i="6"/>
  <c r="T16" i="6"/>
  <c r="U16" i="6"/>
  <c r="V16" i="6"/>
  <c r="W16" i="6"/>
  <c r="X16" i="6"/>
  <c r="Y16" i="6"/>
  <c r="Z16" i="6"/>
  <c r="AA16" i="6"/>
  <c r="AB16" i="6"/>
  <c r="AC16" i="6"/>
  <c r="AD16" i="6"/>
  <c r="AE16" i="6"/>
  <c r="AF16" i="6"/>
  <c r="D17" i="6"/>
  <c r="H17" i="6"/>
  <c r="I17" i="6"/>
  <c r="J17" i="6"/>
  <c r="K17" i="6"/>
  <c r="L17" i="6"/>
  <c r="M17" i="6"/>
  <c r="N17" i="6"/>
  <c r="O17" i="6"/>
  <c r="P17" i="6"/>
  <c r="Q17" i="6"/>
  <c r="R17" i="6"/>
  <c r="S17" i="6"/>
  <c r="T17" i="6"/>
  <c r="U17" i="6"/>
  <c r="V17" i="6"/>
  <c r="W17" i="6"/>
  <c r="X17" i="6"/>
  <c r="Y17" i="6"/>
  <c r="Z17" i="6"/>
  <c r="AA17" i="6"/>
  <c r="AB17" i="6"/>
  <c r="AC17" i="6"/>
  <c r="AD17" i="6"/>
  <c r="AE17" i="6"/>
  <c r="AF17" i="6"/>
  <c r="D18" i="6"/>
  <c r="AF18" i="6"/>
  <c r="D20" i="6"/>
  <c r="H20" i="6"/>
  <c r="I20" i="6"/>
  <c r="J20" i="6"/>
  <c r="K20" i="6"/>
  <c r="L20" i="6"/>
  <c r="M20" i="6"/>
  <c r="N20" i="6"/>
  <c r="O20" i="6"/>
  <c r="P20" i="6"/>
  <c r="Q20" i="6"/>
  <c r="R20" i="6"/>
  <c r="S20" i="6"/>
  <c r="T20" i="6"/>
  <c r="U20" i="6"/>
  <c r="V20" i="6"/>
  <c r="W20" i="6"/>
  <c r="X20" i="6"/>
  <c r="Y20" i="6"/>
  <c r="Z20" i="6"/>
  <c r="AA20" i="6"/>
  <c r="AB20" i="6"/>
  <c r="AC20" i="6"/>
  <c r="AD20" i="6"/>
  <c r="AE20" i="6"/>
  <c r="AF20" i="6"/>
  <c r="D21" i="6"/>
  <c r="H21" i="6"/>
  <c r="I21" i="6"/>
  <c r="J21" i="6"/>
  <c r="K21" i="6"/>
  <c r="L21" i="6"/>
  <c r="M21" i="6"/>
  <c r="N21" i="6"/>
  <c r="O21" i="6"/>
  <c r="P21" i="6"/>
  <c r="Q21" i="6"/>
  <c r="R21" i="6"/>
  <c r="S21" i="6"/>
  <c r="T21" i="6"/>
  <c r="U21" i="6"/>
  <c r="V21" i="6"/>
  <c r="D23" i="6"/>
  <c r="H23" i="6"/>
  <c r="I23" i="6"/>
  <c r="J23" i="6"/>
  <c r="K23" i="6"/>
  <c r="L23" i="6"/>
  <c r="M23" i="6"/>
  <c r="N23" i="6"/>
  <c r="O23" i="6"/>
  <c r="P23" i="6"/>
  <c r="Q23" i="6"/>
  <c r="R23" i="6"/>
  <c r="S23" i="6"/>
  <c r="T23" i="6"/>
  <c r="U23" i="6"/>
  <c r="V23" i="6"/>
  <c r="W23" i="6"/>
  <c r="X23" i="6"/>
  <c r="Y23" i="6"/>
  <c r="Z23" i="6"/>
  <c r="AA23" i="6"/>
  <c r="AB23" i="6"/>
  <c r="AC23" i="6"/>
  <c r="AD23" i="6"/>
  <c r="AE23" i="6"/>
  <c r="AF23" i="6"/>
  <c r="D29" i="6"/>
  <c r="H29" i="6"/>
  <c r="I29" i="6"/>
  <c r="J29" i="6"/>
  <c r="K29" i="6"/>
  <c r="L29" i="6"/>
  <c r="M29" i="6"/>
  <c r="N29" i="6"/>
  <c r="O29" i="6"/>
  <c r="P29" i="6"/>
  <c r="Q29" i="6"/>
  <c r="R29" i="6"/>
  <c r="S29" i="6"/>
  <c r="T29" i="6"/>
  <c r="U29" i="6"/>
  <c r="V29" i="6"/>
  <c r="W29" i="6"/>
  <c r="X29" i="6"/>
  <c r="Y29" i="6"/>
  <c r="Z29" i="6"/>
  <c r="AA29" i="6"/>
  <c r="AB29" i="6"/>
  <c r="AC29" i="6"/>
  <c r="AD29" i="6"/>
  <c r="AE29" i="6"/>
  <c r="AF29" i="6"/>
  <c r="D30" i="6"/>
  <c r="H30" i="6"/>
  <c r="I30" i="6"/>
  <c r="J30" i="6"/>
  <c r="K30" i="6"/>
  <c r="L30" i="6"/>
  <c r="M30" i="6"/>
  <c r="N30" i="6"/>
  <c r="O30" i="6"/>
  <c r="P30" i="6"/>
  <c r="Q30" i="6"/>
  <c r="R30" i="6"/>
  <c r="S30" i="6"/>
  <c r="T30" i="6"/>
  <c r="U30" i="6"/>
  <c r="V30" i="6"/>
  <c r="W30" i="6"/>
  <c r="X30" i="6"/>
  <c r="Y30" i="6"/>
  <c r="Z30" i="6"/>
  <c r="AA30" i="6"/>
  <c r="D35" i="6"/>
  <c r="H35" i="6"/>
  <c r="I35" i="6"/>
  <c r="J35" i="6"/>
  <c r="K35" i="6"/>
  <c r="L35" i="6"/>
  <c r="M35" i="6"/>
  <c r="N35" i="6"/>
  <c r="O35" i="6"/>
  <c r="P35" i="6"/>
  <c r="Q35" i="6"/>
  <c r="R35" i="6"/>
  <c r="S35" i="6"/>
  <c r="T35" i="6"/>
  <c r="U35" i="6"/>
  <c r="V35" i="6"/>
  <c r="W35" i="6"/>
  <c r="X35" i="6"/>
  <c r="Y35" i="6"/>
  <c r="Z35" i="6"/>
  <c r="AA35" i="6"/>
  <c r="D40" i="6"/>
  <c r="H40" i="6"/>
  <c r="I40" i="6"/>
  <c r="J40" i="6"/>
  <c r="K40" i="6"/>
  <c r="L40" i="6"/>
  <c r="M40" i="6"/>
  <c r="N40" i="6"/>
  <c r="O40" i="6"/>
  <c r="P40" i="6"/>
  <c r="Q40" i="6"/>
  <c r="R40" i="6"/>
  <c r="S40" i="6"/>
  <c r="T40" i="6"/>
  <c r="U40" i="6"/>
  <c r="V40" i="6"/>
  <c r="W40" i="6"/>
  <c r="X40" i="6"/>
  <c r="Y40" i="6"/>
  <c r="Z40" i="6"/>
  <c r="AA40" i="6"/>
  <c r="AB40" i="6"/>
  <c r="AC40" i="6"/>
  <c r="AD40" i="6"/>
  <c r="AE40" i="6"/>
  <c r="AF40" i="6"/>
  <c r="D41" i="6"/>
  <c r="H41" i="6"/>
  <c r="I41" i="6"/>
  <c r="J41" i="6"/>
  <c r="K41" i="6"/>
  <c r="L41" i="6"/>
  <c r="M41" i="6"/>
  <c r="N41" i="6"/>
  <c r="O41" i="6"/>
  <c r="P41" i="6"/>
  <c r="Q41" i="6"/>
  <c r="R41" i="6"/>
  <c r="S41" i="6"/>
  <c r="T41" i="6"/>
  <c r="U41" i="6"/>
  <c r="V41" i="6"/>
  <c r="W41" i="6"/>
  <c r="X41" i="6"/>
  <c r="Y41" i="6"/>
  <c r="Z41" i="6"/>
  <c r="AA41" i="6"/>
  <c r="AB41" i="6"/>
  <c r="AC41" i="6"/>
  <c r="AD41" i="6"/>
  <c r="AE41" i="6"/>
  <c r="AF41" i="6"/>
  <c r="D42" i="6"/>
  <c r="AF42" i="6"/>
  <c r="D48" i="6"/>
  <c r="H48" i="6"/>
  <c r="I48" i="6"/>
  <c r="J48" i="6"/>
  <c r="K48" i="6"/>
  <c r="L48" i="6"/>
  <c r="M48" i="6"/>
  <c r="N48" i="6"/>
  <c r="O48" i="6"/>
  <c r="P48" i="6"/>
  <c r="Q48" i="6"/>
  <c r="R48" i="6"/>
  <c r="S48" i="6"/>
  <c r="T48" i="6"/>
  <c r="U48" i="6"/>
  <c r="V48" i="6"/>
  <c r="W48" i="6"/>
  <c r="X48" i="6"/>
  <c r="Y48" i="6"/>
  <c r="Z48" i="6"/>
  <c r="AA48" i="6"/>
  <c r="AB48" i="6"/>
  <c r="AC48" i="6"/>
  <c r="AD48" i="6"/>
  <c r="AE48" i="6"/>
  <c r="AF48" i="6"/>
  <c r="D58" i="6"/>
  <c r="H58" i="6"/>
  <c r="I58" i="6"/>
  <c r="J58" i="6"/>
  <c r="K58" i="6"/>
  <c r="L58" i="6"/>
  <c r="M58" i="6"/>
  <c r="N58" i="6"/>
  <c r="O58" i="6"/>
  <c r="P58" i="6"/>
  <c r="Q58" i="6"/>
  <c r="R58" i="6"/>
  <c r="S58" i="6"/>
  <c r="T58" i="6"/>
  <c r="U58" i="6"/>
  <c r="V58" i="6"/>
  <c r="W58" i="6"/>
  <c r="X58" i="6"/>
  <c r="Y58" i="6"/>
  <c r="Z58" i="6"/>
  <c r="AA58" i="6"/>
  <c r="AB58" i="6"/>
  <c r="AC58" i="6"/>
  <c r="AD58" i="6"/>
  <c r="AE58" i="6"/>
  <c r="AF58" i="6"/>
  <c r="D59" i="6"/>
  <c r="H59" i="6"/>
  <c r="I59" i="6"/>
  <c r="J59" i="6"/>
  <c r="K59" i="6"/>
  <c r="L59" i="6"/>
  <c r="M59" i="6"/>
  <c r="N59" i="6"/>
  <c r="O59" i="6"/>
  <c r="P59" i="6"/>
  <c r="Q59" i="6"/>
  <c r="R59" i="6"/>
  <c r="S59" i="6"/>
  <c r="T59" i="6"/>
  <c r="U59" i="6"/>
  <c r="V59" i="6"/>
  <c r="W59" i="6"/>
  <c r="X59" i="6"/>
  <c r="Y59" i="6"/>
  <c r="Z59" i="6"/>
  <c r="AA59" i="6"/>
  <c r="AB59" i="6"/>
  <c r="AC59" i="6"/>
  <c r="AD59" i="6"/>
  <c r="AE59" i="6"/>
  <c r="AF59" i="6"/>
  <c r="D60" i="6"/>
  <c r="AF60" i="6"/>
  <c r="D17" i="7"/>
  <c r="H17" i="7"/>
  <c r="I17" i="7"/>
  <c r="J17" i="7"/>
  <c r="K17" i="7"/>
  <c r="L17" i="7"/>
  <c r="M17" i="7"/>
  <c r="N17" i="7"/>
  <c r="O17" i="7"/>
  <c r="P17" i="7"/>
  <c r="Q17" i="7"/>
  <c r="R17" i="7"/>
  <c r="S17" i="7"/>
  <c r="T17" i="7"/>
  <c r="U17" i="7"/>
  <c r="V17" i="7"/>
  <c r="W17" i="7"/>
  <c r="X17" i="7"/>
  <c r="Y17" i="7"/>
  <c r="Z17" i="7"/>
  <c r="AA17" i="7"/>
  <c r="AB17" i="7"/>
  <c r="AC17" i="7"/>
  <c r="AD17" i="7"/>
  <c r="AE17" i="7"/>
  <c r="AF17" i="7"/>
  <c r="D19" i="7"/>
  <c r="H19" i="7"/>
  <c r="I19" i="7"/>
  <c r="J19" i="7"/>
  <c r="K19" i="7"/>
  <c r="L19" i="7"/>
  <c r="M19" i="7"/>
  <c r="N19" i="7"/>
  <c r="O19" i="7"/>
  <c r="P19" i="7"/>
  <c r="Q19" i="7"/>
  <c r="R19" i="7"/>
  <c r="S19" i="7"/>
  <c r="T19" i="7"/>
  <c r="U19" i="7"/>
  <c r="V19" i="7"/>
  <c r="W19" i="7"/>
  <c r="X19" i="7"/>
  <c r="Y19" i="7"/>
  <c r="Z19" i="7"/>
  <c r="AA19" i="7"/>
  <c r="AB19" i="7"/>
  <c r="AC19" i="7"/>
  <c r="AD19" i="7"/>
  <c r="AE19" i="7"/>
  <c r="AF19" i="7"/>
  <c r="D22" i="7"/>
  <c r="H22" i="7"/>
  <c r="I22" i="7"/>
  <c r="J22" i="7"/>
  <c r="K22" i="7"/>
  <c r="L22" i="7"/>
  <c r="M22" i="7"/>
  <c r="N22" i="7"/>
  <c r="O22" i="7"/>
  <c r="P22" i="7"/>
  <c r="Q22" i="7"/>
  <c r="R22" i="7"/>
  <c r="S22" i="7"/>
  <c r="T22" i="7"/>
  <c r="U22" i="7"/>
  <c r="V22" i="7"/>
  <c r="W22" i="7"/>
  <c r="X22" i="7"/>
  <c r="Y22" i="7"/>
  <c r="Z22" i="7"/>
  <c r="AA22" i="7"/>
  <c r="AB22" i="7"/>
  <c r="AC22" i="7"/>
  <c r="AD22" i="7"/>
  <c r="AE22" i="7"/>
  <c r="AF22" i="7"/>
  <c r="D26" i="7"/>
  <c r="H26" i="7"/>
  <c r="I26" i="7"/>
  <c r="J26" i="7"/>
  <c r="K26" i="7"/>
  <c r="L26" i="7"/>
  <c r="M26" i="7"/>
  <c r="N26" i="7"/>
  <c r="O26" i="7"/>
  <c r="P26" i="7"/>
  <c r="Q26" i="7"/>
  <c r="R26" i="7"/>
  <c r="S26" i="7"/>
  <c r="T26" i="7"/>
  <c r="U26" i="7"/>
  <c r="V26" i="7"/>
  <c r="W26" i="7"/>
  <c r="X26" i="7"/>
  <c r="Y26" i="7"/>
  <c r="Z26" i="7"/>
  <c r="AA26" i="7"/>
  <c r="AB26" i="7"/>
  <c r="AC26" i="7"/>
  <c r="AD26" i="7"/>
  <c r="AE26" i="7"/>
  <c r="AF26" i="7"/>
  <c r="D28" i="7"/>
  <c r="H28" i="7"/>
  <c r="I28" i="7"/>
  <c r="J28" i="7"/>
  <c r="K28" i="7"/>
  <c r="L28" i="7"/>
  <c r="M28" i="7"/>
  <c r="N28" i="7"/>
  <c r="O28" i="7"/>
  <c r="P28" i="7"/>
  <c r="Q28" i="7"/>
  <c r="R28" i="7"/>
  <c r="S28" i="7"/>
  <c r="T28" i="7"/>
  <c r="U28" i="7"/>
  <c r="V28" i="7"/>
  <c r="W28" i="7"/>
  <c r="X28" i="7"/>
  <c r="Y28" i="7"/>
  <c r="Z28" i="7"/>
  <c r="AA28" i="7"/>
  <c r="AB28" i="7"/>
  <c r="AC28" i="7"/>
  <c r="AD28" i="7"/>
  <c r="AE28" i="7"/>
  <c r="AF28" i="7"/>
  <c r="D38" i="7"/>
  <c r="H38" i="7"/>
  <c r="I38" i="7"/>
  <c r="J38" i="7"/>
  <c r="K38" i="7"/>
  <c r="L38" i="7"/>
  <c r="M38" i="7"/>
  <c r="N38" i="7"/>
  <c r="O38" i="7"/>
  <c r="P38" i="7"/>
  <c r="Q38" i="7"/>
  <c r="R38" i="7"/>
  <c r="S38" i="7"/>
  <c r="T38" i="7"/>
  <c r="U38" i="7"/>
  <c r="V38" i="7"/>
  <c r="W38" i="7"/>
  <c r="X38" i="7"/>
  <c r="Y38" i="7"/>
  <c r="Z38" i="7"/>
  <c r="AA38" i="7"/>
  <c r="AB38" i="7"/>
  <c r="AC38" i="7"/>
  <c r="AD38" i="7"/>
  <c r="AE38" i="7"/>
  <c r="AF38" i="7"/>
  <c r="D39" i="7"/>
  <c r="H39" i="7"/>
  <c r="I39" i="7"/>
  <c r="J39" i="7"/>
  <c r="K39" i="7"/>
  <c r="L39" i="7"/>
  <c r="M39" i="7"/>
  <c r="N39" i="7"/>
  <c r="O39" i="7"/>
  <c r="P39" i="7"/>
  <c r="Q39" i="7"/>
  <c r="R39" i="7"/>
  <c r="S39" i="7"/>
  <c r="T39" i="7"/>
  <c r="U39" i="7"/>
  <c r="V39" i="7"/>
  <c r="W39" i="7"/>
  <c r="X39" i="7"/>
  <c r="Y39" i="7"/>
  <c r="Z39" i="7"/>
  <c r="AA39" i="7"/>
  <c r="AB39" i="7"/>
  <c r="AC39" i="7"/>
  <c r="AD39" i="7"/>
  <c r="AE39" i="7"/>
  <c r="AF39" i="7"/>
  <c r="D40" i="7"/>
  <c r="AF40" i="7"/>
  <c r="D44" i="7"/>
  <c r="H44" i="7"/>
  <c r="I44" i="7"/>
  <c r="J44" i="7"/>
  <c r="K44" i="7"/>
  <c r="L44" i="7"/>
  <c r="M44" i="7"/>
  <c r="N44" i="7"/>
  <c r="O44" i="7"/>
  <c r="P44" i="7"/>
  <c r="Q44" i="7"/>
  <c r="R44" i="7"/>
  <c r="S44" i="7"/>
  <c r="T44" i="7"/>
  <c r="U44" i="7"/>
  <c r="V44" i="7"/>
  <c r="W44" i="7"/>
  <c r="X44" i="7"/>
  <c r="Y44" i="7"/>
  <c r="Z44" i="7"/>
  <c r="AA44" i="7"/>
  <c r="AB44" i="7"/>
  <c r="AC44" i="7"/>
  <c r="AD44" i="7"/>
  <c r="AE44" i="7"/>
  <c r="AF44" i="7"/>
  <c r="H45" i="7"/>
  <c r="I45" i="7"/>
  <c r="J45" i="7"/>
  <c r="K45" i="7"/>
  <c r="L45" i="7"/>
  <c r="M45" i="7"/>
  <c r="N45" i="7"/>
  <c r="O45" i="7"/>
  <c r="P45" i="7"/>
  <c r="Q45" i="7"/>
  <c r="R45" i="7"/>
  <c r="S45" i="7"/>
  <c r="T45" i="7"/>
  <c r="U45" i="7"/>
  <c r="V45" i="7"/>
  <c r="W45" i="7"/>
  <c r="X45" i="7"/>
  <c r="Y45" i="7"/>
  <c r="Z45" i="7"/>
  <c r="AA45" i="7"/>
  <c r="AB45" i="7"/>
  <c r="AC45" i="7"/>
  <c r="AD45" i="7"/>
  <c r="AE45" i="7"/>
  <c r="AF45" i="7"/>
  <c r="D46" i="7"/>
  <c r="H46" i="7"/>
  <c r="I46" i="7"/>
  <c r="J46" i="7"/>
  <c r="K46" i="7"/>
  <c r="L46" i="7"/>
  <c r="M46" i="7"/>
  <c r="N46" i="7"/>
  <c r="O46" i="7"/>
  <c r="P46" i="7"/>
  <c r="Q46" i="7"/>
  <c r="R46" i="7"/>
  <c r="S46" i="7"/>
  <c r="T46" i="7"/>
  <c r="U46" i="7"/>
  <c r="V46" i="7"/>
  <c r="W46" i="7"/>
  <c r="X46" i="7"/>
  <c r="Y46" i="7"/>
  <c r="Z46" i="7"/>
  <c r="AA46" i="7"/>
  <c r="AB46" i="7"/>
  <c r="AC46" i="7"/>
  <c r="AD46" i="7"/>
  <c r="AE46" i="7"/>
  <c r="AF46" i="7"/>
  <c r="D47" i="7"/>
  <c r="H47" i="7"/>
  <c r="I47" i="7"/>
  <c r="J47" i="7"/>
  <c r="K47" i="7"/>
  <c r="L47" i="7"/>
  <c r="M47" i="7"/>
  <c r="N47" i="7"/>
  <c r="O47" i="7"/>
  <c r="P47" i="7"/>
  <c r="Q47" i="7"/>
  <c r="R47" i="7"/>
  <c r="S47" i="7"/>
  <c r="T47" i="7"/>
  <c r="U47" i="7"/>
  <c r="V47" i="7"/>
  <c r="W47" i="7"/>
  <c r="X47" i="7"/>
  <c r="Y47" i="7"/>
  <c r="Z47" i="7"/>
  <c r="AA47" i="7"/>
  <c r="AB47" i="7"/>
  <c r="AC47" i="7"/>
  <c r="AD47" i="7"/>
  <c r="AE47" i="7"/>
  <c r="AF47" i="7"/>
  <c r="D48" i="7"/>
  <c r="H48" i="7"/>
  <c r="I48" i="7"/>
  <c r="J48" i="7"/>
  <c r="K48" i="7"/>
  <c r="L48" i="7"/>
  <c r="M48" i="7"/>
  <c r="N48" i="7"/>
  <c r="O48" i="7"/>
  <c r="P48" i="7"/>
  <c r="Q48" i="7"/>
  <c r="R48" i="7"/>
  <c r="S48" i="7"/>
  <c r="T48" i="7"/>
  <c r="U48" i="7"/>
  <c r="V48" i="7"/>
  <c r="W48" i="7"/>
  <c r="X48" i="7"/>
  <c r="Y48" i="7"/>
  <c r="Z48" i="7"/>
  <c r="AA48" i="7"/>
  <c r="AB48" i="7"/>
  <c r="AC48" i="7"/>
  <c r="AD48" i="7"/>
  <c r="AE48" i="7"/>
  <c r="AF48" i="7"/>
  <c r="D49" i="7"/>
  <c r="H49" i="7"/>
  <c r="I49" i="7"/>
  <c r="J49" i="7"/>
  <c r="K49" i="7"/>
  <c r="L49" i="7"/>
  <c r="M49" i="7"/>
  <c r="N49" i="7"/>
  <c r="O49" i="7"/>
  <c r="P49" i="7"/>
  <c r="Q49" i="7"/>
  <c r="R49" i="7"/>
  <c r="S49" i="7"/>
  <c r="T49" i="7"/>
  <c r="U49" i="7"/>
  <c r="V49" i="7"/>
  <c r="W49" i="7"/>
  <c r="X49" i="7"/>
  <c r="Y49" i="7"/>
  <c r="Z49" i="7"/>
  <c r="AA49" i="7"/>
  <c r="AB49" i="7"/>
  <c r="AC49" i="7"/>
  <c r="AD49" i="7"/>
  <c r="AE49" i="7"/>
  <c r="AF49" i="7"/>
  <c r="D8" i="8"/>
  <c r="H8" i="8"/>
  <c r="I8" i="8"/>
  <c r="J8" i="8"/>
  <c r="K8" i="8"/>
  <c r="L8" i="8"/>
  <c r="M8" i="8"/>
  <c r="N8" i="8"/>
  <c r="O8" i="8"/>
  <c r="P8" i="8"/>
  <c r="Q8" i="8"/>
  <c r="R8" i="8"/>
  <c r="S8" i="8"/>
  <c r="T8" i="8"/>
  <c r="U8" i="8"/>
  <c r="V8" i="8"/>
  <c r="W8" i="8"/>
  <c r="X8" i="8"/>
  <c r="Y8" i="8"/>
  <c r="Z8" i="8"/>
  <c r="AA8" i="8"/>
  <c r="AB8" i="8"/>
  <c r="AC8" i="8"/>
  <c r="AD8" i="8"/>
  <c r="AE8" i="8"/>
  <c r="AF8" i="8"/>
  <c r="D9" i="8"/>
  <c r="H9" i="8"/>
  <c r="I9" i="8"/>
  <c r="J9" i="8"/>
  <c r="K9" i="8"/>
  <c r="L9" i="8"/>
  <c r="M9" i="8"/>
  <c r="N9" i="8"/>
  <c r="O9" i="8"/>
  <c r="P9" i="8"/>
  <c r="Q9" i="8"/>
  <c r="R9" i="8"/>
  <c r="S9" i="8"/>
  <c r="T9" i="8"/>
  <c r="U9" i="8"/>
  <c r="V9" i="8"/>
  <c r="W9" i="8"/>
  <c r="X9" i="8"/>
  <c r="Y9" i="8"/>
  <c r="Z9" i="8"/>
  <c r="AA9" i="8"/>
  <c r="AB9" i="8"/>
  <c r="AC9" i="8"/>
  <c r="AD9" i="8"/>
  <c r="AE9" i="8"/>
  <c r="AF9" i="8"/>
  <c r="D10" i="8"/>
  <c r="H10" i="8"/>
  <c r="I10" i="8"/>
  <c r="J10" i="8"/>
  <c r="K10" i="8"/>
  <c r="L10" i="8"/>
  <c r="M10" i="8"/>
  <c r="N10" i="8"/>
  <c r="O10" i="8"/>
  <c r="P10" i="8"/>
  <c r="Q10" i="8"/>
  <c r="R10" i="8"/>
  <c r="S10" i="8"/>
  <c r="T10" i="8"/>
  <c r="U10" i="8"/>
  <c r="V10" i="8"/>
  <c r="W10" i="8"/>
  <c r="X10" i="8"/>
  <c r="Y10" i="8"/>
  <c r="Z10" i="8"/>
  <c r="AA10" i="8"/>
  <c r="AB10" i="8"/>
  <c r="AC10" i="8"/>
  <c r="AD10" i="8"/>
  <c r="AE10" i="8"/>
  <c r="AF10" i="8"/>
  <c r="D12" i="8"/>
  <c r="H12" i="8"/>
  <c r="I12" i="8"/>
  <c r="J12" i="8"/>
  <c r="K12" i="8"/>
  <c r="L12" i="8"/>
  <c r="M12" i="8"/>
  <c r="N12" i="8"/>
  <c r="O12" i="8"/>
  <c r="P12" i="8"/>
  <c r="Q12" i="8"/>
  <c r="R12" i="8"/>
  <c r="S12" i="8"/>
  <c r="T12" i="8"/>
  <c r="U12" i="8"/>
  <c r="V12" i="8"/>
  <c r="W12" i="8"/>
  <c r="X12" i="8"/>
  <c r="Y12" i="8"/>
  <c r="Z12" i="8"/>
  <c r="AA12" i="8"/>
  <c r="AB12" i="8"/>
  <c r="AC12" i="8"/>
  <c r="AD12" i="8"/>
  <c r="AE12" i="8"/>
  <c r="AF12" i="8"/>
  <c r="D14" i="8"/>
  <c r="H14" i="8"/>
  <c r="I14" i="8"/>
  <c r="J14" i="8"/>
  <c r="K14" i="8"/>
  <c r="L14" i="8"/>
  <c r="M14" i="8"/>
  <c r="N14" i="8"/>
  <c r="O14" i="8"/>
  <c r="P14" i="8"/>
  <c r="Q14" i="8"/>
  <c r="R14" i="8"/>
  <c r="S14" i="8"/>
  <c r="T14" i="8"/>
  <c r="U14" i="8"/>
  <c r="V14" i="8"/>
  <c r="W14" i="8"/>
  <c r="X14" i="8"/>
  <c r="Y14" i="8"/>
  <c r="Z14" i="8"/>
  <c r="AA14" i="8"/>
  <c r="AB14" i="8"/>
  <c r="AC14" i="8"/>
  <c r="AD14" i="8"/>
  <c r="AE14" i="8"/>
  <c r="AF14" i="8"/>
  <c r="D15" i="8"/>
  <c r="I15" i="8"/>
  <c r="J15" i="8"/>
  <c r="K15" i="8"/>
  <c r="L15" i="8"/>
  <c r="M15" i="8"/>
  <c r="N15" i="8"/>
  <c r="O15" i="8"/>
  <c r="P15" i="8"/>
  <c r="Q15" i="8"/>
  <c r="R15" i="8"/>
  <c r="S15" i="8"/>
  <c r="T15" i="8"/>
  <c r="U15" i="8"/>
  <c r="V15" i="8"/>
  <c r="W15" i="8"/>
  <c r="X15" i="8"/>
  <c r="Y15" i="8"/>
  <c r="Z15" i="8"/>
  <c r="AA15" i="8"/>
  <c r="AB15" i="8"/>
  <c r="AC15" i="8"/>
  <c r="AD15" i="8"/>
  <c r="AE15" i="8"/>
  <c r="AF15" i="8"/>
  <c r="I16" i="8"/>
  <c r="J16" i="8"/>
  <c r="K16" i="8"/>
  <c r="L16" i="8"/>
  <c r="M16" i="8"/>
  <c r="N16" i="8"/>
  <c r="O16" i="8"/>
  <c r="P16" i="8"/>
  <c r="Q16" i="8"/>
  <c r="R16" i="8"/>
  <c r="S16" i="8"/>
  <c r="T16" i="8"/>
  <c r="U16" i="8"/>
  <c r="V16" i="8"/>
  <c r="W16" i="8"/>
  <c r="X16" i="8"/>
  <c r="Y16" i="8"/>
  <c r="Z16" i="8"/>
  <c r="AA16" i="8"/>
  <c r="AB16" i="8"/>
  <c r="AC16" i="8"/>
  <c r="AD16" i="8"/>
  <c r="AE16" i="8"/>
  <c r="AF16" i="8"/>
  <c r="J17" i="8"/>
  <c r="K17" i="8"/>
  <c r="L17" i="8"/>
  <c r="M17" i="8"/>
  <c r="N17" i="8"/>
  <c r="O17" i="8"/>
  <c r="P17" i="8"/>
  <c r="Q17" i="8"/>
  <c r="R17" i="8"/>
  <c r="S17" i="8"/>
  <c r="T17" i="8"/>
  <c r="U17" i="8"/>
  <c r="V17" i="8"/>
  <c r="W17" i="8"/>
  <c r="X17" i="8"/>
  <c r="Y17" i="8"/>
  <c r="Z17" i="8"/>
  <c r="AA17" i="8"/>
  <c r="AB17" i="8"/>
  <c r="AC17" i="8"/>
  <c r="AD17" i="8"/>
  <c r="AE17" i="8"/>
  <c r="AF17" i="8"/>
  <c r="K18" i="8"/>
  <c r="L18" i="8"/>
  <c r="M18" i="8"/>
  <c r="N18" i="8"/>
  <c r="O18" i="8"/>
  <c r="P18" i="8"/>
  <c r="Q18" i="8"/>
  <c r="R18" i="8"/>
  <c r="S18" i="8"/>
  <c r="T18" i="8"/>
  <c r="U18" i="8"/>
  <c r="V18" i="8"/>
  <c r="W18" i="8"/>
  <c r="X18" i="8"/>
  <c r="Y18" i="8"/>
  <c r="Z18" i="8"/>
  <c r="AA18" i="8"/>
  <c r="AB18" i="8"/>
  <c r="AC18" i="8"/>
  <c r="AD18" i="8"/>
  <c r="AE18" i="8"/>
  <c r="AF18" i="8"/>
  <c r="L19" i="8"/>
  <c r="M19" i="8"/>
  <c r="N19" i="8"/>
  <c r="O19" i="8"/>
  <c r="P19" i="8"/>
  <c r="Q19" i="8"/>
  <c r="R19" i="8"/>
  <c r="S19" i="8"/>
  <c r="T19" i="8"/>
  <c r="U19" i="8"/>
  <c r="V19" i="8"/>
  <c r="W19" i="8"/>
  <c r="X19" i="8"/>
  <c r="Y19" i="8"/>
  <c r="Z19" i="8"/>
  <c r="AA19" i="8"/>
  <c r="AB19" i="8"/>
  <c r="AC19" i="8"/>
  <c r="AD19" i="8"/>
  <c r="AE19" i="8"/>
  <c r="AF19" i="8"/>
  <c r="M20" i="8"/>
  <c r="N20" i="8"/>
  <c r="O20" i="8"/>
  <c r="P20" i="8"/>
  <c r="Q20" i="8"/>
  <c r="R20" i="8"/>
  <c r="S20" i="8"/>
  <c r="T20" i="8"/>
  <c r="U20" i="8"/>
  <c r="V20" i="8"/>
  <c r="W20" i="8"/>
  <c r="X20" i="8"/>
  <c r="Y20" i="8"/>
  <c r="Z20" i="8"/>
  <c r="AA20" i="8"/>
  <c r="AB20" i="8"/>
  <c r="AC20" i="8"/>
  <c r="AD20" i="8"/>
  <c r="AE20" i="8"/>
  <c r="AF20" i="8"/>
  <c r="D21" i="8"/>
  <c r="H21" i="8"/>
  <c r="I21" i="8"/>
  <c r="J21" i="8"/>
  <c r="K21" i="8"/>
  <c r="L21" i="8"/>
  <c r="M21" i="8"/>
  <c r="N21" i="8"/>
  <c r="O21" i="8"/>
  <c r="P21" i="8"/>
  <c r="Q21" i="8"/>
  <c r="R21" i="8"/>
  <c r="S21" i="8"/>
  <c r="T21" i="8"/>
  <c r="U21" i="8"/>
  <c r="V21" i="8"/>
  <c r="W21" i="8"/>
  <c r="X21" i="8"/>
  <c r="Y21" i="8"/>
  <c r="Z21" i="8"/>
  <c r="AA21" i="8"/>
  <c r="AB21" i="8"/>
  <c r="AC21" i="8"/>
  <c r="AD21" i="8"/>
  <c r="AE21" i="8"/>
  <c r="AF21" i="8"/>
  <c r="D22" i="8"/>
  <c r="K22" i="8"/>
  <c r="L22" i="8"/>
  <c r="M22" i="8"/>
  <c r="N22" i="8"/>
  <c r="O22" i="8"/>
  <c r="P22" i="8"/>
  <c r="Q22" i="8"/>
  <c r="R22" i="8"/>
  <c r="S22" i="8"/>
  <c r="T22" i="8"/>
  <c r="U22" i="8"/>
  <c r="V22" i="8"/>
  <c r="W22" i="8"/>
  <c r="X22" i="8"/>
  <c r="Y22" i="8"/>
  <c r="Z22" i="8"/>
  <c r="AA22" i="8"/>
  <c r="AB22" i="8"/>
  <c r="AC22" i="8"/>
  <c r="AD22" i="8"/>
  <c r="AE22" i="8"/>
  <c r="AF22" i="8"/>
  <c r="D23" i="8"/>
  <c r="H23" i="8"/>
  <c r="I23" i="8"/>
  <c r="J23" i="8"/>
  <c r="K23" i="8"/>
  <c r="L23" i="8"/>
  <c r="M23" i="8"/>
  <c r="N23" i="8"/>
  <c r="O23" i="8"/>
  <c r="P23" i="8"/>
  <c r="Q23" i="8"/>
  <c r="R23" i="8"/>
  <c r="S23" i="8"/>
  <c r="T23" i="8"/>
  <c r="U23" i="8"/>
  <c r="V23" i="8"/>
  <c r="W23" i="8"/>
  <c r="X23" i="8"/>
  <c r="Y23" i="8"/>
  <c r="Z23" i="8"/>
  <c r="AA23" i="8"/>
  <c r="AB23" i="8"/>
  <c r="AC23" i="8"/>
  <c r="AD23" i="8"/>
  <c r="AE23" i="8"/>
  <c r="AF23" i="8"/>
  <c r="D24" i="8"/>
  <c r="I24" i="8"/>
  <c r="J24" i="8"/>
  <c r="K24" i="8"/>
  <c r="L24" i="8"/>
  <c r="M24" i="8"/>
  <c r="N24" i="8"/>
  <c r="O24" i="8"/>
  <c r="P24" i="8"/>
  <c r="Q24" i="8"/>
  <c r="R24" i="8"/>
  <c r="S24" i="8"/>
  <c r="T24" i="8"/>
  <c r="U24" i="8"/>
  <c r="V24" i="8"/>
  <c r="W24" i="8"/>
  <c r="X24" i="8"/>
  <c r="Y24" i="8"/>
  <c r="Z24" i="8"/>
  <c r="AA24" i="8"/>
  <c r="AB24" i="8"/>
  <c r="AC24" i="8"/>
  <c r="AD24" i="8"/>
  <c r="AE24" i="8"/>
  <c r="AF24" i="8"/>
  <c r="D25" i="8"/>
  <c r="H25" i="8"/>
  <c r="I25" i="8"/>
  <c r="J25" i="8"/>
  <c r="K25" i="8"/>
  <c r="L25" i="8"/>
  <c r="M25" i="8"/>
  <c r="N25" i="8"/>
  <c r="O25" i="8"/>
  <c r="P25" i="8"/>
  <c r="Q25" i="8"/>
  <c r="R25" i="8"/>
  <c r="S25" i="8"/>
  <c r="T25" i="8"/>
  <c r="U25" i="8"/>
  <c r="V25" i="8"/>
  <c r="W25" i="8"/>
  <c r="X25" i="8"/>
  <c r="Y25" i="8"/>
  <c r="Z25" i="8"/>
  <c r="AA25" i="8"/>
  <c r="AB25" i="8"/>
  <c r="AC25" i="8"/>
  <c r="AD25" i="8"/>
  <c r="AE25" i="8"/>
  <c r="AF25" i="8"/>
  <c r="D26" i="8"/>
  <c r="H26" i="8"/>
  <c r="I26" i="8"/>
  <c r="J26" i="8"/>
  <c r="K26" i="8"/>
  <c r="L26" i="8"/>
  <c r="M26" i="8"/>
  <c r="N26" i="8"/>
  <c r="O26" i="8"/>
  <c r="P26" i="8"/>
  <c r="Q26" i="8"/>
  <c r="R26" i="8"/>
  <c r="S26" i="8"/>
  <c r="T26" i="8"/>
  <c r="U26" i="8"/>
  <c r="V26" i="8"/>
  <c r="W26" i="8"/>
  <c r="X26" i="8"/>
  <c r="Y26" i="8"/>
  <c r="Z26" i="8"/>
  <c r="AA26" i="8"/>
  <c r="AB26" i="8"/>
  <c r="AC26" i="8"/>
  <c r="AD26" i="8"/>
  <c r="AE26" i="8"/>
  <c r="AF26" i="8"/>
  <c r="I27" i="8"/>
  <c r="J27" i="8"/>
  <c r="K27" i="8"/>
  <c r="L27" i="8"/>
  <c r="M27" i="8"/>
  <c r="N27" i="8"/>
  <c r="O27" i="8"/>
  <c r="P27" i="8"/>
  <c r="Q27" i="8"/>
  <c r="R27" i="8"/>
  <c r="S27" i="8"/>
  <c r="T27" i="8"/>
  <c r="U27" i="8"/>
  <c r="V27" i="8"/>
  <c r="W27" i="8"/>
  <c r="X27" i="8"/>
  <c r="Y27" i="8"/>
  <c r="Z27" i="8"/>
  <c r="AA27" i="8"/>
  <c r="AB27" i="8"/>
  <c r="AC27" i="8"/>
  <c r="AD27" i="8"/>
  <c r="AE27" i="8"/>
  <c r="AF27" i="8"/>
  <c r="H28" i="8"/>
  <c r="I28" i="8"/>
  <c r="J28" i="8"/>
  <c r="K28" i="8"/>
  <c r="L28" i="8"/>
  <c r="M28" i="8"/>
  <c r="N28" i="8"/>
  <c r="O28" i="8"/>
  <c r="P28" i="8"/>
  <c r="Q28" i="8"/>
  <c r="R28" i="8"/>
  <c r="S28" i="8"/>
  <c r="T28" i="8"/>
  <c r="U28" i="8"/>
  <c r="V28" i="8"/>
  <c r="W28" i="8"/>
  <c r="X28" i="8"/>
  <c r="Y28" i="8"/>
  <c r="Z28" i="8"/>
  <c r="AA28" i="8"/>
  <c r="AB28" i="8"/>
  <c r="AC28" i="8"/>
  <c r="AD28" i="8"/>
  <c r="AE28" i="8"/>
  <c r="AF28" i="8"/>
  <c r="D29" i="8"/>
  <c r="H29" i="8"/>
  <c r="I29" i="8"/>
  <c r="J29" i="8"/>
  <c r="K29" i="8"/>
  <c r="L29" i="8"/>
  <c r="M29" i="8"/>
  <c r="N29" i="8"/>
  <c r="O29" i="8"/>
  <c r="P29" i="8"/>
  <c r="Q29" i="8"/>
  <c r="R29" i="8"/>
  <c r="S29" i="8"/>
  <c r="T29" i="8"/>
  <c r="U29" i="8"/>
  <c r="V29" i="8"/>
  <c r="W29" i="8"/>
  <c r="X29" i="8"/>
  <c r="Y29" i="8"/>
  <c r="Z29" i="8"/>
  <c r="AA29" i="8"/>
  <c r="AB29" i="8"/>
  <c r="AC29" i="8"/>
  <c r="AD29" i="8"/>
  <c r="AE29" i="8"/>
  <c r="AF29" i="8"/>
  <c r="D30" i="8"/>
  <c r="H30" i="8"/>
  <c r="I30" i="8"/>
  <c r="J30" i="8"/>
  <c r="K30" i="8"/>
  <c r="L30" i="8"/>
  <c r="M30" i="8"/>
  <c r="N30" i="8"/>
  <c r="O30" i="8"/>
  <c r="P30" i="8"/>
  <c r="Q30" i="8"/>
  <c r="R30" i="8"/>
  <c r="S30" i="8"/>
  <c r="T30" i="8"/>
  <c r="U30" i="8"/>
  <c r="V30" i="8"/>
  <c r="W30" i="8"/>
  <c r="X30" i="8"/>
  <c r="Y30" i="8"/>
  <c r="Z30" i="8"/>
  <c r="AA30" i="8"/>
  <c r="AB30" i="8"/>
  <c r="AC30" i="8"/>
  <c r="AD30" i="8"/>
  <c r="AE30" i="8"/>
  <c r="AF30" i="8"/>
  <c r="D31" i="8"/>
  <c r="H31" i="8"/>
  <c r="I31" i="8"/>
  <c r="J31" i="8"/>
  <c r="K31" i="8"/>
  <c r="L31" i="8"/>
  <c r="M31" i="8"/>
  <c r="N31" i="8"/>
  <c r="O31" i="8"/>
  <c r="P31" i="8"/>
  <c r="Q31" i="8"/>
  <c r="R31" i="8"/>
  <c r="S31" i="8"/>
  <c r="T31" i="8"/>
  <c r="U31" i="8"/>
  <c r="V31" i="8"/>
  <c r="W31" i="8"/>
  <c r="X31" i="8"/>
  <c r="Y31" i="8"/>
  <c r="Z31" i="8"/>
  <c r="AA31" i="8"/>
  <c r="AB31" i="8"/>
  <c r="AC31" i="8"/>
  <c r="AD31" i="8"/>
  <c r="AE31" i="8"/>
  <c r="AF31" i="8"/>
  <c r="D32" i="8"/>
  <c r="H32" i="8"/>
  <c r="I32" i="8"/>
  <c r="J32" i="8"/>
  <c r="K32" i="8"/>
  <c r="L32" i="8"/>
  <c r="M32" i="8"/>
  <c r="N32" i="8"/>
  <c r="O32" i="8"/>
  <c r="P32" i="8"/>
  <c r="Q32" i="8"/>
  <c r="R32" i="8"/>
  <c r="S32" i="8"/>
  <c r="T32" i="8"/>
  <c r="U32" i="8"/>
  <c r="V32" i="8"/>
  <c r="W32" i="8"/>
  <c r="X32" i="8"/>
  <c r="Y32" i="8"/>
  <c r="Z32" i="8"/>
  <c r="AA32" i="8"/>
  <c r="AB32" i="8"/>
  <c r="AC32" i="8"/>
  <c r="AD32" i="8"/>
  <c r="AE32" i="8"/>
  <c r="AF32" i="8"/>
  <c r="D33" i="8"/>
  <c r="H33" i="8"/>
  <c r="I33" i="8"/>
  <c r="J33" i="8"/>
  <c r="K33" i="8"/>
  <c r="L33" i="8"/>
  <c r="M33" i="8"/>
  <c r="N33" i="8"/>
  <c r="O33" i="8"/>
  <c r="P33" i="8"/>
  <c r="Q33" i="8"/>
  <c r="R33" i="8"/>
  <c r="S33" i="8"/>
  <c r="T33" i="8"/>
  <c r="U33" i="8"/>
  <c r="V33" i="8"/>
  <c r="W33" i="8"/>
  <c r="X33" i="8"/>
  <c r="Y33" i="8"/>
  <c r="Z33" i="8"/>
  <c r="AA33" i="8"/>
  <c r="AB33" i="8"/>
  <c r="AC33" i="8"/>
  <c r="AD33" i="8"/>
  <c r="AE33" i="8"/>
  <c r="AF33" i="8"/>
  <c r="D34" i="8"/>
  <c r="H34" i="8"/>
  <c r="I34" i="8"/>
  <c r="J34" i="8"/>
  <c r="K34" i="8"/>
  <c r="L34" i="8"/>
  <c r="M34" i="8"/>
  <c r="N34" i="8"/>
  <c r="O34" i="8"/>
  <c r="P34" i="8"/>
  <c r="Q34" i="8"/>
  <c r="R34" i="8"/>
  <c r="S34" i="8"/>
  <c r="T34" i="8"/>
  <c r="U34" i="8"/>
  <c r="V34" i="8"/>
  <c r="W34" i="8"/>
  <c r="X34" i="8"/>
  <c r="Y34" i="8"/>
  <c r="Z34" i="8"/>
  <c r="AA34" i="8"/>
  <c r="AB34" i="8"/>
  <c r="AC34" i="8"/>
  <c r="AD34" i="8"/>
  <c r="AE34" i="8"/>
  <c r="AF34" i="8"/>
  <c r="D5" i="10"/>
  <c r="F5" i="10"/>
  <c r="H5" i="10"/>
  <c r="I5" i="10"/>
  <c r="J5" i="10"/>
  <c r="K5" i="10"/>
  <c r="L5" i="10"/>
  <c r="M5" i="10"/>
  <c r="N5" i="10"/>
  <c r="O5" i="10"/>
  <c r="P5" i="10"/>
  <c r="Q5" i="10"/>
  <c r="R5" i="10"/>
  <c r="S5" i="10"/>
  <c r="T5" i="10"/>
  <c r="U5" i="10"/>
  <c r="V5" i="10"/>
  <c r="W5" i="10"/>
  <c r="X5" i="10"/>
  <c r="Y5" i="10"/>
  <c r="Z5" i="10"/>
  <c r="AA5" i="10"/>
  <c r="AB5" i="10"/>
  <c r="AC5" i="10"/>
  <c r="AD5" i="10"/>
  <c r="AE5" i="10"/>
  <c r="AF5" i="10"/>
  <c r="D6" i="10"/>
  <c r="F6" i="10"/>
  <c r="D10" i="10"/>
  <c r="AF10" i="10"/>
  <c r="D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D13" i="10"/>
  <c r="F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D14" i="10"/>
  <c r="F14" i="10"/>
  <c r="D15" i="10"/>
  <c r="F15" i="10"/>
  <c r="D16" i="10"/>
  <c r="F16" i="10"/>
  <c r="D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D19" i="10"/>
  <c r="H19" i="10"/>
  <c r="I19" i="10"/>
  <c r="J19" i="10"/>
  <c r="K19" i="10"/>
  <c r="L19" i="10"/>
  <c r="M19" i="10"/>
  <c r="N19" i="10"/>
  <c r="O19" i="10"/>
  <c r="P19" i="10"/>
  <c r="Q19" i="10"/>
  <c r="R19" i="10"/>
  <c r="S19" i="10"/>
  <c r="T19" i="10"/>
  <c r="U19" i="10"/>
  <c r="V19" i="10"/>
  <c r="D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D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D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D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D27" i="10"/>
  <c r="F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D29" i="10"/>
  <c r="K29" i="10"/>
  <c r="L29" i="10"/>
  <c r="M29" i="10"/>
  <c r="N29" i="10"/>
  <c r="O29" i="10"/>
  <c r="P29" i="10"/>
  <c r="Q29" i="10"/>
  <c r="R29" i="10"/>
  <c r="S29" i="10"/>
  <c r="T29" i="10"/>
  <c r="U29" i="10"/>
  <c r="V29" i="10"/>
  <c r="W29" i="10"/>
  <c r="X29" i="10"/>
  <c r="Y29" i="10"/>
  <c r="Z29" i="10"/>
  <c r="AA29" i="10"/>
  <c r="AB29" i="10"/>
  <c r="AC29" i="10"/>
  <c r="AD29" i="10"/>
  <c r="AE29" i="10"/>
  <c r="AF29" i="10"/>
  <c r="D30" i="10"/>
  <c r="F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D33" i="10"/>
  <c r="D34" i="10"/>
  <c r="I35" i="10"/>
  <c r="J35" i="10"/>
  <c r="K35" i="10"/>
  <c r="L35" i="10"/>
  <c r="M35" i="10"/>
  <c r="N35" i="10"/>
  <c r="O35" i="10"/>
  <c r="P35" i="10"/>
  <c r="Q35" i="10"/>
  <c r="R35" i="10"/>
  <c r="S35" i="10"/>
  <c r="T35" i="10"/>
  <c r="U35" i="10"/>
  <c r="V35" i="10"/>
  <c r="W35" i="10"/>
  <c r="X35" i="10"/>
  <c r="Y35" i="10"/>
  <c r="Z35" i="10"/>
  <c r="AA35" i="10"/>
  <c r="AB35" i="10"/>
  <c r="AC35" i="10"/>
  <c r="AD35" i="10"/>
  <c r="AE35" i="10"/>
  <c r="AF35" i="10"/>
  <c r="D44" i="10"/>
  <c r="E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E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J55" i="10"/>
  <c r="K55" i="10"/>
  <c r="L55" i="10"/>
  <c r="M55" i="10"/>
  <c r="N55" i="10"/>
  <c r="O55" i="10"/>
  <c r="P55" i="10"/>
  <c r="Q55" i="10"/>
  <c r="R55" i="10"/>
  <c r="S55" i="10"/>
  <c r="T55" i="10"/>
  <c r="U55" i="10"/>
  <c r="V55" i="10"/>
  <c r="W55" i="10"/>
  <c r="X55" i="10"/>
  <c r="Y55" i="10"/>
  <c r="Z55" i="10"/>
  <c r="AA55" i="10"/>
  <c r="AB55" i="10"/>
  <c r="AC55" i="10"/>
  <c r="AD55" i="10"/>
  <c r="AE55" i="10"/>
  <c r="E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E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D8" i="12"/>
  <c r="H8" i="12"/>
  <c r="I8" i="12"/>
  <c r="J8" i="12"/>
  <c r="K8" i="12"/>
  <c r="L8" i="12"/>
  <c r="M8" i="12"/>
  <c r="N8" i="12"/>
  <c r="O8" i="12"/>
  <c r="P8" i="12"/>
  <c r="Q8" i="12"/>
  <c r="R8" i="12"/>
  <c r="S8" i="12"/>
  <c r="T8" i="12"/>
  <c r="U8" i="12"/>
  <c r="V8" i="12"/>
  <c r="W8" i="12"/>
  <c r="X8" i="12"/>
  <c r="Y8" i="12"/>
  <c r="Z8" i="12"/>
  <c r="AA8" i="12"/>
  <c r="AB8" i="12"/>
  <c r="AC8" i="12"/>
  <c r="AD8" i="12"/>
  <c r="AE8" i="12"/>
  <c r="AF8" i="12"/>
  <c r="D9" i="12"/>
  <c r="H9" i="12"/>
  <c r="I9" i="12"/>
  <c r="J9" i="12"/>
  <c r="K9" i="12"/>
  <c r="L9" i="12"/>
  <c r="M9" i="12"/>
  <c r="N9" i="12"/>
  <c r="O9" i="12"/>
  <c r="P9" i="12"/>
  <c r="Q9" i="12"/>
  <c r="R9" i="12"/>
  <c r="S9" i="12"/>
  <c r="T9" i="12"/>
  <c r="U9" i="12"/>
  <c r="V9" i="12"/>
  <c r="W9" i="12"/>
  <c r="X9" i="12"/>
  <c r="Y9" i="12"/>
  <c r="Z9" i="12"/>
  <c r="AA9" i="12"/>
  <c r="AB9" i="12"/>
  <c r="AC9" i="12"/>
  <c r="AD9" i="12"/>
  <c r="AE9" i="12"/>
  <c r="AF9" i="12"/>
  <c r="D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D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D14" i="12"/>
  <c r="H14" i="12"/>
  <c r="I14" i="12"/>
  <c r="J14" i="12"/>
  <c r="K14" i="12"/>
  <c r="L14" i="12"/>
  <c r="M14" i="12"/>
  <c r="N14" i="12"/>
  <c r="O14" i="12"/>
  <c r="P14" i="12"/>
  <c r="Q14" i="12"/>
  <c r="R14" i="12"/>
  <c r="S14" i="12"/>
  <c r="T14" i="12"/>
  <c r="U14" i="12"/>
  <c r="V14" i="12"/>
  <c r="W14" i="12"/>
  <c r="X14" i="12"/>
  <c r="Y14" i="12"/>
  <c r="Z14" i="12"/>
  <c r="AA14" i="12"/>
  <c r="AB14" i="12"/>
  <c r="AC14" i="12"/>
  <c r="AD14" i="12"/>
  <c r="AE14" i="12"/>
  <c r="AF14" i="12"/>
  <c r="D15" i="12"/>
  <c r="I15" i="12"/>
  <c r="J15" i="12"/>
  <c r="K15" i="12"/>
  <c r="L15" i="12"/>
  <c r="M15" i="12"/>
  <c r="N15" i="12"/>
  <c r="O15" i="12"/>
  <c r="P15" i="12"/>
  <c r="Q15" i="12"/>
  <c r="R15" i="12"/>
  <c r="S15" i="12"/>
  <c r="T15" i="12"/>
  <c r="U15" i="12"/>
  <c r="V15" i="12"/>
  <c r="W15" i="12"/>
  <c r="X15" i="12"/>
  <c r="Y15" i="12"/>
  <c r="Z15" i="12"/>
  <c r="AA15" i="12"/>
  <c r="AB15" i="12"/>
  <c r="AC15" i="12"/>
  <c r="AD15" i="12"/>
  <c r="AE15" i="12"/>
  <c r="AF15" i="12"/>
  <c r="I16" i="12"/>
  <c r="J16" i="12"/>
  <c r="K16" i="12"/>
  <c r="L16" i="12"/>
  <c r="M16" i="12"/>
  <c r="N16" i="12"/>
  <c r="O16" i="12"/>
  <c r="P16" i="12"/>
  <c r="Q16" i="12"/>
  <c r="R16" i="12"/>
  <c r="S16" i="12"/>
  <c r="T16" i="12"/>
  <c r="U16" i="12"/>
  <c r="V16" i="12"/>
  <c r="W16" i="12"/>
  <c r="X16" i="12"/>
  <c r="Y16" i="12"/>
  <c r="Z16" i="12"/>
  <c r="AA16" i="12"/>
  <c r="AB16" i="12"/>
  <c r="AC16" i="12"/>
  <c r="AD16" i="12"/>
  <c r="AE16" i="12"/>
  <c r="AF16" i="12"/>
  <c r="J17" i="12"/>
  <c r="K17" i="12"/>
  <c r="L17" i="12"/>
  <c r="M17" i="12"/>
  <c r="N17" i="12"/>
  <c r="O17" i="12"/>
  <c r="P17" i="12"/>
  <c r="Q17" i="12"/>
  <c r="R17" i="12"/>
  <c r="S17" i="12"/>
  <c r="T17" i="12"/>
  <c r="U17" i="12"/>
  <c r="V17" i="12"/>
  <c r="W17" i="12"/>
  <c r="X17" i="12"/>
  <c r="Y17" i="12"/>
  <c r="Z17" i="12"/>
  <c r="AA17" i="12"/>
  <c r="AB17" i="12"/>
  <c r="AC17" i="12"/>
  <c r="AD17" i="12"/>
  <c r="AE17" i="12"/>
  <c r="AF17" i="12"/>
  <c r="K18" i="12"/>
  <c r="L18" i="12"/>
  <c r="M18" i="12"/>
  <c r="N18" i="12"/>
  <c r="O18" i="12"/>
  <c r="P18" i="12"/>
  <c r="Q18" i="12"/>
  <c r="R18" i="12"/>
  <c r="S18" i="12"/>
  <c r="T18" i="12"/>
  <c r="U18" i="12"/>
  <c r="V18" i="12"/>
  <c r="W18" i="12"/>
  <c r="X18" i="12"/>
  <c r="Y18" i="12"/>
  <c r="Z18" i="12"/>
  <c r="AA18" i="12"/>
  <c r="AB18" i="12"/>
  <c r="AC18" i="12"/>
  <c r="AD18" i="12"/>
  <c r="AE18" i="12"/>
  <c r="AF18" i="12"/>
  <c r="L19" i="12"/>
  <c r="M19" i="12"/>
  <c r="N19" i="12"/>
  <c r="O19" i="12"/>
  <c r="P19" i="12"/>
  <c r="Q19" i="12"/>
  <c r="R19" i="12"/>
  <c r="S19" i="12"/>
  <c r="T19" i="12"/>
  <c r="U19" i="12"/>
  <c r="V19" i="12"/>
  <c r="W19" i="12"/>
  <c r="X19" i="12"/>
  <c r="Y19" i="12"/>
  <c r="Z19" i="12"/>
  <c r="AA19" i="12"/>
  <c r="AB19" i="12"/>
  <c r="AC19" i="12"/>
  <c r="AD19" i="12"/>
  <c r="AE19" i="12"/>
  <c r="AF19" i="12"/>
  <c r="M20" i="12"/>
  <c r="N20" i="12"/>
  <c r="O20" i="12"/>
  <c r="P20" i="12"/>
  <c r="Q20" i="12"/>
  <c r="R20" i="12"/>
  <c r="S20" i="12"/>
  <c r="T20" i="12"/>
  <c r="U20" i="12"/>
  <c r="V20" i="12"/>
  <c r="W20" i="12"/>
  <c r="X20" i="12"/>
  <c r="Y20" i="12"/>
  <c r="Z20" i="12"/>
  <c r="AA20" i="12"/>
  <c r="AB20" i="12"/>
  <c r="AC20" i="12"/>
  <c r="AD20" i="12"/>
  <c r="AE20" i="12"/>
  <c r="AF20" i="12"/>
  <c r="D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D22" i="12"/>
  <c r="K22" i="12"/>
  <c r="L22" i="12"/>
  <c r="M22" i="12"/>
  <c r="N22" i="12"/>
  <c r="O22" i="12"/>
  <c r="P22" i="12"/>
  <c r="Q22" i="12"/>
  <c r="R22" i="12"/>
  <c r="S22" i="12"/>
  <c r="T22" i="12"/>
  <c r="U22" i="12"/>
  <c r="V22" i="12"/>
  <c r="W22" i="12"/>
  <c r="X22" i="12"/>
  <c r="Y22" i="12"/>
  <c r="Z22" i="12"/>
  <c r="AA22" i="12"/>
  <c r="AB22" i="12"/>
  <c r="AC22" i="12"/>
  <c r="AD22" i="12"/>
  <c r="AE22" i="12"/>
  <c r="AF22" i="12"/>
  <c r="D23" i="12"/>
  <c r="H23" i="12"/>
  <c r="I23" i="12"/>
  <c r="J23" i="12"/>
  <c r="K23" i="12"/>
  <c r="L23" i="12"/>
  <c r="M23" i="12"/>
  <c r="N23" i="12"/>
  <c r="O23" i="12"/>
  <c r="P23" i="12"/>
  <c r="Q23" i="12"/>
  <c r="R23" i="12"/>
  <c r="S23" i="12"/>
  <c r="T23" i="12"/>
  <c r="U23" i="12"/>
  <c r="V23" i="12"/>
  <c r="W23" i="12"/>
  <c r="X23" i="12"/>
  <c r="Y23" i="12"/>
  <c r="Z23" i="12"/>
  <c r="AA23" i="12"/>
  <c r="AB23" i="12"/>
  <c r="AC23" i="12"/>
  <c r="AD23" i="12"/>
  <c r="AE23" i="12"/>
  <c r="AF23" i="12"/>
  <c r="D24" i="12"/>
  <c r="I24" i="12"/>
  <c r="J24" i="12"/>
  <c r="K24" i="12"/>
  <c r="L24" i="12"/>
  <c r="M24" i="12"/>
  <c r="N24" i="12"/>
  <c r="O24" i="12"/>
  <c r="P24" i="12"/>
  <c r="Q24" i="12"/>
  <c r="R24" i="12"/>
  <c r="S24" i="12"/>
  <c r="T24" i="12"/>
  <c r="U24" i="12"/>
  <c r="V24" i="12"/>
  <c r="W24" i="12"/>
  <c r="X24" i="12"/>
  <c r="Y24" i="12"/>
  <c r="Z24" i="12"/>
  <c r="AA24" i="12"/>
  <c r="AB24" i="12"/>
  <c r="AC24" i="12"/>
  <c r="AD24" i="12"/>
  <c r="AE24" i="12"/>
  <c r="AF24" i="12"/>
  <c r="D25" i="12"/>
  <c r="H25" i="12"/>
  <c r="I25" i="12"/>
  <c r="J25" i="12"/>
  <c r="K25" i="12"/>
  <c r="L25" i="12"/>
  <c r="M25" i="12"/>
  <c r="N25" i="12"/>
  <c r="O25" i="12"/>
  <c r="P25" i="12"/>
  <c r="Q25" i="12"/>
  <c r="R25" i="12"/>
  <c r="S25" i="12"/>
  <c r="T25" i="12"/>
  <c r="U25" i="12"/>
  <c r="V25" i="12"/>
  <c r="W25" i="12"/>
  <c r="X25" i="12"/>
  <c r="Y25" i="12"/>
  <c r="Z25" i="12"/>
  <c r="AA25" i="12"/>
  <c r="AB25" i="12"/>
  <c r="AC25" i="12"/>
  <c r="AD25" i="12"/>
  <c r="AE25" i="12"/>
  <c r="AF25" i="12"/>
  <c r="D26" i="12"/>
  <c r="H26" i="12"/>
  <c r="I26" i="12"/>
  <c r="J26" i="12"/>
  <c r="K26" i="12"/>
  <c r="L26" i="12"/>
  <c r="M26" i="12"/>
  <c r="N26" i="12"/>
  <c r="O26" i="12"/>
  <c r="P26" i="12"/>
  <c r="Q26" i="12"/>
  <c r="R26" i="12"/>
  <c r="S26" i="12"/>
  <c r="T26" i="12"/>
  <c r="U26" i="12"/>
  <c r="V26" i="12"/>
  <c r="W26" i="12"/>
  <c r="X26" i="12"/>
  <c r="Y26" i="12"/>
  <c r="Z26" i="12"/>
  <c r="AA26" i="12"/>
  <c r="AB26" i="12"/>
  <c r="AC26" i="12"/>
  <c r="AD26" i="12"/>
  <c r="AE26" i="12"/>
  <c r="AF26" i="12"/>
  <c r="I27" i="12"/>
  <c r="J27" i="12"/>
  <c r="K27" i="12"/>
  <c r="L27" i="12"/>
  <c r="M27" i="12"/>
  <c r="N27" i="12"/>
  <c r="O27" i="12"/>
  <c r="P27" i="12"/>
  <c r="Q27" i="12"/>
  <c r="R27" i="12"/>
  <c r="S27" i="12"/>
  <c r="T27" i="12"/>
  <c r="U27" i="12"/>
  <c r="V27" i="12"/>
  <c r="W27" i="12"/>
  <c r="X27" i="12"/>
  <c r="Y27" i="12"/>
  <c r="Z27" i="12"/>
  <c r="AA27" i="12"/>
  <c r="AB27" i="12"/>
  <c r="AC27" i="12"/>
  <c r="AD27" i="12"/>
  <c r="AE27" i="12"/>
  <c r="AF27" i="12"/>
  <c r="H28" i="12"/>
  <c r="I28" i="12"/>
  <c r="J28" i="12"/>
  <c r="K28" i="12"/>
  <c r="L28" i="12"/>
  <c r="M28" i="12"/>
  <c r="N28" i="12"/>
  <c r="O28" i="12"/>
  <c r="P28" i="12"/>
  <c r="Q28" i="12"/>
  <c r="R28" i="12"/>
  <c r="S28" i="12"/>
  <c r="T28" i="12"/>
  <c r="U28" i="12"/>
  <c r="V28" i="12"/>
  <c r="W28" i="12"/>
  <c r="X28" i="12"/>
  <c r="Y28" i="12"/>
  <c r="Z28" i="12"/>
  <c r="AA28" i="12"/>
  <c r="AB28" i="12"/>
  <c r="AC28" i="12"/>
  <c r="AD28" i="12"/>
  <c r="AE28" i="12"/>
  <c r="AF28" i="12"/>
  <c r="D29" i="12"/>
  <c r="H29" i="12"/>
  <c r="I29" i="12"/>
  <c r="J29" i="12"/>
  <c r="K29" i="12"/>
  <c r="L29" i="12"/>
  <c r="M29" i="12"/>
  <c r="N29" i="12"/>
  <c r="O29" i="12"/>
  <c r="P29" i="12"/>
  <c r="Q29" i="12"/>
  <c r="R29" i="12"/>
  <c r="S29" i="12"/>
  <c r="T29" i="12"/>
  <c r="U29" i="12"/>
  <c r="V29" i="12"/>
  <c r="W29" i="12"/>
  <c r="X29" i="12"/>
  <c r="Y29" i="12"/>
  <c r="Z29" i="12"/>
  <c r="AA29" i="12"/>
  <c r="AB29" i="12"/>
  <c r="AC29" i="12"/>
  <c r="AD29" i="12"/>
  <c r="AE29" i="12"/>
  <c r="AF29" i="12"/>
  <c r="D30" i="12"/>
  <c r="H30" i="12"/>
  <c r="I30" i="12"/>
  <c r="J30" i="12"/>
  <c r="K30" i="12"/>
  <c r="L30" i="12"/>
  <c r="M30" i="12"/>
  <c r="N30" i="12"/>
  <c r="O30" i="12"/>
  <c r="P30" i="12"/>
  <c r="Q30" i="12"/>
  <c r="R30" i="12"/>
  <c r="S30" i="12"/>
  <c r="T30" i="12"/>
  <c r="U30" i="12"/>
  <c r="V30" i="12"/>
  <c r="W30" i="12"/>
  <c r="X30" i="12"/>
  <c r="Y30" i="12"/>
  <c r="Z30" i="12"/>
  <c r="AA30" i="12"/>
  <c r="AB30" i="12"/>
  <c r="AC30" i="12"/>
  <c r="AD30" i="12"/>
  <c r="AE30" i="12"/>
  <c r="AF30" i="12"/>
  <c r="D31" i="12"/>
  <c r="H31" i="12"/>
  <c r="I31" i="12"/>
  <c r="J31" i="12"/>
  <c r="K31" i="12"/>
  <c r="L31" i="12"/>
  <c r="M31" i="12"/>
  <c r="N31" i="12"/>
  <c r="O31" i="12"/>
  <c r="P31" i="12"/>
  <c r="Q31" i="12"/>
  <c r="R31" i="12"/>
  <c r="S31" i="12"/>
  <c r="T31" i="12"/>
  <c r="U31" i="12"/>
  <c r="V31" i="12"/>
  <c r="W31" i="12"/>
  <c r="X31" i="12"/>
  <c r="Y31" i="12"/>
  <c r="Z31" i="12"/>
  <c r="AA31" i="12"/>
  <c r="AB31" i="12"/>
  <c r="AC31" i="12"/>
  <c r="AD31" i="12"/>
  <c r="AE31" i="12"/>
  <c r="AF31" i="12"/>
  <c r="D32" i="12"/>
  <c r="H32" i="12"/>
  <c r="I32" i="12"/>
  <c r="J32" i="12"/>
  <c r="K32" i="12"/>
  <c r="L32" i="12"/>
  <c r="M32" i="12"/>
  <c r="N32" i="12"/>
  <c r="O32" i="12"/>
  <c r="P32" i="12"/>
  <c r="Q32" i="12"/>
  <c r="R32" i="12"/>
  <c r="S32" i="12"/>
  <c r="T32" i="12"/>
  <c r="U32" i="12"/>
  <c r="V32" i="12"/>
  <c r="W32" i="12"/>
  <c r="X32" i="12"/>
  <c r="Y32" i="12"/>
  <c r="Z32" i="12"/>
  <c r="AA32" i="12"/>
  <c r="AB32" i="12"/>
  <c r="AC32" i="12"/>
  <c r="AD32" i="12"/>
  <c r="AE32" i="12"/>
  <c r="AF32" i="12"/>
  <c r="D33" i="12"/>
  <c r="H33" i="12"/>
  <c r="I33" i="12"/>
  <c r="J33" i="12"/>
  <c r="K33" i="12"/>
  <c r="L33" i="12"/>
  <c r="M33" i="12"/>
  <c r="N33" i="12"/>
  <c r="O33" i="12"/>
  <c r="P33" i="12"/>
  <c r="Q33" i="12"/>
  <c r="R33" i="12"/>
  <c r="S33" i="12"/>
  <c r="T33" i="12"/>
  <c r="U33" i="12"/>
  <c r="V33" i="12"/>
  <c r="W33" i="12"/>
  <c r="X33" i="12"/>
  <c r="Y33" i="12"/>
  <c r="Z33" i="12"/>
  <c r="AA33" i="12"/>
  <c r="AB33" i="12"/>
  <c r="AC33" i="12"/>
  <c r="AD33" i="12"/>
  <c r="AE33" i="12"/>
  <c r="AF33" i="12"/>
  <c r="D34" i="12"/>
  <c r="H34" i="12"/>
  <c r="I34" i="12"/>
  <c r="J34" i="12"/>
  <c r="K34" i="12"/>
  <c r="L34" i="12"/>
  <c r="M34" i="12"/>
  <c r="N34" i="12"/>
  <c r="O34" i="12"/>
  <c r="P34" i="12"/>
  <c r="Q34" i="12"/>
  <c r="R34" i="12"/>
  <c r="S34" i="12"/>
  <c r="T34" i="12"/>
  <c r="U34" i="12"/>
  <c r="V34" i="12"/>
  <c r="W34" i="12"/>
  <c r="X34" i="12"/>
  <c r="Y34" i="12"/>
  <c r="Z34" i="12"/>
  <c r="AA34" i="12"/>
  <c r="AB34" i="12"/>
  <c r="AC34" i="12"/>
  <c r="AD34" i="12"/>
  <c r="AE34" i="12"/>
  <c r="AF34" i="12"/>
  <c r="H36" i="12"/>
  <c r="I36" i="12"/>
  <c r="J36" i="12"/>
  <c r="K36" i="12"/>
  <c r="L36" i="12"/>
  <c r="M36" i="12"/>
  <c r="N36" i="12"/>
  <c r="O36" i="12"/>
  <c r="P36" i="12"/>
  <c r="Q36" i="12"/>
  <c r="R36" i="12"/>
  <c r="S36" i="12"/>
  <c r="T36" i="12"/>
  <c r="U36" i="12"/>
  <c r="V36" i="12"/>
  <c r="W36" i="12"/>
  <c r="X36" i="12"/>
  <c r="Y36" i="12"/>
  <c r="Z36" i="12"/>
  <c r="AA36" i="12"/>
  <c r="AB36" i="12"/>
  <c r="AC36" i="12"/>
  <c r="AD36" i="12"/>
  <c r="AE36" i="12"/>
  <c r="AF36" i="12"/>
  <c r="H38" i="12"/>
  <c r="D5" i="9"/>
  <c r="H5" i="9"/>
  <c r="I5" i="9"/>
  <c r="J5" i="9"/>
  <c r="K5" i="9"/>
  <c r="L5" i="9"/>
  <c r="M5" i="9"/>
  <c r="N5" i="9"/>
  <c r="O5" i="9"/>
  <c r="P5" i="9"/>
  <c r="Q5" i="9"/>
  <c r="R5" i="9"/>
  <c r="S5" i="9"/>
  <c r="T5" i="9"/>
  <c r="U5" i="9"/>
  <c r="V5" i="9"/>
  <c r="W5" i="9"/>
  <c r="X5" i="9"/>
  <c r="Y5" i="9"/>
  <c r="Z5" i="9"/>
  <c r="AA5" i="9"/>
  <c r="AB5" i="9"/>
  <c r="AC5" i="9"/>
  <c r="AD5" i="9"/>
  <c r="AE5" i="9"/>
  <c r="AF5" i="9"/>
  <c r="D9" i="9"/>
  <c r="AF9" i="9"/>
  <c r="D11" i="9"/>
  <c r="H11" i="9"/>
  <c r="I11" i="9"/>
  <c r="J11" i="9"/>
  <c r="K11" i="9"/>
  <c r="L11" i="9"/>
  <c r="M11" i="9"/>
  <c r="N11" i="9"/>
  <c r="O11" i="9"/>
  <c r="P11" i="9"/>
  <c r="Q11" i="9"/>
  <c r="R11" i="9"/>
  <c r="S11" i="9"/>
  <c r="T11" i="9"/>
  <c r="U11" i="9"/>
  <c r="V11" i="9"/>
  <c r="W11" i="9"/>
  <c r="X11" i="9"/>
  <c r="Y11" i="9"/>
  <c r="Z11" i="9"/>
  <c r="AA11" i="9"/>
  <c r="AB11" i="9"/>
  <c r="AC11" i="9"/>
  <c r="AD11" i="9"/>
  <c r="AE11" i="9"/>
  <c r="AF11" i="9"/>
  <c r="D12" i="9"/>
  <c r="H12" i="9"/>
  <c r="I12" i="9"/>
  <c r="J12" i="9"/>
  <c r="K12" i="9"/>
  <c r="L12" i="9"/>
  <c r="M12" i="9"/>
  <c r="N12" i="9"/>
  <c r="O12" i="9"/>
  <c r="P12" i="9"/>
  <c r="Q12" i="9"/>
  <c r="R12" i="9"/>
  <c r="S12" i="9"/>
  <c r="T12" i="9"/>
  <c r="U12" i="9"/>
  <c r="V12" i="9"/>
  <c r="W12" i="9"/>
  <c r="X12" i="9"/>
  <c r="Y12" i="9"/>
  <c r="Z12" i="9"/>
  <c r="AA12" i="9"/>
  <c r="AB12" i="9"/>
  <c r="AC12" i="9"/>
  <c r="AD12" i="9"/>
  <c r="AE12" i="9"/>
  <c r="AF12" i="9"/>
  <c r="D15" i="9"/>
  <c r="H15" i="9"/>
  <c r="I15" i="9"/>
  <c r="J15" i="9"/>
  <c r="K15" i="9"/>
  <c r="L15" i="9"/>
  <c r="M15" i="9"/>
  <c r="N15" i="9"/>
  <c r="O15" i="9"/>
  <c r="P15" i="9"/>
  <c r="Q15" i="9"/>
  <c r="R15" i="9"/>
  <c r="S15" i="9"/>
  <c r="T15" i="9"/>
  <c r="U15" i="9"/>
  <c r="V15" i="9"/>
  <c r="W15" i="9"/>
  <c r="X15" i="9"/>
  <c r="Y15" i="9"/>
  <c r="Z15" i="9"/>
  <c r="AA15" i="9"/>
  <c r="AB15" i="9"/>
  <c r="AC15" i="9"/>
  <c r="AD15" i="9"/>
  <c r="AE15" i="9"/>
  <c r="AF15" i="9"/>
  <c r="D17" i="9"/>
  <c r="H17" i="9"/>
  <c r="I17" i="9"/>
  <c r="J17" i="9"/>
  <c r="K17" i="9"/>
  <c r="L17" i="9"/>
  <c r="M17" i="9"/>
  <c r="N17" i="9"/>
  <c r="O17" i="9"/>
  <c r="P17" i="9"/>
  <c r="Q17" i="9"/>
  <c r="R17" i="9"/>
  <c r="S17" i="9"/>
  <c r="T17" i="9"/>
  <c r="U17" i="9"/>
  <c r="V17" i="9"/>
  <c r="W17" i="9"/>
  <c r="X17" i="9"/>
  <c r="Y17" i="9"/>
  <c r="Z17" i="9"/>
  <c r="AA17" i="9"/>
  <c r="AB17" i="9"/>
  <c r="AC17" i="9"/>
  <c r="AD17" i="9"/>
  <c r="AE17" i="9"/>
  <c r="AF17" i="9"/>
  <c r="D18" i="9"/>
  <c r="H18" i="9"/>
  <c r="I18" i="9"/>
  <c r="J18" i="9"/>
  <c r="K18" i="9"/>
  <c r="L18" i="9"/>
  <c r="M18" i="9"/>
  <c r="N18" i="9"/>
  <c r="O18" i="9"/>
  <c r="P18" i="9"/>
  <c r="Q18" i="9"/>
  <c r="R18" i="9"/>
  <c r="S18" i="9"/>
  <c r="T18" i="9"/>
  <c r="U18" i="9"/>
  <c r="V18" i="9"/>
  <c r="W18" i="9"/>
  <c r="X18" i="9"/>
  <c r="Y18" i="9"/>
  <c r="Z18" i="9"/>
  <c r="AA18" i="9"/>
  <c r="AB18" i="9"/>
  <c r="AC18" i="9"/>
  <c r="AD18" i="9"/>
  <c r="AE18" i="9"/>
  <c r="AF18" i="9"/>
  <c r="D20" i="9"/>
  <c r="H20" i="9"/>
  <c r="I20" i="9"/>
  <c r="J20" i="9"/>
  <c r="K20" i="9"/>
  <c r="L20" i="9"/>
  <c r="M20" i="9"/>
  <c r="N20" i="9"/>
  <c r="O20" i="9"/>
  <c r="P20" i="9"/>
  <c r="Q20" i="9"/>
  <c r="R20" i="9"/>
  <c r="S20" i="9"/>
  <c r="T20" i="9"/>
  <c r="U20" i="9"/>
  <c r="V20" i="9"/>
  <c r="W20" i="9"/>
  <c r="X20" i="9"/>
  <c r="Y20" i="9"/>
  <c r="Z20" i="9"/>
  <c r="AA20" i="9"/>
  <c r="AB20" i="9"/>
  <c r="AC20" i="9"/>
  <c r="AD20" i="9"/>
  <c r="AE20" i="9"/>
  <c r="AF20" i="9"/>
  <c r="H21" i="9"/>
  <c r="I21" i="9"/>
  <c r="J21" i="9"/>
  <c r="K21" i="9"/>
  <c r="L21" i="9"/>
  <c r="M21" i="9"/>
  <c r="N21" i="9"/>
  <c r="O21" i="9"/>
  <c r="P21" i="9"/>
  <c r="Q21" i="9"/>
  <c r="R21" i="9"/>
  <c r="S21" i="9"/>
  <c r="T21" i="9"/>
  <c r="U21" i="9"/>
  <c r="V21" i="9"/>
  <c r="W21" i="9"/>
  <c r="X21" i="9"/>
  <c r="Y21" i="9"/>
  <c r="Z21" i="9"/>
  <c r="AA21" i="9"/>
  <c r="AB21" i="9"/>
  <c r="AC21" i="9"/>
  <c r="AD21" i="9"/>
  <c r="AE21" i="9"/>
  <c r="AF21" i="9"/>
  <c r="D22" i="9"/>
  <c r="K22" i="9"/>
  <c r="L22" i="9"/>
  <c r="M22" i="9"/>
  <c r="N22" i="9"/>
  <c r="O22" i="9"/>
  <c r="P22" i="9"/>
  <c r="Q22" i="9"/>
  <c r="R22" i="9"/>
  <c r="S22" i="9"/>
  <c r="T22" i="9"/>
  <c r="U22" i="9"/>
  <c r="V22" i="9"/>
  <c r="W22" i="9"/>
  <c r="X22" i="9"/>
  <c r="Y22" i="9"/>
  <c r="Z22" i="9"/>
  <c r="AA22" i="9"/>
  <c r="AB22" i="9"/>
  <c r="AC22" i="9"/>
  <c r="AD22" i="9"/>
  <c r="AE22" i="9"/>
  <c r="AF22" i="9"/>
  <c r="D23" i="9"/>
  <c r="H23" i="9"/>
  <c r="I23" i="9"/>
  <c r="J23" i="9"/>
  <c r="K23" i="9"/>
  <c r="L23" i="9"/>
  <c r="M23" i="9"/>
  <c r="N23" i="9"/>
  <c r="O23" i="9"/>
  <c r="P23" i="9"/>
  <c r="Q23" i="9"/>
  <c r="R23" i="9"/>
  <c r="S23" i="9"/>
  <c r="T23" i="9"/>
  <c r="U23" i="9"/>
  <c r="V23" i="9"/>
  <c r="W23" i="9"/>
  <c r="X23" i="9"/>
  <c r="Y23" i="9"/>
  <c r="Z23" i="9"/>
  <c r="AA23" i="9"/>
  <c r="AB23" i="9"/>
  <c r="AC23" i="9"/>
  <c r="AD23" i="9"/>
  <c r="AE23" i="9"/>
  <c r="AF23" i="9"/>
  <c r="H24" i="9"/>
  <c r="I24" i="9"/>
  <c r="J24" i="9"/>
  <c r="K24" i="9"/>
  <c r="L24" i="9"/>
  <c r="M24" i="9"/>
  <c r="N24" i="9"/>
  <c r="O24" i="9"/>
  <c r="P24" i="9"/>
  <c r="Q24" i="9"/>
  <c r="R24" i="9"/>
  <c r="S24" i="9"/>
  <c r="T24" i="9"/>
  <c r="U24" i="9"/>
  <c r="V24" i="9"/>
  <c r="W24" i="9"/>
  <c r="X24" i="9"/>
  <c r="Y24" i="9"/>
  <c r="Z24" i="9"/>
  <c r="AA24" i="9"/>
  <c r="AB24" i="9"/>
  <c r="AC24" i="9"/>
  <c r="AD24" i="9"/>
  <c r="AE24" i="9"/>
  <c r="AF24" i="9"/>
  <c r="D26" i="9"/>
  <c r="D27" i="9"/>
  <c r="D28" i="9"/>
  <c r="I28" i="9"/>
  <c r="J28" i="9"/>
  <c r="K28" i="9"/>
  <c r="L28" i="9"/>
  <c r="M28" i="9"/>
  <c r="N28" i="9"/>
  <c r="O28" i="9"/>
  <c r="P28" i="9"/>
  <c r="Q28" i="9"/>
  <c r="R28" i="9"/>
  <c r="S28" i="9"/>
  <c r="T28" i="9"/>
  <c r="U28" i="9"/>
  <c r="V28" i="9"/>
  <c r="W28" i="9"/>
  <c r="X28" i="9"/>
  <c r="Y28" i="9"/>
  <c r="Z28" i="9"/>
  <c r="AA28" i="9"/>
  <c r="AB28" i="9"/>
  <c r="AC28" i="9"/>
  <c r="AD28" i="9"/>
  <c r="AE28" i="9"/>
  <c r="AF28" i="9"/>
  <c r="D29" i="9"/>
  <c r="I29" i="9"/>
  <c r="J29" i="9"/>
  <c r="K29" i="9"/>
  <c r="L29" i="9"/>
  <c r="M29" i="9"/>
  <c r="N29" i="9"/>
  <c r="O29" i="9"/>
  <c r="P29" i="9"/>
  <c r="Q29" i="9"/>
  <c r="R29" i="9"/>
  <c r="S29" i="9"/>
  <c r="T29" i="9"/>
  <c r="U29" i="9"/>
  <c r="V29" i="9"/>
  <c r="W29" i="9"/>
  <c r="X29" i="9"/>
  <c r="Y29" i="9"/>
  <c r="Z29" i="9"/>
  <c r="AA29" i="9"/>
  <c r="AB29" i="9"/>
  <c r="AC29" i="9"/>
  <c r="AD29" i="9"/>
  <c r="AE29" i="9"/>
  <c r="AF29" i="9"/>
  <c r="D35" i="9"/>
  <c r="G41" i="9"/>
  <c r="H41" i="9"/>
  <c r="I41" i="9"/>
  <c r="J41" i="9"/>
  <c r="K41" i="9"/>
  <c r="L41" i="9"/>
  <c r="M41" i="9"/>
  <c r="N41" i="9"/>
  <c r="O41" i="9"/>
  <c r="P41" i="9"/>
  <c r="Q41" i="9"/>
  <c r="R41" i="9"/>
  <c r="S41" i="9"/>
  <c r="T41" i="9"/>
  <c r="U41" i="9"/>
  <c r="V41" i="9"/>
  <c r="W41" i="9"/>
  <c r="X41" i="9"/>
  <c r="Y41" i="9"/>
  <c r="Z41" i="9"/>
  <c r="AA41" i="9"/>
  <c r="AB41" i="9"/>
  <c r="AC41" i="9"/>
  <c r="AD41" i="9"/>
  <c r="AE41" i="9"/>
  <c r="G42" i="9"/>
  <c r="H42" i="9"/>
  <c r="I42" i="9"/>
  <c r="J42" i="9"/>
  <c r="K42" i="9"/>
  <c r="L42" i="9"/>
  <c r="M42" i="9"/>
  <c r="N42" i="9"/>
  <c r="O42" i="9"/>
  <c r="P42" i="9"/>
  <c r="Q42" i="9"/>
  <c r="R42" i="9"/>
  <c r="S42" i="9"/>
  <c r="T42" i="9"/>
  <c r="U42" i="9"/>
  <c r="V42" i="9"/>
  <c r="W42" i="9"/>
  <c r="X42" i="9"/>
  <c r="Y42" i="9"/>
  <c r="Z42" i="9"/>
  <c r="AA42" i="9"/>
  <c r="AB42" i="9"/>
  <c r="AC42" i="9"/>
  <c r="AD42" i="9"/>
  <c r="AE42" i="9"/>
  <c r="J43" i="9"/>
  <c r="K43" i="9"/>
  <c r="L43" i="9"/>
  <c r="M43" i="9"/>
  <c r="N43" i="9"/>
  <c r="O43" i="9"/>
  <c r="P43" i="9"/>
  <c r="Q43" i="9"/>
  <c r="R43" i="9"/>
  <c r="S43" i="9"/>
  <c r="T43" i="9"/>
  <c r="U43" i="9"/>
  <c r="V43" i="9"/>
  <c r="W43" i="9"/>
  <c r="X43" i="9"/>
  <c r="Y43" i="9"/>
  <c r="Z43" i="9"/>
  <c r="AA43" i="9"/>
  <c r="AB43" i="9"/>
  <c r="AC43" i="9"/>
  <c r="AD43" i="9"/>
  <c r="AE43" i="9"/>
  <c r="G44" i="9"/>
  <c r="H44" i="9"/>
  <c r="I44" i="9"/>
  <c r="J44" i="9"/>
  <c r="K44" i="9"/>
  <c r="L44" i="9"/>
  <c r="M44" i="9"/>
  <c r="N44" i="9"/>
  <c r="O44" i="9"/>
  <c r="P44" i="9"/>
  <c r="Q44" i="9"/>
  <c r="R44" i="9"/>
  <c r="S44" i="9"/>
  <c r="T44" i="9"/>
  <c r="U44" i="9"/>
  <c r="V44" i="9"/>
  <c r="W44" i="9"/>
  <c r="X44" i="9"/>
  <c r="Y44" i="9"/>
  <c r="Z44" i="9"/>
  <c r="AA44" i="9"/>
  <c r="AB44" i="9"/>
  <c r="AC44" i="9"/>
  <c r="AD44" i="9"/>
  <c r="AE44" i="9"/>
  <c r="G45" i="9"/>
  <c r="H45" i="9"/>
  <c r="I45" i="9"/>
  <c r="J45" i="9"/>
  <c r="K45" i="9"/>
  <c r="L45" i="9"/>
  <c r="M45" i="9"/>
  <c r="N45" i="9"/>
  <c r="O45" i="9"/>
  <c r="P45" i="9"/>
  <c r="Q45" i="9"/>
  <c r="R45" i="9"/>
  <c r="S45" i="9"/>
  <c r="T45" i="9"/>
  <c r="U45" i="9"/>
  <c r="V45" i="9"/>
  <c r="W45" i="9"/>
  <c r="X45" i="9"/>
  <c r="Y45" i="9"/>
  <c r="Z45" i="9"/>
  <c r="AA45" i="9"/>
  <c r="AB45" i="9"/>
  <c r="AC45" i="9"/>
  <c r="AD45" i="9"/>
  <c r="AE45" i="9"/>
  <c r="D5" i="11"/>
  <c r="H5" i="11"/>
  <c r="I5" i="11"/>
  <c r="J5" i="11"/>
  <c r="K5" i="11"/>
  <c r="L5" i="11"/>
  <c r="M5" i="11"/>
  <c r="N5" i="11"/>
  <c r="O5" i="11"/>
  <c r="P5" i="11"/>
  <c r="Q5" i="11"/>
  <c r="R5" i="11"/>
  <c r="S5" i="11"/>
  <c r="T5" i="11"/>
  <c r="U5" i="11"/>
  <c r="V5" i="11"/>
  <c r="W5" i="11"/>
  <c r="X5" i="11"/>
  <c r="Y5" i="11"/>
  <c r="Z5" i="11"/>
  <c r="AA5" i="11"/>
  <c r="AB5" i="11"/>
  <c r="AC5" i="11"/>
  <c r="AD5" i="11"/>
  <c r="AE5" i="11"/>
  <c r="AF5" i="11"/>
  <c r="D6" i="11"/>
  <c r="H6" i="11"/>
  <c r="I6" i="11"/>
  <c r="J6" i="11"/>
  <c r="K6" i="11"/>
  <c r="L6" i="11"/>
  <c r="M6" i="11"/>
  <c r="N6" i="11"/>
  <c r="O6" i="11"/>
  <c r="P6" i="11"/>
  <c r="Q6" i="11"/>
  <c r="R6" i="11"/>
  <c r="S6" i="11"/>
  <c r="T6" i="11"/>
  <c r="U6" i="11"/>
  <c r="V6" i="11"/>
  <c r="W6" i="11"/>
  <c r="X6" i="11"/>
  <c r="Y6" i="11"/>
  <c r="Z6" i="11"/>
  <c r="AA6" i="11"/>
  <c r="AB6" i="11"/>
  <c r="AC6" i="11"/>
  <c r="AD6" i="11"/>
  <c r="AE6" i="11"/>
  <c r="AF6" i="11"/>
  <c r="D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D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F12" i="11"/>
  <c r="D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D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D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D16" i="11"/>
  <c r="K16" i="11"/>
  <c r="L16" i="11"/>
  <c r="M16" i="11"/>
  <c r="N16" i="11"/>
  <c r="O16" i="11"/>
  <c r="P16" i="11"/>
  <c r="Q16" i="11"/>
  <c r="R16" i="11"/>
  <c r="S16" i="11"/>
  <c r="T16" i="11"/>
  <c r="U16" i="11"/>
  <c r="V16" i="11"/>
  <c r="W16" i="11"/>
  <c r="X16" i="11"/>
  <c r="Y16" i="11"/>
  <c r="Z16" i="11"/>
  <c r="AA16" i="11"/>
  <c r="AB16" i="11"/>
  <c r="AC16" i="11"/>
  <c r="AD16" i="11"/>
  <c r="AE16" i="11"/>
  <c r="AF16" i="11"/>
  <c r="D17" i="11"/>
  <c r="F17" i="11"/>
  <c r="D19" i="11"/>
  <c r="F19" i="11"/>
  <c r="D20" i="11"/>
  <c r="F20" i="11"/>
  <c r="D23" i="11"/>
  <c r="F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D24" i="11"/>
  <c r="F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D25" i="11"/>
  <c r="F25" i="11"/>
  <c r="D26" i="11"/>
  <c r="F26" i="11"/>
  <c r="D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D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D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D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D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D33" i="11"/>
  <c r="F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D11" i="15"/>
  <c r="D13" i="15"/>
  <c r="D16" i="15"/>
  <c r="D17" i="15"/>
  <c r="D18" i="15"/>
  <c r="D19" i="15"/>
  <c r="D20" i="15"/>
  <c r="D21" i="15"/>
  <c r="D22" i="15"/>
  <c r="D23" i="15"/>
  <c r="D24" i="15"/>
  <c r="D25" i="15"/>
  <c r="H115" i="2"/>
  <c r="H116" i="2"/>
  <c r="H117" i="2"/>
  <c r="H123" i="2"/>
  <c r="H189" i="2"/>
  <c r="E11" i="5"/>
  <c r="E12" i="5"/>
</calcChain>
</file>

<file path=xl/comments1.xml><?xml version="1.0" encoding="utf-8"?>
<comments xmlns="http://schemas.openxmlformats.org/spreadsheetml/2006/main">
  <authors>
    <author>HP</author>
  </authors>
  <commentList>
    <comment ref="F2" authorId="0">
      <text>
        <r>
          <rPr>
            <b/>
            <sz val="9"/>
            <rFont val="宋体"/>
            <charset val="134"/>
          </rPr>
          <t>HP:</t>
        </r>
        <r>
          <rPr>
            <sz val="9"/>
            <rFont val="宋体"/>
            <charset val="134"/>
          </rPr>
          <t xml:space="preserve">
引用维护板块内容</t>
        </r>
      </text>
    </comment>
  </commentList>
</comments>
</file>

<file path=xl/comments2.xml><?xml version="1.0" encoding="utf-8"?>
<comments xmlns="http://schemas.openxmlformats.org/spreadsheetml/2006/main">
  <authors>
    <author>HP</author>
  </authors>
  <commentList>
    <comment ref="D6" authorId="0">
      <text>
        <r>
          <rPr>
            <b/>
            <sz val="9"/>
            <rFont val="宋体"/>
            <charset val="134"/>
          </rPr>
          <t>HP:</t>
        </r>
        <r>
          <rPr>
            <sz val="9"/>
            <rFont val="宋体"/>
            <charset val="134"/>
          </rPr>
          <t xml:space="preserve">
反算、敏感性分析、蒙特卡洛</t>
        </r>
      </text>
    </comment>
    <comment ref="D7" authorId="0">
      <text>
        <r>
          <rPr>
            <b/>
            <sz val="9"/>
            <rFont val="宋体"/>
            <charset val="134"/>
          </rPr>
          <t>HP:</t>
        </r>
        <r>
          <rPr>
            <sz val="9"/>
            <rFont val="宋体"/>
            <charset val="134"/>
          </rPr>
          <t xml:space="preserve">
反算、蒙特卡洛、敏感性分析</t>
        </r>
      </text>
    </comment>
    <comment ref="D9" authorId="0">
      <text>
        <r>
          <rPr>
            <b/>
            <sz val="9"/>
            <rFont val="宋体"/>
            <charset val="134"/>
          </rPr>
          <t>HP:</t>
        </r>
        <r>
          <rPr>
            <sz val="9"/>
            <rFont val="宋体"/>
            <charset val="134"/>
          </rPr>
          <t xml:space="preserve">
反算、敏感性分析、蒙特卡洛</t>
        </r>
      </text>
    </comment>
    <comment ref="D10" authorId="0">
      <text>
        <r>
          <rPr>
            <b/>
            <sz val="9"/>
            <rFont val="宋体"/>
            <charset val="134"/>
          </rPr>
          <t>HP:</t>
        </r>
        <r>
          <rPr>
            <sz val="9"/>
            <rFont val="宋体"/>
            <charset val="134"/>
          </rPr>
          <t xml:space="preserve">
反算、敏感性分析、蒙特卡洛</t>
        </r>
      </text>
    </comment>
    <comment ref="D12" authorId="0">
      <text>
        <r>
          <rPr>
            <b/>
            <sz val="9"/>
            <rFont val="宋体"/>
            <charset val="134"/>
          </rPr>
          <t>HP:</t>
        </r>
        <r>
          <rPr>
            <sz val="9"/>
            <rFont val="宋体"/>
            <charset val="134"/>
          </rPr>
          <t xml:space="preserve">
蒙特卡洛、敏感性、反算</t>
        </r>
      </text>
    </comment>
    <comment ref="F15" authorId="0">
      <text>
        <r>
          <rPr>
            <b/>
            <sz val="9"/>
            <rFont val="宋体"/>
            <charset val="134"/>
          </rPr>
          <t>HP:</t>
        </r>
        <r>
          <rPr>
            <sz val="9"/>
            <rFont val="宋体"/>
            <charset val="134"/>
          </rPr>
          <t xml:space="preserve">
表三成本表</t>
        </r>
      </text>
    </comment>
  </commentList>
</comments>
</file>

<file path=xl/sharedStrings.xml><?xml version="1.0" encoding="utf-8"?>
<sst xmlns="http://schemas.openxmlformats.org/spreadsheetml/2006/main" count="2300" uniqueCount="689">
  <si>
    <t>参数输入表中：</t>
  </si>
  <si>
    <t>标黄项为相对固定模块</t>
  </si>
  <si>
    <t>标绿项为对成本类、收入类数据进行分类，成本参数按照：“生产成本/销售费用/管理费用/研发费用”划分；收入参数按照：“营业收入/其他收入/营业外收入”划分</t>
  </si>
  <si>
    <t>标橙项为固定的分类原则</t>
  </si>
  <si>
    <t>标紫项为在参数表中不需要手动输入、勾选的内容，根据其他输入参数自动计算得出，可不在参数输入界面呈现。</t>
  </si>
  <si>
    <t>标红项为引用同样红色sheet中相关数据</t>
  </si>
  <si>
    <t>标蓝项为可不展示内容，大部分为中间过程计算表/中间计算过程</t>
  </si>
  <si>
    <r>
      <rPr>
        <sz val="11"/>
        <color theme="1"/>
        <rFont val="微软雅黑"/>
        <charset val="134"/>
      </rPr>
      <t>【</t>
    </r>
    <r>
      <rPr>
        <b/>
        <sz val="11"/>
        <color theme="1"/>
        <rFont val="微软雅黑"/>
        <charset val="134"/>
      </rPr>
      <t>成本费用表】</t>
    </r>
    <r>
      <rPr>
        <sz val="11"/>
        <color theme="1"/>
        <rFont val="微软雅黑"/>
        <charset val="134"/>
      </rPr>
      <t>、【</t>
    </r>
    <r>
      <rPr>
        <b/>
        <sz val="11"/>
        <color theme="1"/>
        <rFont val="微软雅黑"/>
        <charset val="134"/>
      </rPr>
      <t>收入税金表】</t>
    </r>
    <r>
      <rPr>
        <sz val="11"/>
        <color theme="1"/>
        <rFont val="微软雅黑"/>
        <charset val="134"/>
      </rPr>
      <t>、【</t>
    </r>
    <r>
      <rPr>
        <b/>
        <sz val="11"/>
        <color theme="1"/>
        <rFont val="微软雅黑"/>
        <charset val="134"/>
      </rPr>
      <t>利润表】</t>
    </r>
    <r>
      <rPr>
        <sz val="11"/>
        <color theme="1"/>
        <rFont val="微软雅黑"/>
        <charset val="134"/>
      </rPr>
      <t>体现的是会计报表相关数据，涉及到的收入及成本数据均为不含增值税金额，</t>
    </r>
    <r>
      <rPr>
        <b/>
        <sz val="11"/>
        <color theme="1"/>
        <rFont val="微软雅黑"/>
        <charset val="134"/>
      </rPr>
      <t>不含税金额计算公式为： 【含税金额/（1+增值税税率）】；增值税计算公式为：【不含税金额*增值税税率】或【含税金额/（1+增值税税率）*增值税税率】</t>
    </r>
  </si>
  <si>
    <r>
      <rPr>
        <sz val="11"/>
        <color theme="1"/>
        <rFont val="微软雅黑"/>
        <charset val="134"/>
      </rPr>
      <t>【</t>
    </r>
    <r>
      <rPr>
        <b/>
        <sz val="11"/>
        <color theme="1"/>
        <rFont val="微软雅黑"/>
        <charset val="134"/>
      </rPr>
      <t>成本费用表</t>
    </r>
    <r>
      <rPr>
        <sz val="11"/>
        <color theme="1"/>
        <rFont val="微软雅黑"/>
        <charset val="134"/>
      </rPr>
      <t>】中各项成本按照：一、营业总成本：（1）生产成本；（2）销售费用；（3）管理费用；（4）研发费用；（5）财务费用；二、营业外支出，进行划分，其中需重点关注</t>
    </r>
    <r>
      <rPr>
        <b/>
        <sz val="11"/>
        <color theme="1"/>
        <rFont val="微软雅黑"/>
        <charset val="134"/>
      </rPr>
      <t>长期待摊费用成本项</t>
    </r>
    <r>
      <rPr>
        <sz val="11"/>
        <color theme="1"/>
        <rFont val="微软雅黑"/>
        <charset val="134"/>
      </rPr>
      <t>，在成本费用表中以逐年摊销的形式出现。</t>
    </r>
  </si>
  <si>
    <r>
      <rPr>
        <sz val="11"/>
        <color theme="1"/>
        <rFont val="微软雅黑"/>
        <charset val="134"/>
      </rPr>
      <t>【</t>
    </r>
    <r>
      <rPr>
        <b/>
        <sz val="11"/>
        <color theme="1"/>
        <rFont val="微软雅黑"/>
        <charset val="134"/>
      </rPr>
      <t>成本费用表</t>
    </r>
    <r>
      <rPr>
        <sz val="11"/>
        <color theme="1"/>
        <rFont val="微软雅黑"/>
        <charset val="134"/>
      </rPr>
      <t>】中标蓝的内容为不展示内容，为中间计算表，其中数据均还原成含税金额，用于后续的【</t>
    </r>
    <r>
      <rPr>
        <b/>
        <sz val="11"/>
        <color theme="1"/>
        <rFont val="微软雅黑"/>
        <charset val="134"/>
      </rPr>
      <t>现金流量表</t>
    </r>
    <r>
      <rPr>
        <sz val="11"/>
        <color theme="1"/>
        <rFont val="微软雅黑"/>
        <charset val="134"/>
      </rPr>
      <t>】引用</t>
    </r>
  </si>
  <si>
    <r>
      <rPr>
        <sz val="11"/>
        <color theme="1"/>
        <rFont val="微软雅黑"/>
        <charset val="134"/>
      </rPr>
      <t>【</t>
    </r>
    <r>
      <rPr>
        <b/>
        <sz val="11"/>
        <color theme="1"/>
        <rFont val="微软雅黑"/>
        <charset val="134"/>
      </rPr>
      <t>收入表</t>
    </r>
    <r>
      <rPr>
        <sz val="11"/>
        <color theme="1"/>
        <rFont val="微软雅黑"/>
        <charset val="134"/>
      </rPr>
      <t>】中各项收入按照：一、营业收入；二、其他收入；三、营业外收入，营业收入及营业外收入需展示二级目录（具体的收入项）</t>
    </r>
  </si>
  <si>
    <r>
      <rPr>
        <sz val="11"/>
        <color theme="1"/>
        <rFont val="微软雅黑"/>
        <charset val="134"/>
      </rPr>
      <t>【</t>
    </r>
    <r>
      <rPr>
        <b/>
        <sz val="11"/>
        <color theme="1"/>
        <rFont val="微软雅黑"/>
        <charset val="134"/>
      </rPr>
      <t>现金流量表</t>
    </r>
    <r>
      <rPr>
        <sz val="11"/>
        <color theme="1"/>
        <rFont val="微软雅黑"/>
        <charset val="134"/>
      </rPr>
      <t>】体现的是公司账上实际收到或支付的现金流，因此涉及到的收入及成本数据均为含增值税金额，数据需引用成本费用表中还原后的含税金额或参数输入表中的含税金额。同时，收入数据需关注付款比例及回款期限的应用。原理为当年的部分比例收入的滞后支付，第一年的某项收入现金流为预测现金流*首年支付比例，第二年的某项收入现金流为：当年预测现金流*当年支付比例+上一年预测现金流*（1-上一年支付比例）</t>
    </r>
  </si>
  <si>
    <r>
      <rPr>
        <sz val="11"/>
        <color theme="1"/>
        <rFont val="微软雅黑"/>
        <charset val="134"/>
      </rPr>
      <t>【</t>
    </r>
    <r>
      <rPr>
        <b/>
        <sz val="11"/>
        <color theme="1"/>
        <rFont val="微软雅黑"/>
        <charset val="134"/>
      </rPr>
      <t>现金流量表-财务计划</t>
    </r>
    <r>
      <rPr>
        <sz val="11"/>
        <color theme="1"/>
        <rFont val="微软雅黑"/>
        <charset val="134"/>
      </rPr>
      <t>】增加IF判定条件，当某年的累计盈余资金&lt;“流动资金（本项目为960万元）”+次年的“生产经营现金支出合计（成本费用表标蓝表第一行）”，给出明显提示（允许用户在参数输入界面填写各年度短期借款当期借款金额及还本金额，再重新生成新的结果）</t>
    </r>
  </si>
  <si>
    <t>投资概算</t>
  </si>
  <si>
    <t>序号</t>
  </si>
  <si>
    <t>科目</t>
  </si>
  <si>
    <t>计取基数</t>
  </si>
  <si>
    <t>进项税率</t>
  </si>
  <si>
    <t>进项税</t>
  </si>
  <si>
    <t>设备购置费</t>
  </si>
  <si>
    <t>建安工程费</t>
  </si>
  <si>
    <t>其他费用</t>
  </si>
  <si>
    <t>预备费</t>
  </si>
  <si>
    <t>储能投资</t>
  </si>
  <si>
    <t>送出线路投资</t>
  </si>
  <si>
    <t>配套支持资金</t>
  </si>
  <si>
    <t>静态总投资</t>
  </si>
  <si>
    <t>建设期利息</t>
  </si>
  <si>
    <t>动态总投资</t>
  </si>
  <si>
    <t>流动资金</t>
  </si>
  <si>
    <t>可抵扣进项税</t>
  </si>
  <si>
    <t>可抵扣进项税为后台计算，不需要作为成果展示</t>
  </si>
  <si>
    <t>【光伏】财务评价计算模型边界条件输入参数表</t>
  </si>
  <si>
    <t>类别</t>
  </si>
  <si>
    <t>参数</t>
  </si>
  <si>
    <t>操作类型</t>
  </si>
  <si>
    <t>收入/成本归类</t>
  </si>
  <si>
    <t>参数释义/计算公式</t>
  </si>
  <si>
    <t>数值</t>
  </si>
  <si>
    <t>单位</t>
  </si>
  <si>
    <t>取值说明</t>
  </si>
  <si>
    <t>备注</t>
  </si>
  <si>
    <t>基础信息</t>
  </si>
  <si>
    <t>建设期</t>
  </si>
  <si>
    <t>手动输入</t>
  </si>
  <si>
    <t>月</t>
  </si>
  <si>
    <t>在初核阶段，不含升压站的集中式光伏项目建设期一般按5个月计算，含升压站的按7个月计算，屋顶分布式项目、大型基地项目根据实际情况调整。</t>
  </si>
  <si>
    <t>动工年月</t>
  </si>
  <si>
    <t>手动输入/下拉菜单选择【日历】</t>
  </si>
  <si>
    <t>年/月</t>
  </si>
  <si>
    <t>施工进度安排</t>
  </si>
  <si>
    <t>%</t>
  </si>
  <si>
    <t>建设期第1年</t>
  </si>
  <si>
    <t>建设期第2年</t>
  </si>
  <si>
    <t>运营期</t>
  </si>
  <si>
    <t>年</t>
  </si>
  <si>
    <t>原则上按照25年考虑</t>
  </si>
  <si>
    <t>项目所在地</t>
  </si>
  <si>
    <t>下拉菜单选择</t>
  </si>
  <si>
    <t>判定是否属于西部地区</t>
  </si>
  <si>
    <t>所在省份</t>
  </si>
  <si>
    <t>所在市、县</t>
  </si>
  <si>
    <t>实际装机容量</t>
  </si>
  <si>
    <t>MW</t>
  </si>
  <si>
    <t>1MW=1000kW</t>
  </si>
  <si>
    <t>储能额定功率</t>
  </si>
  <si>
    <t>储能容量</t>
  </si>
  <si>
    <t>MWh</t>
  </si>
  <si>
    <t>首年年利用小时数</t>
  </si>
  <si>
    <t>h</t>
  </si>
  <si>
    <t>发电量</t>
  </si>
  <si>
    <t>自动计算</t>
  </si>
  <si>
    <t>各年上网电量=（（首年年利用小时数*实际装机容量*各年衰减系数）</t>
  </si>
  <si>
    <t>1MWh=0.1万度电</t>
  </si>
  <si>
    <t>衰减率（首年）</t>
  </si>
  <si>
    <t>衰减率（其他年）</t>
  </si>
  <si>
    <t>限电率</t>
  </si>
  <si>
    <t>运营期第1年</t>
  </si>
  <si>
    <t>运营期第2年</t>
  </si>
  <si>
    <t>运营期第3年</t>
  </si>
  <si>
    <t>运营期第4年</t>
  </si>
  <si>
    <t>运营期第5年</t>
  </si>
  <si>
    <t>运营期第6年</t>
  </si>
  <si>
    <t>运营期第7年</t>
  </si>
  <si>
    <t>运营期第8年</t>
  </si>
  <si>
    <t>运营期第9年</t>
  </si>
  <si>
    <t>运营期第10年</t>
  </si>
  <si>
    <t>运营期第11年</t>
  </si>
  <si>
    <t>运营期第12年</t>
  </si>
  <si>
    <t>运营期第13年</t>
  </si>
  <si>
    <t>运营期第14年</t>
  </si>
  <si>
    <t>运营期第15年</t>
  </si>
  <si>
    <t>运营期第16年</t>
  </si>
  <si>
    <t>运营期第17年</t>
  </si>
  <si>
    <t>运营期第18年</t>
  </si>
  <si>
    <t>运营期第19年</t>
  </si>
  <si>
    <t>运营期第20年</t>
  </si>
  <si>
    <t>运营期第21年</t>
  </si>
  <si>
    <t>运营期第22年</t>
  </si>
  <si>
    <t>运营期第23年</t>
  </si>
  <si>
    <t>运营期第24年</t>
  </si>
  <si>
    <t>运营期第25年</t>
  </si>
  <si>
    <t>上网电量</t>
  </si>
  <si>
    <t>各年上网电量=（（首年年利用小时数*实际装机容量*各年衰减系数）-数能融合消纳电量）*（1-限电率）</t>
  </si>
  <si>
    <t>上网电价</t>
  </si>
  <si>
    <t>元/kWh</t>
  </si>
  <si>
    <t>……</t>
  </si>
  <si>
    <t>数能融合消纳光伏电量占比</t>
  </si>
  <si>
    <t>数能融合机制电价</t>
  </si>
  <si>
    <t>手动输入/下拉菜单选择【增值税税率】</t>
  </si>
  <si>
    <t>增值税税率（自动生成含税和不含税价）：13%/9%/6%/0%</t>
  </si>
  <si>
    <t>万元</t>
  </si>
  <si>
    <t>项目静态总投资</t>
  </si>
  <si>
    <t>投资概算1-7合计</t>
  </si>
  <si>
    <t>静态总投资（自主投资）</t>
  </si>
  <si>
    <t>静态总投资（自主投资）=项目静态总投资-建设补贴</t>
  </si>
  <si>
    <t>计入总投资的资本化利息，直接引用资金筹措表数据</t>
  </si>
  <si>
    <r>
      <rPr>
        <b/>
        <sz val="12"/>
        <rFont val="宋体"/>
        <charset val="134"/>
        <scheme val="minor"/>
      </rPr>
      <t>项目动态总投资</t>
    </r>
    <r>
      <rPr>
        <b/>
        <sz val="10"/>
        <rFont val="宋体"/>
        <charset val="134"/>
        <scheme val="minor"/>
      </rPr>
      <t xml:space="preserve"> (不含流动资金)</t>
    </r>
  </si>
  <si>
    <r>
      <rPr>
        <sz val="11"/>
        <rFont val="宋体"/>
        <charset val="134"/>
        <scheme val="minor"/>
      </rPr>
      <t>项目动态总投资</t>
    </r>
    <r>
      <rPr>
        <sz val="9"/>
        <rFont val="宋体"/>
        <charset val="134"/>
        <scheme val="minor"/>
      </rPr>
      <t>（不含流动资金）</t>
    </r>
    <r>
      <rPr>
        <sz val="11"/>
        <rFont val="宋体"/>
        <charset val="134"/>
        <scheme val="minor"/>
      </rPr>
      <t>=项目静态总投资+建设期利息</t>
    </r>
  </si>
  <si>
    <r>
      <rPr>
        <b/>
        <sz val="12"/>
        <rFont val="宋体"/>
        <charset val="134"/>
        <scheme val="minor"/>
      </rPr>
      <t>动态总投资</t>
    </r>
    <r>
      <rPr>
        <b/>
        <sz val="10"/>
        <rFont val="宋体"/>
        <charset val="134"/>
        <scheme val="minor"/>
      </rPr>
      <t>（自主投资_不含流动资金）</t>
    </r>
  </si>
  <si>
    <r>
      <rPr>
        <sz val="11"/>
        <rFont val="宋体"/>
        <charset val="134"/>
        <scheme val="minor"/>
      </rPr>
      <t>动态总投资</t>
    </r>
    <r>
      <rPr>
        <sz val="9"/>
        <rFont val="宋体"/>
        <charset val="134"/>
        <scheme val="minor"/>
      </rPr>
      <t>（自主投资_不含流动资金）</t>
    </r>
    <r>
      <rPr>
        <sz val="11"/>
        <rFont val="宋体"/>
        <charset val="134"/>
        <scheme val="minor"/>
      </rPr>
      <t>=静态总投资（自主投资）+建设期利息</t>
    </r>
  </si>
  <si>
    <t>手动输入后自动计算</t>
  </si>
  <si>
    <t>自定义计算规则</t>
  </si>
  <si>
    <t>建议按照30元/kW考虑</t>
  </si>
  <si>
    <t>流动资金取费单价</t>
  </si>
  <si>
    <t>流动资金=实际装机容量*流动资金取费单价/10000</t>
  </si>
  <si>
    <t>元/kW</t>
  </si>
  <si>
    <t>根据项目设计概算梳理出设备类、建安类、服务类投资，再分别按照对应适用税率（现行标准为13%、9%、6%）计算出可抵扣增值税额</t>
  </si>
  <si>
    <t>建设补贴</t>
  </si>
  <si>
    <t>投融资相关</t>
  </si>
  <si>
    <t>资本金比例</t>
  </si>
  <si>
    <t>资本金比例原则上在20%-30%之间</t>
  </si>
  <si>
    <t>资本金</t>
  </si>
  <si>
    <t>资本金=资金筹措动态总投资*资本金比例</t>
  </si>
  <si>
    <t>宽限期</t>
  </si>
  <si>
    <t>建设期仅付息，不还本</t>
  </si>
  <si>
    <t>建设期利息贷款利率</t>
  </si>
  <si>
    <t>用于计算建设期利息的贷款利率</t>
  </si>
  <si>
    <t>长期贷款利率</t>
  </si>
  <si>
    <t>原则上按照开发主体在项目所在地实际融资水平取值，不得高于同期限银行贷款基础利率（LPR）</t>
  </si>
  <si>
    <t>短期贷款利率</t>
  </si>
  <si>
    <t>长期借款本金偿还方式</t>
  </si>
  <si>
    <t>等额本息/等额本金/其他</t>
  </si>
  <si>
    <t>长期借款本金还款期限</t>
  </si>
  <si>
    <t>还款期限建议取值15年，最终根据与银行沟通协商情况据实调整</t>
  </si>
  <si>
    <t>流动资金中资本金占比</t>
  </si>
  <si>
    <t>项目公司注册资本</t>
  </si>
  <si>
    <t>盈余公积金</t>
  </si>
  <si>
    <t>法定盈余公积金提取上限</t>
  </si>
  <si>
    <t>法定盈余公积金按当年净利润10%提取，累计提取至注册资本的50%不再提取</t>
  </si>
  <si>
    <t>法定盈余公积金提取比例</t>
  </si>
  <si>
    <t>默认成固定值</t>
  </si>
  <si>
    <t>法定盈余公积金按当年净利润10%提取</t>
  </si>
  <si>
    <t>任意盈余公积金提取比例</t>
  </si>
  <si>
    <t>短期借款</t>
  </si>
  <si>
    <t>短期借款额</t>
  </si>
  <si>
    <t>手动输入（运营期各年），初始默认各年为0</t>
  </si>
  <si>
    <t>短期借款还本</t>
  </si>
  <si>
    <t>成本费用</t>
  </si>
  <si>
    <t>材料费</t>
  </si>
  <si>
    <t>生产成本/销售费用/管理费用/研发费用</t>
  </si>
  <si>
    <t>在运营期前5年（质保期内）将材料费和运行维护费用合并考虑，建议取值不低于1万元/兆瓦/年；自运营期第6年起单独考虑材料费，建议取值不低于0.1万元/兆瓦/年。
（对于外委运维，应结合运维合同约定的工作界面，视情况进行调整）</t>
  </si>
  <si>
    <t>前端自定义</t>
  </si>
  <si>
    <t>运营期1-5年</t>
  </si>
  <si>
    <t>万元/兆瓦/年</t>
  </si>
  <si>
    <t>运营期6-10年</t>
  </si>
  <si>
    <t>运营期11-15年</t>
  </si>
  <si>
    <t>运营期16-20年</t>
  </si>
  <si>
    <t>运营期21-25年</t>
  </si>
  <si>
    <t>增值税税率（自动生成含税和不含税数据）</t>
  </si>
  <si>
    <t>13%/9%/6%/0%</t>
  </si>
  <si>
    <t>维修费</t>
  </si>
  <si>
    <t>生产成本/管理费用</t>
  </si>
  <si>
    <t>在运营期前5年（质保期内）将材料费和运行维护费用合并考虑，建议取值不低于1万元/兆瓦/年；自运营期第6年开始单独考虑运行维修费，结合固定资产磨损状态，建议第六年按照不低于项目固定资产原值0.3%取值，之后每5年上调不低于0.1%。
（对于外委运维，应结合运维合同约定的工作界面，视情况进行调整）</t>
  </si>
  <si>
    <t>取费基数</t>
  </si>
  <si>
    <t>费率</t>
  </si>
  <si>
    <t>增值税税率（自动生成含税和不含数据）</t>
  </si>
  <si>
    <t>保险费</t>
  </si>
  <si>
    <t>管理费用</t>
  </si>
  <si>
    <t xml:space="preserve">原则上应按照实际购买险种和对应集采价格进行计算。
</t>
  </si>
  <si>
    <t>可自定义25年费率</t>
  </si>
  <si>
    <t>增值税税率（自动生成含税和不含税价）</t>
  </si>
  <si>
    <t>生产人员薪酬及福利</t>
  </si>
  <si>
    <t>生产成本</t>
  </si>
  <si>
    <t>生产人员（正式/劳务派遣）</t>
  </si>
  <si>
    <t>（1）正式员工
①人员数量：容量0-50MW，集控管理5人、非集控管理7人；50.1-100MW，集控8人、非集控12人；100.1-200MW，集控13人、非集控17人；200.1-300MW，集控16人、非集控20人；300.1-400MW，集控21人、非集控25人；400MW以上结合实际情况考虑。
②薪酬福利：人均工资16万元/年，综合福利按照工资50%取值，综合薪酬考虑每年增长5%。
（具体项目运维人数可根据建设规模、管理模式、周边已建项目距离和运维人员配置等情况统筹优化调整；薪酬福利标准可根据集团公司在当地用工的实际水平进行调整）
（2）劳务外包员工
①人员数量：容量100MW及以内配置3人，每增加100MW增加1人。
②薪酬福利：按照正式员工50%取值。
（对于外委运维，应结合运维合同约定的工作界面，视情况进行调整）</t>
  </si>
  <si>
    <t>正式员工</t>
  </si>
  <si>
    <t>人</t>
  </si>
  <si>
    <t>劳务派遣</t>
  </si>
  <si>
    <t>人均工资</t>
  </si>
  <si>
    <r>
      <rPr>
        <sz val="12"/>
        <rFont val="宋体"/>
        <charset val="134"/>
      </rPr>
      <t>万元/人</t>
    </r>
    <r>
      <rPr>
        <sz val="12"/>
        <rFont val="宋体"/>
        <charset val="134"/>
      </rPr>
      <t>/年</t>
    </r>
  </si>
  <si>
    <t>正式员工工资</t>
  </si>
  <si>
    <t>劳务派遣工资</t>
  </si>
  <si>
    <t>社会保险及福利费用系数</t>
  </si>
  <si>
    <t>上涨系数调整</t>
  </si>
  <si>
    <t>可自定义增长形式</t>
  </si>
  <si>
    <t>其他费用（单价）</t>
  </si>
  <si>
    <t>万元/MW</t>
  </si>
  <si>
    <t>建议按照1万元/兆瓦/年取值。
（对于外委运维，应结合运维合同约定的工作界面，视情况进行调整）</t>
  </si>
  <si>
    <t>场地租金费用</t>
  </si>
  <si>
    <t>租地面积</t>
  </si>
  <si>
    <t>亩</t>
  </si>
  <si>
    <t>租金单价</t>
  </si>
  <si>
    <t>元/亩/年</t>
  </si>
  <si>
    <t>租金上涨系数</t>
  </si>
  <si>
    <t>每5年上涨10%</t>
  </si>
  <si>
    <t>期末拆除费用</t>
  </si>
  <si>
    <t>固定资产原值*拆除费率，初核阶段建议可按照固定资产原值2%估算。</t>
  </si>
  <si>
    <t>储能费用</t>
  </si>
  <si>
    <t>元/kw/年</t>
  </si>
  <si>
    <t>资产折旧摊销</t>
  </si>
  <si>
    <t>不需要归类</t>
  </si>
  <si>
    <t>固定资产折旧</t>
  </si>
  <si>
    <t>固定资产原值</t>
  </si>
  <si>
    <t>固定资产原值=项目动态总投资（自主投资_不含流动资金）-可抵扣进项税=项目静态总投资-建设补贴+建设期利息-可抵扣进项税</t>
  </si>
  <si>
    <t>9.1.1</t>
  </si>
  <si>
    <t>固定资产折旧计提方式</t>
  </si>
  <si>
    <t>直线法/其他(手动填写各年的折旧额)</t>
  </si>
  <si>
    <t>原则上采用平均年限法进行折旧，折旧年限取值18年，残值率取值0%</t>
  </si>
  <si>
    <t>9.1.2</t>
  </si>
  <si>
    <t>固定资产折旧年限</t>
  </si>
  <si>
    <t>9.1.3</t>
  </si>
  <si>
    <t>固定资产残值率</t>
  </si>
  <si>
    <t>无形资产摊销</t>
  </si>
  <si>
    <t>9.2.1</t>
  </si>
  <si>
    <t>无形资产原值</t>
  </si>
  <si>
    <t>9.2.2</t>
  </si>
  <si>
    <t>无形资产摊销计提方式</t>
  </si>
  <si>
    <t>9.2.3</t>
  </si>
  <si>
    <t>无形资产摊销年限</t>
  </si>
  <si>
    <t>9.2.4</t>
  </si>
  <si>
    <t>无形资产残值率</t>
  </si>
  <si>
    <t>计入长期待摊的成本项</t>
  </si>
  <si>
    <t>适用于一次性支付多年租金等情形</t>
  </si>
  <si>
    <t>计入长期待摊的成本金额</t>
  </si>
  <si>
    <t>摊销计提方式</t>
  </si>
  <si>
    <t>直线法/其他</t>
  </si>
  <si>
    <t>摊销年限</t>
  </si>
  <si>
    <t>大修及更新重置</t>
  </si>
  <si>
    <t>大修及更新重置投资</t>
  </si>
  <si>
    <t>折旧摊销计提方式</t>
  </si>
  <si>
    <t>大修及更新重置投资折旧年限</t>
  </si>
  <si>
    <t>残值率</t>
  </si>
  <si>
    <t>增值税进项税</t>
  </si>
  <si>
    <t>大修及更新重置进项税=大修及更新重置投资/（1+增值税税率（自动生成含税和不含税价））*增值税税率（自动生成含税和不含税价）</t>
  </si>
  <si>
    <t>取更换设备当年投入费用</t>
  </si>
  <si>
    <t>营业外支出</t>
  </si>
  <si>
    <t>营业外支出金额</t>
  </si>
  <si>
    <t>捐赠/税前分红/扶贫支出等</t>
  </si>
  <si>
    <t>收入</t>
  </si>
  <si>
    <t>营业收入</t>
  </si>
  <si>
    <t>发电销售收入</t>
  </si>
  <si>
    <t>发电收入=上网电量*（上网电价-电网辅助服务分摊-两个细则考核）</t>
  </si>
  <si>
    <t>上网售电收入</t>
  </si>
  <si>
    <t>直接引用生产相关数据</t>
  </si>
  <si>
    <t>电网辅助服务分摊</t>
  </si>
  <si>
    <t>原则上按照项目所在地（最多不超过本省）同类型项目的近两年实际平均水平考虑。</t>
  </si>
  <si>
    <t>两个细则考核</t>
  </si>
  <si>
    <t>数能融合消纳电量收入</t>
  </si>
  <si>
    <t>数能融合消纳电量</t>
  </si>
  <si>
    <t>其他收入</t>
  </si>
  <si>
    <t>可自定义名称及计算规则</t>
  </si>
  <si>
    <t>数量</t>
  </si>
  <si>
    <t>收入单价</t>
  </si>
  <si>
    <t>营业外收入</t>
  </si>
  <si>
    <r>
      <rPr>
        <b/>
        <sz val="12"/>
        <rFont val="宋体"/>
        <charset val="134"/>
      </rPr>
      <t>政府运营补贴收入</t>
    </r>
    <r>
      <rPr>
        <b/>
        <sz val="10"/>
        <rFont val="宋体"/>
        <charset val="134"/>
      </rPr>
      <t>（一次性）</t>
    </r>
  </si>
  <si>
    <t>3.1.1</t>
  </si>
  <si>
    <t>补贴金额</t>
  </si>
  <si>
    <t>3.1.2</t>
  </si>
  <si>
    <t>递延收益确认</t>
  </si>
  <si>
    <t>税金</t>
  </si>
  <si>
    <t>增值税优惠政策</t>
  </si>
  <si>
    <t>常规/即征即退</t>
  </si>
  <si>
    <t>常规</t>
  </si>
  <si>
    <t>菜单项</t>
  </si>
  <si>
    <t>无增值税退税优惠</t>
  </si>
  <si>
    <t>即征即退</t>
  </si>
  <si>
    <t>菜单项/手动输入</t>
  </si>
  <si>
    <t>【】</t>
  </si>
  <si>
    <t>企业所得税优惠政策</t>
  </si>
  <si>
    <t>下拉菜单选择
（可多选）</t>
  </si>
  <si>
    <t>常规/所得税三免三减半/西部地区的鼓励类产业企业</t>
  </si>
  <si>
    <t>三免三减半</t>
  </si>
  <si>
    <t>①所得税三免三减半：自取得第一笔发电收入所属纳税年度起，免除第1-3年所得税，减半征收第4-6年所得税。
②若符合西部地区的鼓励类产业企业政策：根据《关于延续西部大开发企业所得税政策的公告》和《西部地区鼓励类产业目录》，对于符合相应应条件的西部地区项目，在2030年及以前的运营期可进一步考虑所得税率减按15%执行的优惠政策。</t>
  </si>
  <si>
    <t>无所得税优惠</t>
  </si>
  <si>
    <t>所得税三免三减半</t>
  </si>
  <si>
    <t>自取得第一笔发电收入所属纳税年度起，免除第1-3年所得税，减半征收第4-6年所得税</t>
  </si>
  <si>
    <t>西部地区的鼓励类产业企业</t>
  </si>
  <si>
    <t>2030年前所得税适用15%税率</t>
  </si>
  <si>
    <t>2030年前适用15%所得税税率</t>
  </si>
  <si>
    <t>城市维护建设税税率</t>
  </si>
  <si>
    <t>所在地为市区的，税率7%；
所在地为县城、镇的，税率为5%；
所在地不在市区、县城或镇的，税率为1%。</t>
  </si>
  <si>
    <t>城建税税率（市区）</t>
  </si>
  <si>
    <t>城建税税率（县城、镇）</t>
  </si>
  <si>
    <t>城建税税率（其他）</t>
  </si>
  <si>
    <t>教育费附加费</t>
  </si>
  <si>
    <r>
      <rPr>
        <sz val="12"/>
        <rFont val="宋体"/>
        <charset val="134"/>
      </rPr>
      <t>教育费附加=（实际缴纳的增值税+营业税+消费税）×</t>
    </r>
    <r>
      <rPr>
        <b/>
        <sz val="12"/>
        <rFont val="宋体"/>
        <charset val="134"/>
      </rPr>
      <t>3%</t>
    </r>
    <r>
      <rPr>
        <sz val="11"/>
        <color theme="1"/>
        <rFont val="宋体"/>
        <charset val="134"/>
        <scheme val="minor"/>
      </rPr>
      <t xml:space="preserve">
地方教育附加=（实际缴纳的增值税+营业税+消费税）×</t>
    </r>
    <r>
      <rPr>
        <b/>
        <sz val="12"/>
        <rFont val="宋体"/>
        <charset val="134"/>
      </rPr>
      <t>2%</t>
    </r>
  </si>
  <si>
    <t>教育附加税率</t>
  </si>
  <si>
    <t>地方教育附加税率</t>
  </si>
  <si>
    <t>城镇土地使用税</t>
  </si>
  <si>
    <t>应税土地面积</t>
  </si>
  <si>
    <t>㎡</t>
  </si>
  <si>
    <t>城镇土地使用税税收标准</t>
  </si>
  <si>
    <t>元/㎡</t>
  </si>
  <si>
    <t>维护板块</t>
  </si>
  <si>
    <t>增值税税率（自动生成含税和不含税价）（进项税）</t>
  </si>
  <si>
    <t>增值税税率（自动生成含税和不含税价）（销项税）</t>
  </si>
  <si>
    <t>售电收入</t>
  </si>
  <si>
    <t>参数表中标黄为相对固定模块，成本、收入板块中非固定模块建议设置成可选可添加形式，由操作者自定义名称、计算方式及具体参数进行计算。</t>
  </si>
  <si>
    <t>所有收入、成本参数需同步勾选对应增值税税率（自动生成含税和不含税价）</t>
  </si>
  <si>
    <t>资金筹措表</t>
  </si>
  <si>
    <t>合计</t>
  </si>
  <si>
    <t>动态总投资（自主投资）</t>
  </si>
  <si>
    <t>资金来源</t>
  </si>
  <si>
    <t>2.1.1</t>
  </si>
  <si>
    <t>用于建设投资</t>
  </si>
  <si>
    <t>2.1.2</t>
  </si>
  <si>
    <t>用于建设期利息</t>
  </si>
  <si>
    <t>2.1.3</t>
  </si>
  <si>
    <t>用于流动资金</t>
  </si>
  <si>
    <t>债务资金</t>
  </si>
  <si>
    <t>2.2.1</t>
  </si>
  <si>
    <t>营运资本变动</t>
  </si>
  <si>
    <t>项目</t>
  </si>
  <si>
    <t>流动资产</t>
  </si>
  <si>
    <t>货币资金</t>
  </si>
  <si>
    <t>应收账款</t>
  </si>
  <si>
    <t>存货</t>
  </si>
  <si>
    <r>
      <rPr>
        <sz val="12"/>
        <color theme="1"/>
        <rFont val="微软雅黑"/>
        <charset val="134"/>
      </rPr>
      <t>其他流动资产</t>
    </r>
    <r>
      <rPr>
        <sz val="10"/>
        <color theme="1"/>
        <rFont val="微软雅黑"/>
        <charset val="134"/>
      </rPr>
      <t>（留抵税额）</t>
    </r>
  </si>
  <si>
    <t>流动负债</t>
  </si>
  <si>
    <t>预收款项</t>
  </si>
  <si>
    <t>应付职工薪酬</t>
  </si>
  <si>
    <t>应交税费</t>
  </si>
  <si>
    <t>应付股利</t>
  </si>
  <si>
    <t>其他流动负债</t>
  </si>
  <si>
    <r>
      <rPr>
        <b/>
        <sz val="12"/>
        <color theme="1"/>
        <rFont val="微软雅黑"/>
        <charset val="134"/>
      </rPr>
      <t>借款还本付息表</t>
    </r>
    <r>
      <rPr>
        <b/>
        <sz val="10"/>
        <color theme="1"/>
        <rFont val="微软雅黑"/>
        <charset val="134"/>
      </rPr>
      <t>（长期借款）</t>
    </r>
  </si>
  <si>
    <t>期初借款累计</t>
  </si>
  <si>
    <t>当期借款</t>
  </si>
  <si>
    <t>当期还本付息</t>
  </si>
  <si>
    <r>
      <rPr>
        <sz val="12"/>
        <color theme="1"/>
        <rFont val="微软雅黑"/>
        <charset val="134"/>
      </rPr>
      <t>其中：还本</t>
    </r>
    <r>
      <rPr>
        <sz val="10"/>
        <color rgb="FFFF0000"/>
        <rFont val="微软雅黑"/>
        <charset val="134"/>
      </rPr>
      <t>（等额本息）</t>
    </r>
  </si>
  <si>
    <t xml:space="preserve">      付息</t>
  </si>
  <si>
    <t>期末借款余额</t>
  </si>
  <si>
    <r>
      <rPr>
        <sz val="12"/>
        <color theme="1"/>
        <rFont val="微软雅黑"/>
        <charset val="134"/>
      </rPr>
      <t>其中：还本</t>
    </r>
    <r>
      <rPr>
        <sz val="10"/>
        <color rgb="FF00B050"/>
        <rFont val="微软雅黑"/>
        <charset val="134"/>
      </rPr>
      <t>（等额本金）</t>
    </r>
  </si>
  <si>
    <r>
      <rPr>
        <b/>
        <sz val="12"/>
        <color theme="1"/>
        <rFont val="微软雅黑"/>
        <charset val="134"/>
      </rPr>
      <t>借款还本付息表</t>
    </r>
    <r>
      <rPr>
        <b/>
        <sz val="10"/>
        <color theme="1"/>
        <rFont val="微软雅黑"/>
        <charset val="134"/>
      </rPr>
      <t>（流动资金借款）</t>
    </r>
  </si>
  <si>
    <t>一</t>
  </si>
  <si>
    <t>二</t>
  </si>
  <si>
    <t>三</t>
  </si>
  <si>
    <t>其中：还本</t>
  </si>
  <si>
    <t>四</t>
  </si>
  <si>
    <r>
      <rPr>
        <b/>
        <sz val="12"/>
        <color theme="1"/>
        <rFont val="微软雅黑"/>
        <charset val="134"/>
      </rPr>
      <t>借款还本付息表</t>
    </r>
    <r>
      <rPr>
        <b/>
        <sz val="10"/>
        <color theme="1"/>
        <rFont val="微软雅黑"/>
        <charset val="134"/>
      </rPr>
      <t>（短期借款）</t>
    </r>
  </si>
  <si>
    <r>
      <rPr>
        <b/>
        <sz val="12"/>
        <color theme="1"/>
        <rFont val="微软雅黑"/>
        <charset val="134"/>
      </rPr>
      <t>借款还本付息表</t>
    </r>
    <r>
      <rPr>
        <b/>
        <sz val="10"/>
        <color theme="1"/>
        <rFont val="微软雅黑"/>
        <charset val="134"/>
      </rPr>
      <t>（</t>
    </r>
    <r>
      <rPr>
        <b/>
        <sz val="10"/>
        <color rgb="FFFF0000"/>
        <rFont val="微软雅黑"/>
        <charset val="134"/>
      </rPr>
      <t>汇总—等额本息</t>
    </r>
    <r>
      <rPr>
        <b/>
        <sz val="10"/>
        <color theme="1"/>
        <rFont val="微软雅黑"/>
        <charset val="134"/>
      </rPr>
      <t>）</t>
    </r>
  </si>
  <si>
    <r>
      <rPr>
        <b/>
        <sz val="12"/>
        <color theme="1"/>
        <rFont val="微软雅黑"/>
        <charset val="134"/>
      </rPr>
      <t>借款还本付息表</t>
    </r>
    <r>
      <rPr>
        <b/>
        <sz val="10"/>
        <color theme="1"/>
        <rFont val="微软雅黑"/>
        <charset val="134"/>
      </rPr>
      <t>（</t>
    </r>
    <r>
      <rPr>
        <b/>
        <sz val="10"/>
        <color rgb="FF00B050"/>
        <rFont val="微软雅黑"/>
        <charset val="134"/>
      </rPr>
      <t>汇总—等额本金</t>
    </r>
    <r>
      <rPr>
        <b/>
        <sz val="10"/>
        <color theme="1"/>
        <rFont val="微软雅黑"/>
        <charset val="134"/>
      </rPr>
      <t>）</t>
    </r>
  </si>
  <si>
    <t>当期借款引用“资金筹措表”对应年份债务资金数据</t>
  </si>
  <si>
    <t>等额本金/等额本息/其他，作为参数输入表—投融资相关板块中的可选择情形，匹配如下不同的计算方法</t>
  </si>
  <si>
    <t>（1）等额本息情形下，还本付息采用年金公式先得出每年的 本金+利息 之和（固定值），再结合各年度期初及当期借款金额计算出各年度应付利息，进而推算出每年偿还的本金。</t>
  </si>
  <si>
    <t>（2）等额本金情形下，每年的本金偿还为固定值（建设期借款总额/还款年限），再结合各年度期初及当期借款金额计算出各年度应付利息。</t>
  </si>
  <si>
    <t>（3）其他情形下，运营期每年的本金偿还设置为手动输入项</t>
  </si>
  <si>
    <t>短期借款每年的当期借款及还本直接引用参数表的数据（初始默认为0）</t>
  </si>
  <si>
    <t>中间过程引用（隐藏）</t>
  </si>
  <si>
    <t>动态总投资（自主投资_不含流动资金）</t>
  </si>
  <si>
    <t>固定资产原值=项目动态总投资（自主投资_不含流动资金）-可抵扣进项税-无形资产原值=项目静态总投资-建设补贴+建设期利息-可抵扣进项税-无形资产原值</t>
  </si>
  <si>
    <t>折旧方式</t>
  </si>
  <si>
    <t>折旧年限</t>
  </si>
  <si>
    <t>长期待摊费用（第1年）</t>
  </si>
  <si>
    <t>长期待摊费用=计入长期待摊的成本项/（1+增值税税率）</t>
  </si>
  <si>
    <t>长期待摊费用（第6年）</t>
  </si>
  <si>
    <t>长期待摊费用（第11年）</t>
  </si>
  <si>
    <t>长期待摊费用（第16年）</t>
  </si>
  <si>
    <t>长期待摊费用（第21年）</t>
  </si>
  <si>
    <t>摊销方式</t>
  </si>
  <si>
    <t>大修及更新重置资产原值</t>
  </si>
  <si>
    <t>折旧摊销表-资本金</t>
  </si>
  <si>
    <t>固定资产净值</t>
  </si>
  <si>
    <t>当期固定资产折旧</t>
  </si>
  <si>
    <t>期初长期待摊费用</t>
  </si>
  <si>
    <t>当期新增长期待摊费用</t>
  </si>
  <si>
    <t>当期摊销</t>
  </si>
  <si>
    <t>期末期初长期待摊费用</t>
  </si>
  <si>
    <t>无形资产净值</t>
  </si>
  <si>
    <t>当期无形资产摊销</t>
  </si>
  <si>
    <t>期初大修及更新重置资产净值</t>
  </si>
  <si>
    <t>当期新增大修及更新重置资产</t>
  </si>
  <si>
    <t>当期大修及更新重置资产折旧摊销</t>
  </si>
  <si>
    <t>期末大修及更新重置资产净值</t>
  </si>
  <si>
    <t>当期折旧摊销</t>
  </si>
  <si>
    <t>上述为“直线法”下折旧摊销计算，若在参数输入表中下拉菜单选择为“其他”，设置为手动输入各年份折旧额/摊销额</t>
  </si>
  <si>
    <r>
      <rPr>
        <sz val="11"/>
        <color rgb="FFFF0000"/>
        <rFont val="微软雅黑"/>
        <charset val="134"/>
      </rPr>
      <t>全投资情形下的固定资产原值=</t>
    </r>
    <r>
      <rPr>
        <b/>
        <sz val="11"/>
        <color rgb="FFFF0000"/>
        <rFont val="微软雅黑"/>
        <charset val="134"/>
      </rPr>
      <t>静态总投资（自主投资）</t>
    </r>
    <r>
      <rPr>
        <sz val="11"/>
        <color rgb="FFFF0000"/>
        <rFont val="微软雅黑"/>
        <charset val="134"/>
      </rPr>
      <t>-可抵扣进项税-无形资产原值；资本金情形下的固定资产原值采用的是“</t>
    </r>
    <r>
      <rPr>
        <b/>
        <sz val="11"/>
        <color rgb="FFFF0000"/>
        <rFont val="微软雅黑"/>
        <charset val="134"/>
      </rPr>
      <t>项目动态总投资（自主投资_不含流动资金）</t>
    </r>
    <r>
      <rPr>
        <sz val="11"/>
        <color rgb="FFFF0000"/>
        <rFont val="微软雅黑"/>
        <charset val="134"/>
      </rPr>
      <t>”</t>
    </r>
  </si>
  <si>
    <t>折旧方式、残值率及折旧年限与资本金情形保持一致</t>
  </si>
  <si>
    <t>折旧摊销表-全投资</t>
  </si>
  <si>
    <r>
      <rPr>
        <sz val="11"/>
        <color theme="1"/>
        <rFont val="微软雅黑"/>
        <charset val="134"/>
      </rPr>
      <t>固定资产净值</t>
    </r>
    <r>
      <rPr>
        <sz val="9"/>
        <color theme="1"/>
        <rFont val="微软雅黑"/>
        <charset val="134"/>
      </rPr>
      <t>（全投资）</t>
    </r>
  </si>
  <si>
    <t>成本费用表-资本金</t>
  </si>
  <si>
    <t>营业总成本</t>
  </si>
  <si>
    <t>长期待摊费用当期摊销</t>
  </si>
  <si>
    <t>营业相关资产折旧及摊销</t>
  </si>
  <si>
    <t>销售费用</t>
  </si>
  <si>
    <t xml:space="preserve">保险费 </t>
  </si>
  <si>
    <t>研发费用</t>
  </si>
  <si>
    <t>财务费用</t>
  </si>
  <si>
    <t>长期借款利息</t>
  </si>
  <si>
    <t>流动资金利息</t>
  </si>
  <si>
    <t>短期借款利息</t>
  </si>
  <si>
    <t>成本费用表-全投资</t>
  </si>
  <si>
    <t>成本现金支出表（隐藏）</t>
  </si>
  <si>
    <t>生产经营现金支出合计</t>
  </si>
  <si>
    <t>生产相关现金支出</t>
  </si>
  <si>
    <t>长期待摊实际支出</t>
  </si>
  <si>
    <t>销售费用现金支出</t>
  </si>
  <si>
    <t>管理费用现金支出</t>
  </si>
  <si>
    <t>研发费用现金支出</t>
  </si>
  <si>
    <t>营业外现金支出</t>
  </si>
  <si>
    <t>成本表中（1）财务费用引用自“表2-还本付息表”；（2）折旧费、无形资产摊销、长期待摊费用摊销 引用自“表3-折旧摊销表”；其余数据通过参数输入表中成本费用板块相关参数计算而得。</t>
  </si>
  <si>
    <t>经营成本为运营期各年不含税值</t>
  </si>
  <si>
    <t>标黄部分为相对固定模块，适用于所有项目</t>
  </si>
  <si>
    <t>收入表</t>
  </si>
  <si>
    <t>万度</t>
  </si>
  <si>
    <r>
      <rPr>
        <sz val="12"/>
        <color theme="1"/>
        <rFont val="微软雅黑"/>
        <charset val="134"/>
      </rPr>
      <t>上网电价</t>
    </r>
    <r>
      <rPr>
        <sz val="10"/>
        <color theme="1"/>
        <rFont val="微软雅黑"/>
        <charset val="134"/>
      </rPr>
      <t>（含税）</t>
    </r>
  </si>
  <si>
    <t>元/度</t>
  </si>
  <si>
    <t>数能融合售电收入</t>
  </si>
  <si>
    <r>
      <rPr>
        <sz val="12"/>
        <color theme="1"/>
        <rFont val="微软雅黑"/>
        <charset val="134"/>
      </rPr>
      <t>数能融合机制电价</t>
    </r>
    <r>
      <rPr>
        <sz val="10"/>
        <color theme="1"/>
        <rFont val="微软雅黑"/>
        <charset val="134"/>
      </rPr>
      <t>（含税）</t>
    </r>
  </si>
  <si>
    <t>政府一次性运营补贴收入</t>
  </si>
  <si>
    <t>增值税即征即退</t>
  </si>
  <si>
    <t>税金表</t>
  </si>
  <si>
    <t>当期实缴增值税</t>
  </si>
  <si>
    <t>增值税销项税</t>
  </si>
  <si>
    <t>发电收入销项税</t>
  </si>
  <si>
    <t>其他收入销项税</t>
  </si>
  <si>
    <t>建设投资进项税</t>
  </si>
  <si>
    <t>营业成本进项税</t>
  </si>
  <si>
    <t>3.2.1</t>
  </si>
  <si>
    <t>生产成本进项税</t>
  </si>
  <si>
    <t>计入长期待摊成本项</t>
  </si>
  <si>
    <t>3.2.2</t>
  </si>
  <si>
    <t>销售费用进项税</t>
  </si>
  <si>
    <t>3.2.3</t>
  </si>
  <si>
    <t>管理费用进项税</t>
  </si>
  <si>
    <t>3.2.4</t>
  </si>
  <si>
    <t>研发费用进项税</t>
  </si>
  <si>
    <t>营业外支出进项税</t>
  </si>
  <si>
    <t>大修及更新重置进项税</t>
  </si>
  <si>
    <t>销项税-进项税</t>
  </si>
  <si>
    <t>期末可抵扣进项税余额</t>
  </si>
  <si>
    <t>增值税附加税</t>
  </si>
  <si>
    <t>城市维护建设税</t>
  </si>
  <si>
    <t>教育附加</t>
  </si>
  <si>
    <t>地方教育附加</t>
  </si>
  <si>
    <t>增值税即征即退为参数输入表，税金板块可选条件参数，若选择为常规，即没有增值税即征即退优惠，退税比例为0%；若选择即征即退，同步输入即征即退的比例，第n年增值税即征即退金额=第n年当期实缴增值税*退税比例</t>
  </si>
  <si>
    <t>标蓝部分为计算中间过程，可不展示</t>
  </si>
  <si>
    <t>流动资金估算表</t>
  </si>
  <si>
    <t>现金</t>
  </si>
  <si>
    <t>预付账款</t>
  </si>
  <si>
    <t>应付账款</t>
  </si>
  <si>
    <t>预收账款</t>
  </si>
  <si>
    <t>流动资金当期增加额</t>
  </si>
  <si>
    <t>流动资金估算表用于计算某一项收入当年利润表确认收入与现金流量表中实际到账收入有差额时，差额计入应收账款中。</t>
  </si>
  <si>
    <t>关联至参数表中应发收入与实发收入不完全相等的收入项，本模型中为“发电补贴”</t>
  </si>
  <si>
    <t>利润表-资本金</t>
  </si>
  <si>
    <t>营业总收入</t>
  </si>
  <si>
    <t>营业税金及附加</t>
  </si>
  <si>
    <t>政府一次性运营补贴收入—递延收益</t>
  </si>
  <si>
    <t>增值税即征即退收入</t>
  </si>
  <si>
    <r>
      <rPr>
        <b/>
        <sz val="12"/>
        <color theme="1"/>
        <rFont val="微软雅黑"/>
        <charset val="134"/>
      </rPr>
      <t>利润总额</t>
    </r>
    <r>
      <rPr>
        <b/>
        <sz val="9"/>
        <color theme="1"/>
        <rFont val="微软雅黑"/>
        <charset val="134"/>
      </rPr>
      <t>（1+4-2-3-5）</t>
    </r>
  </si>
  <si>
    <t>弥补以前年度亏损</t>
  </si>
  <si>
    <t>弥补前序第一年亏损</t>
  </si>
  <si>
    <t>弥补前序第二年亏损</t>
  </si>
  <si>
    <t>弥补前序第三年亏损</t>
  </si>
  <si>
    <t>弥补前序第四年亏损</t>
  </si>
  <si>
    <t>弥补前序第五年亏损</t>
  </si>
  <si>
    <t>应税所得额</t>
  </si>
  <si>
    <t>企业所得税</t>
  </si>
  <si>
    <r>
      <rPr>
        <b/>
        <sz val="12"/>
        <color theme="1"/>
        <rFont val="微软雅黑"/>
        <charset val="134"/>
      </rPr>
      <t>净利润</t>
    </r>
    <r>
      <rPr>
        <b/>
        <sz val="10"/>
        <color theme="1"/>
        <rFont val="微软雅黑"/>
        <charset val="134"/>
      </rPr>
      <t>（6-9）</t>
    </r>
  </si>
  <si>
    <t>期初未分配的利润</t>
  </si>
  <si>
    <r>
      <rPr>
        <sz val="12"/>
        <color theme="1"/>
        <rFont val="微软雅黑"/>
        <charset val="134"/>
      </rPr>
      <t>可供分配的利润</t>
    </r>
    <r>
      <rPr>
        <sz val="10"/>
        <color theme="1"/>
        <rFont val="微软雅黑"/>
        <charset val="134"/>
      </rPr>
      <t>（10+11）</t>
    </r>
  </si>
  <si>
    <t>提取法定盈余公积金</t>
  </si>
  <si>
    <t>期初法定盈余公积金上限缺口</t>
  </si>
  <si>
    <t>期末法定盈余公积金累计</t>
  </si>
  <si>
    <r>
      <rPr>
        <sz val="12"/>
        <color theme="1"/>
        <rFont val="微软雅黑"/>
        <charset val="134"/>
      </rPr>
      <t>可供投资者分配的利润</t>
    </r>
    <r>
      <rPr>
        <sz val="10"/>
        <color theme="1"/>
        <rFont val="微软雅黑"/>
        <charset val="134"/>
      </rPr>
      <t>（12-13）</t>
    </r>
  </si>
  <si>
    <t>提取任意盈余公积金</t>
  </si>
  <si>
    <t>各投资方利润分配</t>
  </si>
  <si>
    <r>
      <rPr>
        <sz val="12"/>
        <color theme="1"/>
        <rFont val="微软雅黑"/>
        <charset val="134"/>
      </rPr>
      <t>未分配利润</t>
    </r>
    <r>
      <rPr>
        <sz val="10"/>
        <color theme="1"/>
        <rFont val="微软雅黑"/>
        <charset val="134"/>
      </rPr>
      <t>（14-15-16）</t>
    </r>
  </si>
  <si>
    <r>
      <rPr>
        <sz val="12"/>
        <color theme="1"/>
        <rFont val="微软雅黑"/>
        <charset val="134"/>
      </rPr>
      <t>息税前利润</t>
    </r>
    <r>
      <rPr>
        <sz val="10"/>
        <color theme="1"/>
        <rFont val="微软雅黑"/>
        <charset val="134"/>
      </rPr>
      <t>（利润总额+利息支出）</t>
    </r>
  </si>
  <si>
    <t>息税折旧摊销前利润</t>
  </si>
  <si>
    <t>利润表里的收入、成本均为不含税价</t>
  </si>
  <si>
    <t>政府一次性运营补贴收入—递延收益，引用自参数输入表“政府一次性补贴收入—递延收益确认”</t>
  </si>
  <si>
    <t>弥补以前年度亏损，按照5年为期限，滚动计算。</t>
  </si>
  <si>
    <t>现金流量表-资本金</t>
  </si>
  <si>
    <t>现金流入</t>
  </si>
  <si>
    <t>发电销售收入（含税）</t>
  </si>
  <si>
    <t>回收固定资产余值</t>
  </si>
  <si>
    <t>回收流动资金</t>
  </si>
  <si>
    <t>现金流出</t>
  </si>
  <si>
    <t>工程建设投资</t>
  </si>
  <si>
    <t>项目资本金</t>
  </si>
  <si>
    <t>长期借款</t>
  </si>
  <si>
    <t>支付流动资金</t>
  </si>
  <si>
    <t>债务性支出</t>
  </si>
  <si>
    <t>长期借款本金偿还</t>
  </si>
  <si>
    <t>流动资金借款本金偿还</t>
  </si>
  <si>
    <t>借款利息支付（含短贷利息）</t>
  </si>
  <si>
    <t>生产经营支出（含税）</t>
  </si>
  <si>
    <t>增值税缴纳</t>
  </si>
  <si>
    <t>运营期资本性支出</t>
  </si>
  <si>
    <t>税前净现金流量（1-2）</t>
  </si>
  <si>
    <t>累计税前净现金流量</t>
  </si>
  <si>
    <t>税后净现金流量（3-5）</t>
  </si>
  <si>
    <t>累计税后净现金流量</t>
  </si>
  <si>
    <t>资本金内部收益率（税前）</t>
  </si>
  <si>
    <t>资本金内部收益率（税后）</t>
  </si>
  <si>
    <t>投资回收期</t>
  </si>
  <si>
    <t>现金流量表中各年的发电补贴收入数据引用参数表中输入的实发数据（含税且考虑滞后支付情形，即本年度实际支付比例＋上年度剩余支付比例）</t>
  </si>
  <si>
    <t>政府一次性运营补贴收入，在运营期第1年引用参数表中政府一次性补贴总额</t>
  </si>
  <si>
    <t>标蓝色部分为可隐藏内容</t>
  </si>
  <si>
    <t>现金流出中借款本金偿还，关联还本付息表中长期贷款本金偿还</t>
  </si>
  <si>
    <t>Check</t>
  </si>
  <si>
    <t>建设期为1年时，IRR计算要利用下面的公式计算</t>
  </si>
  <si>
    <t xml:space="preserve">1
</t>
  </si>
  <si>
    <t>利润表-全投资</t>
  </si>
  <si>
    <r>
      <rPr>
        <b/>
        <sz val="12"/>
        <color theme="1"/>
        <rFont val="微软雅黑"/>
        <charset val="134"/>
      </rPr>
      <t>营业总成本</t>
    </r>
    <r>
      <rPr>
        <b/>
        <sz val="10"/>
        <color theme="1"/>
        <rFont val="微软雅黑"/>
        <charset val="134"/>
      </rPr>
      <t>（全投资）</t>
    </r>
  </si>
  <si>
    <t>调整所得税</t>
  </si>
  <si>
    <t>现金流量表-全投资</t>
  </si>
  <si>
    <t>建设投资</t>
  </si>
  <si>
    <t>全投资内部收益率（税前）</t>
  </si>
  <si>
    <t>全投资内部收益率（税后）</t>
  </si>
  <si>
    <t>投资回收期(税后)</t>
  </si>
  <si>
    <t>投资回收期(税前）</t>
  </si>
  <si>
    <t>现金流量表中各年的发电补贴收入数据引用参数表中输入的实发数据</t>
  </si>
  <si>
    <t>现金流量表-财务计划</t>
  </si>
  <si>
    <t>经营活动净现金流量（1.1-1.2）</t>
  </si>
  <si>
    <t>销售收入</t>
  </si>
  <si>
    <t>删除</t>
  </si>
  <si>
    <t>增值税实缴</t>
  </si>
  <si>
    <t>税金及附加税</t>
  </si>
  <si>
    <t>投资活动净现金流量（2.1-2.2）</t>
  </si>
  <si>
    <t>筹资活动净现金流量（3.1-3.2）</t>
  </si>
  <si>
    <t>项目资本金投入</t>
  </si>
  <si>
    <t>流动资金借款</t>
  </si>
  <si>
    <t>偿还债务本金</t>
  </si>
  <si>
    <t>各种利息支出</t>
  </si>
  <si>
    <t>应付利润（股利分配）</t>
  </si>
  <si>
    <t>项目公司账面净现金流量（1+2+3）</t>
  </si>
  <si>
    <t>五</t>
  </si>
  <si>
    <t>累计盈余资金</t>
  </si>
  <si>
    <t>增加IF判定条件，当某年的累计盈余资金&lt;“流动资金（本项目为960万元）”+次年的“生产经营现金支出合计（成本费用表标蓝表第一行）”，给出明显提示（允许用户在参数输入界面填写各年度短期借款当期借款金额及还本金额，再重新生成新的结果）</t>
  </si>
  <si>
    <t>不含短期借款的累计盈余资金</t>
  </si>
  <si>
    <t>资产合计</t>
  </si>
  <si>
    <t xml:space="preserve">  货币资金</t>
  </si>
  <si>
    <t>△结算备付金</t>
  </si>
  <si>
    <t>△拆出资金</t>
  </si>
  <si>
    <t xml:space="preserve">  交易性金融资产</t>
  </si>
  <si>
    <t>☆以公允价值计量且其变动计入当期损益的金融资产</t>
  </si>
  <si>
    <t xml:space="preserve">  衍生金融资产</t>
  </si>
  <si>
    <t xml:space="preserve">  应收票据</t>
  </si>
  <si>
    <t xml:space="preserve">  应收账款</t>
  </si>
  <si>
    <t xml:space="preserve">  应收款项融资</t>
  </si>
  <si>
    <t xml:space="preserve">  预付款项</t>
  </si>
  <si>
    <t>△应收保费</t>
  </si>
  <si>
    <t>△应收分保账款</t>
  </si>
  <si>
    <t>△应收分保合同准备金</t>
  </si>
  <si>
    <t xml:space="preserve">  应收资金集中管理款</t>
  </si>
  <si>
    <t xml:space="preserve">  其他应收款</t>
  </si>
  <si>
    <t>其中：应收股利</t>
  </si>
  <si>
    <t>△买入返售金融资产</t>
  </si>
  <si>
    <t xml:space="preserve">  存货</t>
  </si>
  <si>
    <t>其中：原材料</t>
  </si>
  <si>
    <t>库存商品（产成品）</t>
  </si>
  <si>
    <t xml:space="preserve">  合同资产</t>
  </si>
  <si>
    <t xml:space="preserve">  持有待售资产</t>
  </si>
  <si>
    <t xml:space="preserve">  一年内到期的非流动资产</t>
  </si>
  <si>
    <t xml:space="preserve">  其他流动资产</t>
  </si>
  <si>
    <t>非流动资产</t>
  </si>
  <si>
    <t>△发放贷款和垫款</t>
  </si>
  <si>
    <t xml:space="preserve">  债权投资</t>
  </si>
  <si>
    <t>☆可供出售金融资产</t>
  </si>
  <si>
    <t xml:space="preserve">  其他债权投资</t>
  </si>
  <si>
    <t>☆持有至到期投资</t>
  </si>
  <si>
    <t xml:space="preserve">  长期应收款</t>
  </si>
  <si>
    <t xml:space="preserve">  长期股权投资</t>
  </si>
  <si>
    <t xml:space="preserve">  其他权益工具投资</t>
  </si>
  <si>
    <t xml:space="preserve">  其他非流动金融资产</t>
  </si>
  <si>
    <t xml:space="preserve">  投资性房地产</t>
  </si>
  <si>
    <t xml:space="preserve">  固定资产</t>
  </si>
  <si>
    <t>其中：固定资产原价</t>
  </si>
  <si>
    <t xml:space="preserve">          累计折旧</t>
  </si>
  <si>
    <t xml:space="preserve">          固定资产减值准备</t>
  </si>
  <si>
    <t xml:space="preserve">  在建工程</t>
  </si>
  <si>
    <t xml:space="preserve">  生产性生物资产</t>
  </si>
  <si>
    <t xml:space="preserve">  油气资产</t>
  </si>
  <si>
    <t xml:space="preserve">  使用权资产</t>
  </si>
  <si>
    <t xml:space="preserve">  无形资产</t>
  </si>
  <si>
    <t xml:space="preserve">  开发支出</t>
  </si>
  <si>
    <t xml:space="preserve">  商誉</t>
  </si>
  <si>
    <t xml:space="preserve">  长期待摊费用</t>
  </si>
  <si>
    <t xml:space="preserve">  递延所得税资产</t>
  </si>
  <si>
    <t xml:space="preserve">  其他非流动资产</t>
  </si>
  <si>
    <t xml:space="preserve">  其中：特准储备物资</t>
  </si>
  <si>
    <t>负债合计</t>
  </si>
  <si>
    <t xml:space="preserve">  短期借款</t>
  </si>
  <si>
    <t>△向中央银行借款</t>
  </si>
  <si>
    <t>△拆入资金</t>
  </si>
  <si>
    <t xml:space="preserve">  交易性金融负债</t>
  </si>
  <si>
    <t>☆以公允价值计量且其变动计入当期损益的金融负债</t>
  </si>
  <si>
    <t xml:space="preserve">  衍生金融负债</t>
  </si>
  <si>
    <t xml:space="preserve">  应付票据</t>
  </si>
  <si>
    <t xml:space="preserve">  应付账款</t>
  </si>
  <si>
    <t xml:space="preserve">  预收款项</t>
  </si>
  <si>
    <t xml:space="preserve">  合同负债</t>
  </si>
  <si>
    <t>△卖出回购金融资产款</t>
  </si>
  <si>
    <t>△吸收存款及同业存放</t>
  </si>
  <si>
    <t>△代理买卖证券款</t>
  </si>
  <si>
    <t>△代理承销证券款</t>
  </si>
  <si>
    <t xml:space="preserve">  应付职工薪酬</t>
  </si>
  <si>
    <t>其中：应付工资</t>
  </si>
  <si>
    <t xml:space="preserve">      应付福利费</t>
  </si>
  <si>
    <t xml:space="preserve">      #其中：职工奖励及福利基金</t>
  </si>
  <si>
    <t xml:space="preserve">  应交税费</t>
  </si>
  <si>
    <t>其中：应交税金</t>
  </si>
  <si>
    <t xml:space="preserve">  其他应付款</t>
  </si>
  <si>
    <t>其中：应付股利</t>
  </si>
  <si>
    <t>△应付手续费及佣金</t>
  </si>
  <si>
    <t>△应付分保账款</t>
  </si>
  <si>
    <t xml:space="preserve">  持有待售负债</t>
  </si>
  <si>
    <t xml:space="preserve">  一年内到期的非流动负债</t>
  </si>
  <si>
    <t xml:space="preserve">  其他流动负债</t>
  </si>
  <si>
    <t>非流动负债</t>
  </si>
  <si>
    <t>△保险合同准备金</t>
  </si>
  <si>
    <t xml:space="preserve">  长期借款</t>
  </si>
  <si>
    <t xml:space="preserve">  应付债券</t>
  </si>
  <si>
    <t>其中：优先股</t>
  </si>
  <si>
    <t xml:space="preserve">      永续债</t>
  </si>
  <si>
    <t xml:space="preserve">  租赁负债</t>
  </si>
  <si>
    <t xml:space="preserve">  长期应付款</t>
  </si>
  <si>
    <t xml:space="preserve">  长期应付职工薪酬</t>
  </si>
  <si>
    <t xml:space="preserve">  预计负债</t>
  </si>
  <si>
    <t xml:space="preserve">  递延收益</t>
  </si>
  <si>
    <t xml:space="preserve">  递延所得税负债</t>
  </si>
  <si>
    <t xml:space="preserve">  其他非流动负债</t>
  </si>
  <si>
    <t>其中：特准储备基金</t>
  </si>
  <si>
    <t>所有者权益（或股东权益）</t>
  </si>
  <si>
    <t xml:space="preserve">  实收资本（或股本）</t>
  </si>
  <si>
    <t>国家资本</t>
  </si>
  <si>
    <t>国有法人资本</t>
  </si>
  <si>
    <t>集体资本</t>
  </si>
  <si>
    <t>民营资本</t>
  </si>
  <si>
    <t>外商资本</t>
  </si>
  <si>
    <t xml:space="preserve"> #减：已归还投资</t>
  </si>
  <si>
    <t xml:space="preserve">  实收资本（或股本）净额</t>
  </si>
  <si>
    <t xml:space="preserve">  其他权益工具</t>
  </si>
  <si>
    <t xml:space="preserve">  资本公积</t>
  </si>
  <si>
    <t xml:space="preserve">  减：库存股</t>
  </si>
  <si>
    <t xml:space="preserve">  其他综合收益</t>
  </si>
  <si>
    <t>其中：外币报表折算差额</t>
  </si>
  <si>
    <t xml:space="preserve">  专项储备</t>
  </si>
  <si>
    <t xml:space="preserve">  盈余公积</t>
  </si>
  <si>
    <t>其中：法定公积金</t>
  </si>
  <si>
    <t xml:space="preserve">      任意公积金</t>
  </si>
  <si>
    <t xml:space="preserve">     #储备基金</t>
  </si>
  <si>
    <t xml:space="preserve">     #企业发展基金</t>
  </si>
  <si>
    <t xml:space="preserve">     #利润归还投资</t>
  </si>
  <si>
    <t>△一般风险准备</t>
  </si>
  <si>
    <t xml:space="preserve">  未分配利润</t>
  </si>
  <si>
    <t xml:space="preserve">  归属于母公司所有者权益（或股东权益）合计</t>
  </si>
  <si>
    <t xml:space="preserve"> *少数股东权益</t>
  </si>
  <si>
    <t>负债和所有者权益合计</t>
  </si>
  <si>
    <t>Check：资产-负债和所有者权益合计</t>
  </si>
  <si>
    <t>1</t>
  </si>
  <si>
    <t>系统容量</t>
  </si>
  <si>
    <t>光伏系统容量</t>
  </si>
  <si>
    <t>储能系统容量</t>
  </si>
  <si>
    <t>MW/MWh</t>
  </si>
  <si>
    <t>10/20</t>
  </si>
  <si>
    <t>年售电量</t>
  </si>
  <si>
    <t>光伏系统年上网电量</t>
  </si>
  <si>
    <t>数能融合年消纳电量</t>
  </si>
  <si>
    <t>年均电价</t>
  </si>
  <si>
    <t>光伏系统经营期年均电价（含增值税）</t>
  </si>
  <si>
    <t>数能融合经营期机制电价（含增值税）</t>
  </si>
  <si>
    <t>项目总投资</t>
  </si>
  <si>
    <t>销售收入总额（不含增值税）</t>
  </si>
  <si>
    <t>表三成本表C6项生产成本运营期平均值做敏感性分析、蒙特卡洛</t>
  </si>
  <si>
    <t>总成本费用</t>
  </si>
  <si>
    <t>销售税金附加总额</t>
  </si>
  <si>
    <t>利润总额</t>
  </si>
  <si>
    <t>项目投资回收期（所得税前）</t>
  </si>
  <si>
    <t>项目投资回收期（所得税后）</t>
  </si>
  <si>
    <t>项目投资财务内部收益率（所得税前）</t>
  </si>
  <si>
    <t>反算依据指标，数值由操作者自动输入</t>
  </si>
  <si>
    <t>项目投资财务内部收益率（所得税后）</t>
  </si>
  <si>
    <t>资本金财务内部收益率</t>
  </si>
  <si>
    <t>资产负债率（最大值）</t>
  </si>
  <si>
    <t>盈亏平衡点（生产能力利用率）</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</si>
</sst>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76" formatCode="0.0_ "/>
    <numFmt numFmtId="177" formatCode="0.0000_ "/>
    <numFmt numFmtId="178" formatCode="0.00_ "/>
    <numFmt numFmtId="179" formatCode="0_ "/>
    <numFmt numFmtId="180" formatCode="0.000_ "/>
    <numFmt numFmtId="181" formatCode="0.00000000_ "/>
    <numFmt numFmtId="182" formatCode="0.0000000_ "/>
    <numFmt numFmtId="183" formatCode="0.0%"/>
    <numFmt numFmtId="184" formatCode="#,##0.00_ "/>
    <numFmt numFmtId="185" formatCode="0.000%"/>
  </numFmts>
  <fonts count="58">
    <font>
      <sz val="11"/>
      <color theme="1"/>
      <name val="宋体"/>
      <charset val="134"/>
      <scheme val="minor"/>
    </font>
    <font>
      <b/>
      <sz val="10"/>
      <color indexed="8"/>
      <name val="宋体"/>
      <charset val="134"/>
    </font>
    <font>
      <sz val="10"/>
      <color indexed="8"/>
      <name val="宋体"/>
      <charset val="134"/>
    </font>
    <font>
      <sz val="11"/>
      <color rgb="FFFF0000"/>
      <name val="宋体"/>
      <charset val="134"/>
      <scheme val="minor"/>
    </font>
    <font>
      <sz val="12"/>
      <color rgb="FFFF0000"/>
      <name val="宋体"/>
      <charset val="134"/>
      <scheme val="major"/>
    </font>
    <font>
      <sz val="12"/>
      <color theme="0" tint="-0.34998626667073579"/>
      <name val="宋体"/>
      <charset val="134"/>
      <scheme val="major"/>
    </font>
    <font>
      <sz val="12"/>
      <color theme="1"/>
      <name val="宋体"/>
      <charset val="134"/>
      <scheme val="major"/>
    </font>
    <font>
      <b/>
      <sz val="12"/>
      <color theme="1"/>
      <name val="宋体"/>
      <charset val="134"/>
      <scheme val="major"/>
    </font>
    <font>
      <b/>
      <sz val="12"/>
      <color rgb="FFFF0000"/>
      <name val="宋体"/>
      <charset val="134"/>
      <scheme val="major"/>
    </font>
    <font>
      <b/>
      <sz val="12"/>
      <color theme="0" tint="-0.34998626667073579"/>
      <name val="宋体"/>
      <charset val="134"/>
      <scheme val="major"/>
    </font>
    <font>
      <sz val="12"/>
      <color rgb="FFFF0000"/>
      <name val="微软雅黑"/>
      <charset val="134"/>
    </font>
    <font>
      <sz val="12"/>
      <color theme="1"/>
      <name val="微软雅黑"/>
      <charset val="134"/>
    </font>
    <font>
      <b/>
      <i/>
      <sz val="12"/>
      <color rgb="FFC00000"/>
      <name val="微软雅黑"/>
      <charset val="134"/>
    </font>
    <font>
      <b/>
      <sz val="12"/>
      <color theme="1"/>
      <name val="微软雅黑"/>
      <charset val="134"/>
    </font>
    <font>
      <sz val="16"/>
      <color rgb="FFFF0000"/>
      <name val="微软雅黑"/>
      <charset val="134"/>
    </font>
    <font>
      <sz val="11"/>
      <color theme="1"/>
      <name val="微软雅黑"/>
      <charset val="134"/>
    </font>
    <font>
      <b/>
      <i/>
      <sz val="11"/>
      <color rgb="FFC00000"/>
      <name val="微软雅黑"/>
      <charset val="134"/>
    </font>
    <font>
      <b/>
      <sz val="12"/>
      <color indexed="8"/>
      <name val="微软雅黑"/>
      <charset val="134"/>
    </font>
    <font>
      <sz val="12"/>
      <color indexed="8"/>
      <name val="微软雅黑"/>
      <charset val="134"/>
    </font>
    <font>
      <sz val="18"/>
      <color theme="1"/>
      <name val="微软雅黑"/>
      <charset val="134"/>
    </font>
    <font>
      <b/>
      <sz val="11"/>
      <color theme="1"/>
      <name val="微软雅黑"/>
      <charset val="134"/>
    </font>
    <font>
      <b/>
      <sz val="10"/>
      <color theme="1"/>
      <name val="微软雅黑"/>
      <charset val="134"/>
    </font>
    <font>
      <sz val="10"/>
      <color theme="1"/>
      <name val="微软雅黑"/>
      <charset val="134"/>
    </font>
    <font>
      <b/>
      <sz val="12"/>
      <color rgb="FFC00000"/>
      <name val="微软雅黑"/>
      <charset val="134"/>
    </font>
    <font>
      <sz val="12"/>
      <name val="微软雅黑"/>
      <charset val="134"/>
    </font>
    <font>
      <b/>
      <sz val="12"/>
      <name val="微软雅黑"/>
      <charset val="134"/>
    </font>
    <font>
      <b/>
      <sz val="12"/>
      <color rgb="FFFF0000"/>
      <name val="微软雅黑"/>
      <charset val="134"/>
    </font>
    <font>
      <sz val="14"/>
      <color rgb="FFFF0000"/>
      <name val="微软雅黑"/>
      <charset val="134"/>
    </font>
    <font>
      <sz val="11"/>
      <color rgb="FFFF0000"/>
      <name val="微软雅黑"/>
      <charset val="134"/>
    </font>
    <font>
      <b/>
      <sz val="14"/>
      <color theme="1"/>
      <name val="微软雅黑"/>
      <charset val="134"/>
    </font>
    <font>
      <sz val="11"/>
      <name val="宋体"/>
      <charset val="134"/>
      <scheme val="minor"/>
    </font>
    <font>
      <sz val="12"/>
      <color theme="1"/>
      <name val="宋体"/>
      <charset val="134"/>
      <scheme val="minor"/>
    </font>
    <font>
      <sz val="16"/>
      <color theme="1"/>
      <name val="宋体"/>
      <charset val="134"/>
      <scheme val="minor"/>
    </font>
    <font>
      <sz val="16"/>
      <name val="黑体"/>
      <charset val="134"/>
    </font>
    <font>
      <sz val="12"/>
      <name val="黑体"/>
      <charset val="134"/>
    </font>
    <font>
      <b/>
      <sz val="12"/>
      <name val="宋体"/>
      <charset val="134"/>
    </font>
    <font>
      <b/>
      <sz val="11"/>
      <color theme="1"/>
      <name val="宋体"/>
      <charset val="134"/>
      <scheme val="minor"/>
    </font>
    <font>
      <b/>
      <sz val="12"/>
      <color theme="1"/>
      <name val="宋体"/>
      <charset val="134"/>
      <scheme val="minor"/>
    </font>
    <font>
      <sz val="12"/>
      <name val="宋体"/>
      <charset val="134"/>
    </font>
    <font>
      <b/>
      <sz val="11"/>
      <name val="宋体"/>
      <charset val="134"/>
      <scheme val="minor"/>
    </font>
    <font>
      <b/>
      <sz val="12"/>
      <name val="宋体"/>
      <charset val="134"/>
      <scheme val="minor"/>
    </font>
    <font>
      <sz val="16"/>
      <name val="宋体"/>
      <charset val="134"/>
      <scheme val="minor"/>
    </font>
    <font>
      <sz val="12"/>
      <name val="宋体"/>
      <charset val="134"/>
      <scheme val="minor"/>
    </font>
    <font>
      <sz val="12"/>
      <color rgb="FFFF0000"/>
      <name val="宋体"/>
      <charset val="134"/>
    </font>
    <font>
      <b/>
      <sz val="14"/>
      <color rgb="FFFF0000"/>
      <name val="宋体"/>
      <charset val="134"/>
      <scheme val="minor"/>
    </font>
    <font>
      <sz val="11"/>
      <color theme="1"/>
      <name val="宋体"/>
      <charset val="134"/>
      <scheme val="minor"/>
    </font>
    <font>
      <b/>
      <sz val="10"/>
      <name val="宋体"/>
      <charset val="134"/>
    </font>
    <font>
      <sz val="10"/>
      <color rgb="FF00B050"/>
      <name val="微软雅黑"/>
      <charset val="134"/>
    </font>
    <font>
      <b/>
      <sz val="9"/>
      <color theme="1"/>
      <name val="微软雅黑"/>
      <charset val="134"/>
    </font>
    <font>
      <b/>
      <sz val="10"/>
      <color rgb="FF00B050"/>
      <name val="微软雅黑"/>
      <charset val="134"/>
    </font>
    <font>
      <sz val="9"/>
      <color theme="1"/>
      <name val="微软雅黑"/>
      <charset val="134"/>
    </font>
    <font>
      <sz val="9"/>
      <name val="宋体"/>
      <charset val="134"/>
      <scheme val="minor"/>
    </font>
    <font>
      <b/>
      <sz val="11"/>
      <color rgb="FFFF0000"/>
      <name val="微软雅黑"/>
      <charset val="134"/>
    </font>
    <font>
      <b/>
      <sz val="10"/>
      <name val="宋体"/>
      <charset val="134"/>
      <scheme val="minor"/>
    </font>
    <font>
      <sz val="10"/>
      <color rgb="FFFF0000"/>
      <name val="微软雅黑"/>
      <charset val="134"/>
    </font>
    <font>
      <b/>
      <sz val="10"/>
      <color rgb="FFFF0000"/>
      <name val="微软雅黑"/>
      <charset val="134"/>
    </font>
    <font>
      <sz val="9"/>
      <name val="宋体"/>
      <charset val="134"/>
    </font>
    <font>
      <b/>
      <sz val="9"/>
      <name val="宋体"/>
      <charset val="134"/>
    </font>
  </fonts>
  <fills count="19">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rgb="FFFF0000"/>
        <bgColor indexed="64"/>
      </patternFill>
    </fill>
    <fill>
      <patternFill patternType="solid">
        <fgColor theme="0" tint="-0.249977111117893"/>
        <bgColor indexed="64"/>
      </patternFill>
    </fill>
    <fill>
      <patternFill patternType="solid">
        <fgColor theme="9" tint="0.79992065187536243"/>
        <bgColor indexed="64"/>
      </patternFill>
    </fill>
    <fill>
      <patternFill patternType="solid">
        <fgColor theme="4" tint="0.79992065187536243"/>
        <bgColor indexed="64"/>
      </patternFill>
    </fill>
    <fill>
      <patternFill patternType="solid">
        <fgColor rgb="FFFFFF00"/>
        <bgColor indexed="64"/>
      </patternFill>
    </fill>
    <fill>
      <patternFill patternType="solid">
        <fgColor theme="4" tint="0.59999389629810485"/>
        <bgColor indexed="64"/>
      </patternFill>
    </fill>
    <fill>
      <patternFill patternType="solid">
        <fgColor theme="6" tint="-0.249977111117893"/>
        <bgColor indexed="64"/>
      </patternFill>
    </fill>
    <fill>
      <patternFill patternType="solid">
        <fgColor rgb="FF92D050"/>
        <bgColor indexed="64"/>
      </patternFill>
    </fill>
    <fill>
      <patternFill patternType="solid">
        <fgColor theme="5" tint="0.79995117038483843"/>
        <bgColor indexed="64"/>
      </patternFill>
    </fill>
    <fill>
      <patternFill patternType="solid">
        <fgColor theme="0" tint="-0.14996795556505021"/>
        <bgColor indexed="64"/>
      </patternFill>
    </fill>
    <fill>
      <patternFill patternType="solid">
        <fgColor theme="5" tint="0.79992065187536243"/>
        <bgColor indexed="64"/>
      </patternFill>
    </fill>
    <fill>
      <patternFill patternType="solid">
        <fgColor theme="2"/>
        <bgColor indexed="64"/>
      </patternFill>
    </fill>
    <fill>
      <patternFill patternType="solid">
        <fgColor rgb="FFFFC000"/>
        <bgColor indexed="64"/>
      </patternFill>
    </fill>
    <fill>
      <patternFill patternType="solid">
        <fgColor rgb="FF7030A0"/>
        <bgColor indexed="64"/>
      </patternFill>
    </fill>
    <fill>
      <patternFill patternType="solid">
        <fgColor theme="4" tint="0.39994506668294322"/>
        <bgColor indexed="64"/>
      </patternFill>
    </fill>
  </fills>
  <borders count="20">
    <border>
      <left/>
      <right/>
      <top/>
      <bottom/>
      <diagonal/>
    </border>
    <border>
      <left style="thin">
        <color indexed="8"/>
      </left>
      <right style="thin">
        <color indexed="8"/>
      </right>
      <top style="thin">
        <color indexed="8"/>
      </top>
      <bottom style="thin">
        <color indexed="8"/>
      </bottom>
      <diagonal/>
    </border>
    <border>
      <left style="thin">
        <color indexed="8"/>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diagonal/>
    </border>
    <border>
      <left/>
      <right/>
      <top style="thin">
        <color auto="1"/>
      </top>
      <bottom style="thin">
        <color auto="1"/>
      </bottom>
      <diagonal/>
    </border>
  </borders>
  <cellStyleXfs count="2">
    <xf numFmtId="0" fontId="0" fillId="0" borderId="0">
      <alignment vertical="center"/>
    </xf>
    <xf numFmtId="9" fontId="45" fillId="0" borderId="0" applyFont="0" applyFill="0" applyBorder="0" applyAlignment="0" applyProtection="0">
      <alignment vertical="center"/>
    </xf>
  </cellStyleXfs>
  <cellXfs count="373">
    <xf numFmtId="0" fontId="0" fillId="0" borderId="0" xfId="0">
      <alignment vertical="center"/>
    </xf>
    <xf numFmtId="0" fontId="1" fillId="2" borderId="1" xfId="0" applyNumberFormat="1" applyFont="1" applyFill="1" applyBorder="1" applyAlignment="1" applyProtection="1">
      <alignment horizontal="center"/>
    </xf>
    <xf numFmtId="49" fontId="0" fillId="0" borderId="2" xfId="0" applyNumberFormat="1" applyBorder="1" applyAlignment="1">
      <alignment horizontal="center" vertical="center"/>
    </xf>
    <xf numFmtId="0" fontId="2" fillId="2" borderId="1" xfId="0" applyNumberFormat="1" applyFont="1" applyFill="1" applyBorder="1" applyAlignment="1" applyProtection="1">
      <alignment horizontal="left" vertical="center"/>
    </xf>
    <xf numFmtId="0" fontId="2" fillId="2" borderId="1" xfId="0" applyNumberFormat="1" applyFont="1" applyFill="1" applyBorder="1" applyAlignment="1" applyProtection="1">
      <alignment horizontal="center" vertical="center"/>
    </xf>
    <xf numFmtId="0" fontId="0" fillId="0" borderId="2" xfId="0" applyBorder="1" applyAlignment="1">
      <alignment horizontal="center" vertical="center"/>
    </xf>
    <xf numFmtId="0" fontId="2" fillId="3" borderId="1" xfId="0" applyNumberFormat="1" applyFont="1" applyFill="1" applyBorder="1" applyAlignment="1" applyProtection="1">
      <alignment horizontal="left" vertical="center"/>
    </xf>
    <xf numFmtId="0" fontId="2" fillId="3" borderId="1" xfId="0" applyNumberFormat="1" applyFont="1" applyFill="1" applyBorder="1" applyAlignment="1" applyProtection="1">
      <alignment horizontal="center" vertical="center"/>
    </xf>
    <xf numFmtId="176" fontId="0" fillId="3" borderId="2" xfId="0" applyNumberFormat="1" applyFill="1" applyBorder="1" applyAlignment="1">
      <alignment horizontal="center" vertical="center"/>
    </xf>
    <xf numFmtId="177" fontId="0" fillId="3" borderId="2" xfId="0" applyNumberFormat="1" applyFill="1" applyBorder="1" applyAlignment="1">
      <alignment horizontal="center" vertical="center"/>
    </xf>
    <xf numFmtId="178" fontId="0" fillId="0" borderId="2" xfId="0" applyNumberFormat="1" applyBorder="1" applyAlignment="1">
      <alignment horizontal="center" vertical="center"/>
    </xf>
    <xf numFmtId="178" fontId="0" fillId="3" borderId="2" xfId="0" applyNumberFormat="1" applyFill="1" applyBorder="1" applyAlignment="1">
      <alignment horizontal="center" vertical="center"/>
    </xf>
    <xf numFmtId="0" fontId="0" fillId="3" borderId="0" xfId="0" applyFill="1">
      <alignment vertical="center"/>
    </xf>
    <xf numFmtId="10" fontId="0" fillId="4" borderId="2" xfId="0" applyNumberFormat="1" applyFill="1" applyBorder="1" applyAlignment="1">
      <alignment horizontal="center" vertical="center"/>
    </xf>
    <xf numFmtId="10" fontId="0" fillId="0" borderId="2" xfId="0" applyNumberFormat="1" applyBorder="1" applyAlignment="1">
      <alignment horizontal="center"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6" fillId="0" borderId="0" xfId="0" applyFont="1" applyAlignment="1">
      <alignment horizontal="center" vertical="center"/>
    </xf>
    <xf numFmtId="0" fontId="7" fillId="6" borderId="3" xfId="0" applyFont="1" applyFill="1" applyBorder="1" applyAlignment="1">
      <alignment horizontal="center" vertical="center"/>
    </xf>
    <xf numFmtId="0" fontId="7" fillId="7" borderId="3" xfId="0" applyFont="1" applyFill="1" applyBorder="1" applyAlignment="1">
      <alignment horizontal="center" vertical="center"/>
    </xf>
    <xf numFmtId="0" fontId="8" fillId="7" borderId="3" xfId="0" applyFont="1" applyFill="1" applyBorder="1" applyAlignment="1">
      <alignment horizontal="center" vertical="center"/>
    </xf>
    <xf numFmtId="0" fontId="8" fillId="8" borderId="3" xfId="0" applyFont="1" applyFill="1" applyBorder="1" applyAlignment="1">
      <alignment horizontal="center" vertical="center"/>
    </xf>
    <xf numFmtId="0" fontId="8" fillId="8" borderId="3" xfId="0" applyFont="1" applyFill="1" applyBorder="1">
      <alignment vertical="center"/>
    </xf>
    <xf numFmtId="0" fontId="6" fillId="8" borderId="3" xfId="0" applyFont="1" applyFill="1" applyBorder="1" applyAlignment="1">
      <alignment horizontal="center" vertical="center"/>
    </xf>
    <xf numFmtId="178" fontId="8" fillId="8" borderId="6" xfId="0" applyNumberFormat="1" applyFont="1" applyFill="1" applyBorder="1">
      <alignment vertical="center"/>
    </xf>
    <xf numFmtId="0" fontId="7" fillId="0" borderId="3" xfId="0" applyFont="1" applyBorder="1" applyAlignment="1">
      <alignment horizontal="center" vertical="center"/>
    </xf>
    <xf numFmtId="0" fontId="7" fillId="0" borderId="3" xfId="0" applyFont="1" applyBorder="1">
      <alignment vertical="center"/>
    </xf>
    <xf numFmtId="0" fontId="6" fillId="0" borderId="3" xfId="0" applyFont="1" applyBorder="1" applyAlignment="1">
      <alignment horizontal="center" vertical="center"/>
    </xf>
    <xf numFmtId="178" fontId="7" fillId="0" borderId="6" xfId="0" applyNumberFormat="1" applyFont="1" applyBorder="1">
      <alignment vertical="center"/>
    </xf>
    <xf numFmtId="178" fontId="8" fillId="0" borderId="6" xfId="0" applyNumberFormat="1" applyFont="1" applyBorder="1">
      <alignment vertical="center"/>
    </xf>
    <xf numFmtId="0" fontId="6" fillId="0" borderId="3" xfId="0" applyFont="1" applyBorder="1" applyAlignment="1">
      <alignment horizontal="left" vertical="center" indent="2"/>
    </xf>
    <xf numFmtId="178" fontId="6" fillId="0" borderId="6" xfId="0" applyNumberFormat="1" applyFont="1" applyBorder="1">
      <alignment vertical="center"/>
    </xf>
    <xf numFmtId="178" fontId="4" fillId="0" borderId="6" xfId="0" applyNumberFormat="1" applyFont="1" applyBorder="1">
      <alignment vertical="center"/>
    </xf>
    <xf numFmtId="0" fontId="6" fillId="0" borderId="3" xfId="0" applyFont="1" applyBorder="1" applyAlignment="1">
      <alignment horizontal="left" vertical="center" indent="4"/>
    </xf>
    <xf numFmtId="0" fontId="6" fillId="0" borderId="3" xfId="0" applyFont="1" applyBorder="1" applyAlignment="1">
      <alignment horizontal="left" vertical="center" indent="6"/>
    </xf>
    <xf numFmtId="0" fontId="6" fillId="0" borderId="3" xfId="0" applyFont="1" applyBorder="1" applyAlignment="1">
      <alignment horizontal="left" vertical="center" indent="5"/>
    </xf>
    <xf numFmtId="0" fontId="4" fillId="8" borderId="3" xfId="0" applyFont="1" applyFill="1" applyBorder="1" applyAlignment="1">
      <alignment horizontal="center" vertical="center"/>
    </xf>
    <xf numFmtId="0" fontId="5" fillId="0" borderId="0" xfId="0" applyFont="1" applyAlignment="1">
      <alignment horizontal="center" vertical="center"/>
    </xf>
    <xf numFmtId="0" fontId="9" fillId="0" borderId="0" xfId="0" applyFont="1">
      <alignment vertical="center"/>
    </xf>
    <xf numFmtId="178" fontId="5" fillId="0" borderId="0" xfId="0" applyNumberFormat="1" applyFont="1">
      <alignment vertical="center"/>
    </xf>
    <xf numFmtId="178" fontId="4" fillId="0" borderId="0" xfId="0" applyNumberFormat="1" applyFont="1">
      <alignment vertical="center"/>
    </xf>
    <xf numFmtId="179" fontId="5" fillId="0" borderId="0" xfId="0" applyNumberFormat="1" applyFont="1">
      <alignment vertical="center"/>
    </xf>
    <xf numFmtId="10" fontId="6" fillId="0" borderId="0" xfId="0" applyNumberFormat="1" applyFont="1">
      <alignment vertical="center"/>
    </xf>
    <xf numFmtId="10" fontId="6" fillId="0" borderId="0" xfId="0" applyNumberFormat="1" applyFont="1" applyAlignment="1">
      <alignment horizontal="center" vertical="center"/>
    </xf>
    <xf numFmtId="10" fontId="4" fillId="0" borderId="0" xfId="0" applyNumberFormat="1" applyFont="1">
      <alignment vertical="center"/>
    </xf>
    <xf numFmtId="0" fontId="10" fillId="0" borderId="0" xfId="0" applyFont="1">
      <alignment vertical="center"/>
    </xf>
    <xf numFmtId="0" fontId="11" fillId="3" borderId="0" xfId="0" applyFont="1" applyFill="1">
      <alignment vertical="center"/>
    </xf>
    <xf numFmtId="0" fontId="11" fillId="3" borderId="3" xfId="0" applyFont="1" applyFill="1" applyBorder="1">
      <alignment vertical="center"/>
    </xf>
    <xf numFmtId="0" fontId="11" fillId="0" borderId="0" xfId="0" applyFont="1">
      <alignment vertical="center"/>
    </xf>
    <xf numFmtId="0" fontId="12" fillId="0" borderId="0" xfId="0" applyFont="1">
      <alignment vertical="center"/>
    </xf>
    <xf numFmtId="0" fontId="13" fillId="6" borderId="3" xfId="0" applyFont="1" applyFill="1" applyBorder="1" applyAlignment="1">
      <alignment horizontal="center" vertical="center"/>
    </xf>
    <xf numFmtId="0" fontId="13" fillId="7" borderId="3" xfId="0" applyFont="1" applyFill="1" applyBorder="1" applyAlignment="1">
      <alignment horizontal="center" vertical="center"/>
    </xf>
    <xf numFmtId="0" fontId="13" fillId="0" borderId="3" xfId="0" applyFont="1" applyBorder="1" applyAlignment="1">
      <alignment horizontal="center" vertical="center"/>
    </xf>
    <xf numFmtId="0" fontId="13" fillId="0" borderId="3" xfId="0" applyFont="1" applyBorder="1">
      <alignment vertical="center"/>
    </xf>
    <xf numFmtId="178" fontId="13" fillId="0" borderId="3" xfId="0" applyNumberFormat="1" applyFont="1" applyBorder="1">
      <alignment vertical="center"/>
    </xf>
    <xf numFmtId="0" fontId="11" fillId="0" borderId="3" xfId="0" applyFont="1" applyBorder="1" applyAlignment="1">
      <alignment horizontal="center" vertical="center"/>
    </xf>
    <xf numFmtId="178" fontId="13" fillId="0" borderId="6" xfId="0" applyNumberFormat="1" applyFont="1" applyBorder="1">
      <alignment vertical="center"/>
    </xf>
    <xf numFmtId="0" fontId="11" fillId="0" borderId="3" xfId="0" applyFont="1" applyBorder="1" applyAlignment="1">
      <alignment horizontal="left" vertical="center"/>
    </xf>
    <xf numFmtId="178" fontId="11" fillId="0" borderId="3" xfId="0" applyNumberFormat="1" applyFont="1" applyBorder="1">
      <alignment vertical="center"/>
    </xf>
    <xf numFmtId="178" fontId="11" fillId="0" borderId="6" xfId="0" applyNumberFormat="1" applyFont="1" applyBorder="1">
      <alignment vertical="center"/>
    </xf>
    <xf numFmtId="0" fontId="11" fillId="0" borderId="3" xfId="0" applyFont="1" applyBorder="1" applyAlignment="1">
      <alignment horizontal="left" vertical="center" indent="1"/>
    </xf>
    <xf numFmtId="0" fontId="10" fillId="0" borderId="3" xfId="0" applyFont="1" applyBorder="1" applyAlignment="1">
      <alignment horizontal="center" vertical="center"/>
    </xf>
    <xf numFmtId="0" fontId="10" fillId="0" borderId="3" xfId="0" applyFont="1" applyBorder="1" applyAlignment="1">
      <alignment horizontal="left" vertical="center" indent="1"/>
    </xf>
    <xf numFmtId="178" fontId="10" fillId="0" borderId="3" xfId="0" applyNumberFormat="1" applyFont="1" applyBorder="1">
      <alignment vertical="center"/>
    </xf>
    <xf numFmtId="178" fontId="10" fillId="0" borderId="6" xfId="0" applyNumberFormat="1" applyFont="1" applyBorder="1">
      <alignment vertical="center"/>
    </xf>
    <xf numFmtId="0" fontId="11" fillId="3" borderId="3" xfId="0" applyFont="1" applyFill="1" applyBorder="1" applyAlignment="1">
      <alignment horizontal="center" vertical="center"/>
    </xf>
    <xf numFmtId="0" fontId="11" fillId="3" borderId="3" xfId="0" applyFont="1" applyFill="1" applyBorder="1" applyAlignment="1">
      <alignment horizontal="left" vertical="center" indent="1"/>
    </xf>
    <xf numFmtId="178" fontId="11" fillId="3" borderId="3" xfId="0" applyNumberFormat="1" applyFont="1" applyFill="1" applyBorder="1">
      <alignment vertical="center"/>
    </xf>
    <xf numFmtId="178" fontId="11" fillId="3" borderId="6" xfId="0" applyNumberFormat="1" applyFont="1" applyFill="1" applyBorder="1">
      <alignment vertical="center"/>
    </xf>
    <xf numFmtId="0" fontId="13" fillId="0" borderId="3" xfId="0" applyFont="1" applyBorder="1" applyAlignment="1">
      <alignment horizontal="left" vertical="center"/>
    </xf>
    <xf numFmtId="0" fontId="14" fillId="0" borderId="0" xfId="0" applyFont="1">
      <alignment vertical="center"/>
    </xf>
    <xf numFmtId="180" fontId="11" fillId="3" borderId="3" xfId="0" applyNumberFormat="1" applyFont="1" applyFill="1" applyBorder="1">
      <alignment vertical="center"/>
    </xf>
    <xf numFmtId="0" fontId="15" fillId="3" borderId="0" xfId="0" applyFont="1" applyFill="1">
      <alignment vertical="center"/>
    </xf>
    <xf numFmtId="0" fontId="15" fillId="0" borderId="0" xfId="0" applyFont="1">
      <alignment vertical="center"/>
    </xf>
    <xf numFmtId="0" fontId="16" fillId="0" borderId="0" xfId="0" applyFont="1">
      <alignment vertical="center"/>
    </xf>
    <xf numFmtId="0" fontId="17" fillId="8" borderId="3" xfId="0" applyFont="1" applyFill="1" applyBorder="1" applyAlignment="1">
      <alignment horizontal="center" vertical="center"/>
    </xf>
    <xf numFmtId="178" fontId="17" fillId="8" borderId="3" xfId="0" applyNumberFormat="1" applyFont="1" applyFill="1" applyBorder="1" applyAlignment="1">
      <alignment horizontal="left" vertical="center"/>
    </xf>
    <xf numFmtId="178" fontId="17" fillId="2" borderId="3" xfId="0" applyNumberFormat="1" applyFont="1" applyFill="1" applyBorder="1" applyAlignment="1">
      <alignment horizontal="right" vertical="center"/>
    </xf>
    <xf numFmtId="0" fontId="18" fillId="3" borderId="3" xfId="0" applyFont="1" applyFill="1" applyBorder="1" applyAlignment="1">
      <alignment horizontal="center" vertical="center"/>
    </xf>
    <xf numFmtId="178" fontId="18" fillId="3" borderId="3" xfId="0" applyNumberFormat="1" applyFont="1" applyFill="1" applyBorder="1" applyAlignment="1">
      <alignment horizontal="left" vertical="center" indent="1"/>
    </xf>
    <xf numFmtId="178" fontId="18" fillId="3" borderId="3" xfId="0" applyNumberFormat="1" applyFont="1" applyFill="1" applyBorder="1" applyAlignment="1">
      <alignment horizontal="right" vertical="center"/>
    </xf>
    <xf numFmtId="0" fontId="18" fillId="8" borderId="3" xfId="0" applyFont="1" applyFill="1" applyBorder="1" applyAlignment="1">
      <alignment horizontal="center" vertical="center"/>
    </xf>
    <xf numFmtId="178" fontId="18" fillId="8" borderId="3" xfId="0" applyNumberFormat="1" applyFont="1" applyFill="1" applyBorder="1" applyAlignment="1">
      <alignment horizontal="left" vertical="center" indent="1"/>
    </xf>
    <xf numFmtId="178" fontId="18" fillId="2" borderId="3" xfId="0" applyNumberFormat="1" applyFont="1" applyFill="1" applyBorder="1" applyAlignment="1">
      <alignment horizontal="right" vertical="center"/>
    </xf>
    <xf numFmtId="0" fontId="13" fillId="8" borderId="3" xfId="0" applyFont="1" applyFill="1" applyBorder="1">
      <alignment vertical="center"/>
    </xf>
    <xf numFmtId="0" fontId="13" fillId="8" borderId="3" xfId="0" applyFont="1" applyFill="1" applyBorder="1" applyAlignment="1">
      <alignment horizontal="center" vertical="center"/>
    </xf>
    <xf numFmtId="10" fontId="13" fillId="0" borderId="3" xfId="0" applyNumberFormat="1" applyFont="1" applyBorder="1">
      <alignment vertical="center"/>
    </xf>
    <xf numFmtId="0" fontId="15" fillId="0" borderId="3" xfId="0" applyFont="1" applyBorder="1">
      <alignment vertical="center"/>
    </xf>
    <xf numFmtId="0" fontId="15" fillId="0" borderId="3" xfId="0" applyFont="1" applyBorder="1" applyAlignment="1">
      <alignment horizontal="center" vertical="center"/>
    </xf>
    <xf numFmtId="0" fontId="19" fillId="0" borderId="0" xfId="0" applyFont="1">
      <alignment vertical="center"/>
    </xf>
    <xf numFmtId="178" fontId="15" fillId="0" borderId="0" xfId="0" applyNumberFormat="1" applyFont="1">
      <alignment vertical="center"/>
    </xf>
    <xf numFmtId="0" fontId="11" fillId="0" borderId="0" xfId="0" applyFont="1" applyAlignment="1">
      <alignment horizontal="right" vertical="center"/>
    </xf>
    <xf numFmtId="178" fontId="11" fillId="0" borderId="0" xfId="0" applyNumberFormat="1" applyFont="1">
      <alignment vertical="center"/>
    </xf>
    <xf numFmtId="0" fontId="15" fillId="0" borderId="0" xfId="0" applyFont="1" applyAlignment="1">
      <alignment horizontal="center" vertical="center"/>
    </xf>
    <xf numFmtId="10" fontId="15" fillId="0" borderId="0" xfId="0" applyNumberFormat="1" applyFont="1">
      <alignment vertical="center"/>
    </xf>
    <xf numFmtId="0" fontId="20" fillId="0" borderId="0" xfId="0" applyFont="1">
      <alignment vertical="center"/>
    </xf>
    <xf numFmtId="0" fontId="20" fillId="8" borderId="0" xfId="0" applyFont="1" applyFill="1">
      <alignment vertical="center"/>
    </xf>
    <xf numFmtId="0" fontId="15" fillId="8" borderId="0" xfId="0" applyFont="1" applyFill="1">
      <alignment vertical="center"/>
    </xf>
    <xf numFmtId="0" fontId="13" fillId="8" borderId="5" xfId="0" applyFont="1" applyFill="1" applyBorder="1" applyAlignment="1">
      <alignment horizontal="center" vertical="center"/>
    </xf>
    <xf numFmtId="0" fontId="13" fillId="8" borderId="5" xfId="0" applyFont="1" applyFill="1" applyBorder="1" applyAlignment="1">
      <alignment horizontal="left" vertical="center"/>
    </xf>
    <xf numFmtId="178" fontId="13" fillId="8" borderId="3" xfId="0" applyNumberFormat="1" applyFont="1" applyFill="1" applyBorder="1" applyAlignment="1">
      <alignment horizontal="center" vertical="center"/>
    </xf>
    <xf numFmtId="0" fontId="21" fillId="0" borderId="3" xfId="0" applyFont="1" applyBorder="1" applyAlignment="1">
      <alignment horizontal="center" vertical="center"/>
    </xf>
    <xf numFmtId="0" fontId="11" fillId="8" borderId="5" xfId="0" applyFont="1" applyFill="1" applyBorder="1" applyAlignment="1">
      <alignment horizontal="center" vertical="center"/>
    </xf>
    <xf numFmtId="0" fontId="11" fillId="8" borderId="5" xfId="0" applyFont="1" applyFill="1" applyBorder="1" applyAlignment="1">
      <alignment horizontal="left" vertical="center"/>
    </xf>
    <xf numFmtId="178" fontId="11" fillId="8" borderId="3" xfId="0" applyNumberFormat="1" applyFont="1" applyFill="1" applyBorder="1" applyAlignment="1">
      <alignment horizontal="center" vertical="center"/>
    </xf>
    <xf numFmtId="0" fontId="22" fillId="0" borderId="3" xfId="0" applyFont="1" applyBorder="1" applyAlignment="1">
      <alignment horizontal="center" vertical="center"/>
    </xf>
    <xf numFmtId="0" fontId="11" fillId="8" borderId="3" xfId="0" applyFont="1" applyFill="1" applyBorder="1" applyAlignment="1">
      <alignment horizontal="center" vertical="center"/>
    </xf>
    <xf numFmtId="178" fontId="15" fillId="8" borderId="3" xfId="0" applyNumberFormat="1" applyFont="1" applyFill="1" applyBorder="1" applyAlignment="1" applyProtection="1">
      <alignment horizontal="left" vertical="center"/>
      <protection hidden="1"/>
    </xf>
    <xf numFmtId="0" fontId="13" fillId="8" borderId="3" xfId="0" applyFont="1" applyFill="1" applyBorder="1" applyAlignment="1" applyProtection="1">
      <alignment horizontal="left" vertical="center"/>
      <protection hidden="1"/>
    </xf>
    <xf numFmtId="178" fontId="13" fillId="8" borderId="3" xfId="0" applyNumberFormat="1" applyFont="1" applyFill="1" applyBorder="1" applyAlignment="1" applyProtection="1">
      <alignment horizontal="left" vertical="center"/>
      <protection hidden="1"/>
    </xf>
    <xf numFmtId="178" fontId="22" fillId="8" borderId="3" xfId="0" applyNumberFormat="1" applyFont="1" applyFill="1" applyBorder="1" applyAlignment="1" applyProtection="1">
      <alignment horizontal="left" vertical="center" indent="1"/>
      <protection hidden="1"/>
    </xf>
    <xf numFmtId="179" fontId="13" fillId="8" borderId="3" xfId="0" applyNumberFormat="1" applyFont="1" applyFill="1" applyBorder="1" applyAlignment="1" applyProtection="1">
      <alignment horizontal="left" vertical="center"/>
      <protection hidden="1"/>
    </xf>
    <xf numFmtId="0" fontId="22" fillId="9" borderId="3" xfId="0" applyFont="1" applyFill="1" applyBorder="1" applyAlignment="1">
      <alignment horizontal="left" vertical="center" indent="1"/>
    </xf>
    <xf numFmtId="178" fontId="11" fillId="0" borderId="3" xfId="0" applyNumberFormat="1" applyFont="1" applyBorder="1" applyAlignment="1">
      <alignment horizontal="center" vertical="center"/>
    </xf>
    <xf numFmtId="178" fontId="11" fillId="9" borderId="3" xfId="0" applyNumberFormat="1" applyFont="1" applyFill="1" applyBorder="1">
      <alignment vertical="center"/>
    </xf>
    <xf numFmtId="0" fontId="21" fillId="8" borderId="3" xfId="0" applyFont="1" applyFill="1" applyBorder="1" applyAlignment="1">
      <alignment horizontal="center" vertical="center"/>
    </xf>
    <xf numFmtId="178" fontId="13" fillId="8" borderId="3" xfId="0" applyNumberFormat="1" applyFont="1" applyFill="1" applyBorder="1">
      <alignment vertical="center"/>
    </xf>
    <xf numFmtId="178" fontId="23" fillId="8" borderId="3" xfId="0" applyNumberFormat="1" applyFont="1" applyFill="1" applyBorder="1" applyAlignment="1">
      <alignment horizontal="center" vertical="center"/>
    </xf>
    <xf numFmtId="179" fontId="11" fillId="8" borderId="3" xfId="0" applyNumberFormat="1" applyFont="1" applyFill="1" applyBorder="1" applyAlignment="1" applyProtection="1">
      <alignment horizontal="left" vertical="center"/>
      <protection hidden="1"/>
    </xf>
    <xf numFmtId="0" fontId="22" fillId="8" borderId="3" xfId="0" applyFont="1" applyFill="1" applyBorder="1" applyAlignment="1">
      <alignment horizontal="center" vertical="center"/>
    </xf>
    <xf numFmtId="178" fontId="11" fillId="8" borderId="3" xfId="0" applyNumberFormat="1" applyFont="1" applyFill="1" applyBorder="1">
      <alignment vertical="center"/>
    </xf>
    <xf numFmtId="0" fontId="11" fillId="0" borderId="0" xfId="0" applyFont="1" applyAlignment="1">
      <alignment horizontal="center" vertical="center"/>
    </xf>
    <xf numFmtId="0" fontId="24" fillId="0" borderId="0" xfId="0" applyFont="1">
      <alignment vertical="center"/>
    </xf>
    <xf numFmtId="0" fontId="12" fillId="0" borderId="0" xfId="0" applyFont="1" applyAlignment="1">
      <alignment horizontal="left" vertical="center"/>
    </xf>
    <xf numFmtId="0" fontId="25" fillId="7" borderId="3" xfId="0" applyFont="1" applyFill="1" applyBorder="1" applyAlignment="1">
      <alignment horizontal="center" vertical="center"/>
    </xf>
    <xf numFmtId="178" fontId="25" fillId="0" borderId="3" xfId="0" applyNumberFormat="1" applyFont="1" applyBorder="1">
      <alignment vertical="center"/>
    </xf>
    <xf numFmtId="178" fontId="24" fillId="3" borderId="3" xfId="0" applyNumberFormat="1" applyFont="1" applyFill="1" applyBorder="1">
      <alignment vertical="center"/>
    </xf>
    <xf numFmtId="178" fontId="24" fillId="0" borderId="3" xfId="0" applyNumberFormat="1" applyFont="1" applyBorder="1">
      <alignment vertical="center"/>
    </xf>
    <xf numFmtId="178" fontId="18" fillId="8" borderId="3" xfId="0" applyNumberFormat="1" applyFont="1" applyFill="1" applyBorder="1" applyAlignment="1">
      <alignment horizontal="left" vertical="center" indent="2"/>
    </xf>
    <xf numFmtId="0" fontId="18" fillId="9" borderId="3" xfId="0" applyFont="1" applyFill="1" applyBorder="1" applyAlignment="1">
      <alignment horizontal="center" vertical="center"/>
    </xf>
    <xf numFmtId="178" fontId="18" fillId="9" borderId="3" xfId="0" applyNumberFormat="1" applyFont="1" applyFill="1" applyBorder="1" applyAlignment="1">
      <alignment horizontal="left" vertical="center" indent="2"/>
    </xf>
    <xf numFmtId="178" fontId="18" fillId="3" borderId="3" xfId="0" applyNumberFormat="1" applyFont="1" applyFill="1" applyBorder="1" applyAlignment="1">
      <alignment horizontal="left" vertical="center" indent="2"/>
    </xf>
    <xf numFmtId="0" fontId="11" fillId="0" borderId="3" xfId="0" applyFont="1" applyBorder="1">
      <alignment vertical="center"/>
    </xf>
    <xf numFmtId="0" fontId="24" fillId="0" borderId="3" xfId="0" applyFont="1" applyBorder="1">
      <alignment vertical="center"/>
    </xf>
    <xf numFmtId="10" fontId="11" fillId="0" borderId="0" xfId="0" applyNumberFormat="1" applyFont="1">
      <alignment vertical="center"/>
    </xf>
    <xf numFmtId="178" fontId="24" fillId="0" borderId="0" xfId="0" applyNumberFormat="1" applyFont="1">
      <alignment vertical="center"/>
    </xf>
    <xf numFmtId="178" fontId="13" fillId="0" borderId="3" xfId="0" applyNumberFormat="1" applyFont="1" applyBorder="1" applyAlignment="1">
      <alignment horizontal="center" vertical="center"/>
    </xf>
    <xf numFmtId="0" fontId="11" fillId="4" borderId="0" xfId="0" applyFont="1" applyFill="1">
      <alignment vertical="center"/>
    </xf>
    <xf numFmtId="0" fontId="13" fillId="8" borderId="3" xfId="0" applyFont="1" applyFill="1" applyBorder="1" applyAlignment="1">
      <alignment horizontal="left" vertical="center"/>
    </xf>
    <xf numFmtId="181" fontId="11" fillId="0" borderId="3" xfId="0" applyNumberFormat="1" applyFont="1" applyBorder="1">
      <alignment vertical="center"/>
    </xf>
    <xf numFmtId="0" fontId="13" fillId="4" borderId="3" xfId="0" applyFont="1" applyFill="1" applyBorder="1" applyAlignment="1">
      <alignment horizontal="center" vertical="center"/>
    </xf>
    <xf numFmtId="0" fontId="13" fillId="4" borderId="3" xfId="0" applyFont="1" applyFill="1" applyBorder="1" applyAlignment="1">
      <alignment horizontal="left" vertical="center"/>
    </xf>
    <xf numFmtId="178" fontId="13" fillId="4" borderId="3" xfId="0" applyNumberFormat="1" applyFont="1" applyFill="1" applyBorder="1">
      <alignment vertical="center"/>
    </xf>
    <xf numFmtId="0" fontId="11" fillId="4" borderId="3" xfId="0" applyFont="1" applyFill="1" applyBorder="1" applyAlignment="1">
      <alignment horizontal="center" vertical="center"/>
    </xf>
    <xf numFmtId="178" fontId="11" fillId="4" borderId="3" xfId="0" applyNumberFormat="1" applyFont="1" applyFill="1" applyBorder="1">
      <alignment vertical="center"/>
    </xf>
    <xf numFmtId="0" fontId="11" fillId="9" borderId="3" xfId="0" applyFont="1" applyFill="1" applyBorder="1" applyAlignment="1">
      <alignment horizontal="left" vertical="center" indent="1"/>
    </xf>
    <xf numFmtId="177" fontId="11" fillId="0" borderId="3" xfId="0" applyNumberFormat="1" applyFont="1" applyBorder="1">
      <alignment vertical="center"/>
    </xf>
    <xf numFmtId="0" fontId="11" fillId="9" borderId="3" xfId="0" applyFont="1" applyFill="1" applyBorder="1" applyAlignment="1">
      <alignment vertical="center"/>
    </xf>
    <xf numFmtId="0" fontId="11" fillId="4" borderId="3" xfId="0" applyFont="1" applyFill="1" applyBorder="1" applyAlignment="1">
      <alignment horizontal="left" vertical="center" indent="1"/>
    </xf>
    <xf numFmtId="0" fontId="13" fillId="8" borderId="3" xfId="0" applyFont="1" applyFill="1" applyBorder="1" applyAlignment="1">
      <alignment horizontal="left" vertical="center" indent="1"/>
    </xf>
    <xf numFmtId="0" fontId="11" fillId="0" borderId="0" xfId="0" applyFont="1" applyAlignment="1">
      <alignment horizontal="left" vertical="center"/>
    </xf>
    <xf numFmtId="182" fontId="11" fillId="0" borderId="0" xfId="0" applyNumberFormat="1" applyFont="1">
      <alignment vertical="center"/>
    </xf>
    <xf numFmtId="0" fontId="13" fillId="9" borderId="3" xfId="0" applyFont="1" applyFill="1" applyBorder="1" applyAlignment="1">
      <alignment horizontal="left" vertical="center" indent="1"/>
    </xf>
    <xf numFmtId="0" fontId="11" fillId="9" borderId="3" xfId="0" applyFont="1" applyFill="1" applyBorder="1" applyAlignment="1">
      <alignment horizontal="left" vertical="center" indent="2"/>
    </xf>
    <xf numFmtId="0" fontId="11" fillId="3" borderId="3" xfId="0" applyFont="1" applyFill="1" applyBorder="1" applyAlignment="1">
      <alignment horizontal="left" vertical="center" indent="3"/>
    </xf>
    <xf numFmtId="0" fontId="11" fillId="3" borderId="3" xfId="0" applyFont="1" applyFill="1" applyBorder="1" applyAlignment="1">
      <alignment horizontal="left" vertical="center" indent="2"/>
    </xf>
    <xf numFmtId="0" fontId="13" fillId="3" borderId="3" xfId="0" applyFont="1" applyFill="1" applyBorder="1" applyAlignment="1">
      <alignment horizontal="center" vertical="center"/>
    </xf>
    <xf numFmtId="0" fontId="13" fillId="3" borderId="3" xfId="0" applyFont="1" applyFill="1" applyBorder="1" applyAlignment="1">
      <alignment horizontal="left" vertical="center" indent="1"/>
    </xf>
    <xf numFmtId="178" fontId="13" fillId="3" borderId="3" xfId="0" applyNumberFormat="1" applyFont="1" applyFill="1" applyBorder="1">
      <alignment vertical="center"/>
    </xf>
    <xf numFmtId="0" fontId="11" fillId="8" borderId="3" xfId="0" applyFont="1" applyFill="1" applyBorder="1" applyAlignment="1">
      <alignment horizontal="left" vertical="center"/>
    </xf>
    <xf numFmtId="178" fontId="26" fillId="0" borderId="3" xfId="0" applyNumberFormat="1" applyFont="1" applyBorder="1">
      <alignment vertical="center"/>
    </xf>
    <xf numFmtId="0" fontId="11" fillId="8" borderId="3" xfId="0" applyFont="1" applyFill="1" applyBorder="1" applyAlignment="1">
      <alignment horizontal="left" vertical="center" indent="1"/>
    </xf>
    <xf numFmtId="0" fontId="27" fillId="0" borderId="0" xfId="0" applyFont="1">
      <alignment vertical="center"/>
    </xf>
    <xf numFmtId="0" fontId="13" fillId="9" borderId="3" xfId="0" applyFont="1" applyFill="1" applyBorder="1" applyAlignment="1">
      <alignment horizontal="center" vertical="center"/>
    </xf>
    <xf numFmtId="0" fontId="13" fillId="9" borderId="5" xfId="0" applyFont="1" applyFill="1" applyBorder="1" applyAlignment="1">
      <alignment horizontal="center" vertical="center"/>
    </xf>
    <xf numFmtId="0" fontId="13" fillId="9" borderId="3" xfId="0" applyFont="1" applyFill="1" applyBorder="1">
      <alignment vertical="center"/>
    </xf>
    <xf numFmtId="178" fontId="11" fillId="9" borderId="4" xfId="0" applyNumberFormat="1" applyFont="1" applyFill="1" applyBorder="1">
      <alignment vertical="center"/>
    </xf>
    <xf numFmtId="0" fontId="11" fillId="9" borderId="3" xfId="0" applyFont="1" applyFill="1" applyBorder="1" applyAlignment="1">
      <alignment horizontal="center" vertical="center"/>
    </xf>
    <xf numFmtId="180" fontId="11" fillId="0" borderId="0" xfId="0" applyNumberFormat="1" applyFont="1">
      <alignment vertical="center"/>
    </xf>
    <xf numFmtId="176" fontId="11" fillId="0" borderId="0" xfId="0" applyNumberFormat="1" applyFont="1">
      <alignment vertical="center"/>
    </xf>
    <xf numFmtId="0" fontId="11" fillId="0" borderId="0" xfId="0" applyNumberFormat="1" applyFont="1">
      <alignment vertical="center"/>
    </xf>
    <xf numFmtId="0" fontId="15" fillId="11" borderId="0" xfId="0" applyFont="1" applyFill="1">
      <alignment vertical="center"/>
    </xf>
    <xf numFmtId="0" fontId="24" fillId="0" borderId="3" xfId="0" applyFont="1" applyBorder="1" applyAlignment="1">
      <alignment horizontal="left" vertical="center" indent="2"/>
    </xf>
    <xf numFmtId="0" fontId="24" fillId="8" borderId="3" xfId="0" applyFont="1" applyFill="1" applyBorder="1" applyAlignment="1">
      <alignment horizontal="left" vertical="center" indent="2"/>
    </xf>
    <xf numFmtId="0" fontId="11" fillId="8" borderId="3" xfId="0" applyFont="1" applyFill="1" applyBorder="1" applyAlignment="1">
      <alignment horizontal="left" vertical="center" indent="2"/>
    </xf>
    <xf numFmtId="0" fontId="10" fillId="8" borderId="3" xfId="0" applyFont="1" applyFill="1" applyBorder="1" applyAlignment="1">
      <alignment horizontal="left" vertical="center" indent="2"/>
    </xf>
    <xf numFmtId="0" fontId="11" fillId="11" borderId="3" xfId="0" applyFont="1" applyFill="1" applyBorder="1" applyAlignment="1">
      <alignment horizontal="center" vertical="center"/>
    </xf>
    <xf numFmtId="0" fontId="11" fillId="11" borderId="3" xfId="0" applyFont="1" applyFill="1" applyBorder="1" applyAlignment="1">
      <alignment horizontal="left" vertical="center" indent="2"/>
    </xf>
    <xf numFmtId="178" fontId="11" fillId="11" borderId="3" xfId="0" applyNumberFormat="1" applyFont="1" applyFill="1" applyBorder="1">
      <alignment vertical="center"/>
    </xf>
    <xf numFmtId="0" fontId="22" fillId="11" borderId="3" xfId="0" applyFont="1" applyFill="1" applyBorder="1" applyAlignment="1">
      <alignment horizontal="center" vertical="center"/>
    </xf>
    <xf numFmtId="178" fontId="13" fillId="11" borderId="3" xfId="0" applyNumberFormat="1" applyFont="1" applyFill="1" applyBorder="1" applyAlignment="1">
      <alignment horizontal="center" vertical="center"/>
    </xf>
    <xf numFmtId="0" fontId="11" fillId="0" borderId="3" xfId="0" applyFont="1" applyBorder="1" applyAlignment="1">
      <alignment horizontal="left" vertical="center" indent="2"/>
    </xf>
    <xf numFmtId="0" fontId="13" fillId="0" borderId="0" xfId="0" applyFont="1" applyAlignment="1">
      <alignment horizontal="center" vertical="center"/>
    </xf>
    <xf numFmtId="0" fontId="13" fillId="0" borderId="0" xfId="0" applyFont="1" applyAlignment="1">
      <alignment horizontal="left" vertical="center"/>
    </xf>
    <xf numFmtId="178" fontId="13" fillId="0" borderId="0" xfId="0" applyNumberFormat="1" applyFont="1">
      <alignment vertical="center"/>
    </xf>
    <xf numFmtId="0" fontId="22" fillId="0" borderId="0" xfId="0" applyFont="1" applyAlignment="1">
      <alignment horizontal="center" vertical="center"/>
    </xf>
    <xf numFmtId="178" fontId="13" fillId="9" borderId="3" xfId="0" applyNumberFormat="1" applyFont="1" applyFill="1" applyBorder="1">
      <alignment vertical="center"/>
    </xf>
    <xf numFmtId="0" fontId="22" fillId="9" borderId="3" xfId="0" applyFont="1" applyFill="1" applyBorder="1" applyAlignment="1">
      <alignment horizontal="center" vertical="center"/>
    </xf>
    <xf numFmtId="0" fontId="13" fillId="9" borderId="5" xfId="0" applyFont="1" applyFill="1" applyBorder="1" applyAlignment="1">
      <alignment horizontal="left" vertical="center"/>
    </xf>
    <xf numFmtId="178" fontId="13" fillId="9" borderId="3" xfId="0" applyNumberFormat="1" applyFont="1" applyFill="1" applyBorder="1" applyAlignment="1">
      <alignment horizontal="center" vertical="center"/>
    </xf>
    <xf numFmtId="0" fontId="24" fillId="9" borderId="3" xfId="0" applyFont="1" applyFill="1" applyBorder="1" applyAlignment="1">
      <alignment horizontal="left" vertical="center" indent="2"/>
    </xf>
    <xf numFmtId="0" fontId="13" fillId="0" borderId="0" xfId="0" applyFont="1">
      <alignment vertical="center"/>
    </xf>
    <xf numFmtId="0" fontId="15" fillId="0" borderId="8" xfId="0" applyFont="1" applyBorder="1">
      <alignment vertical="center"/>
    </xf>
    <xf numFmtId="2" fontId="15" fillId="0" borderId="9" xfId="0" applyNumberFormat="1" applyFont="1" applyBorder="1" applyAlignment="1">
      <alignment horizontal="right" vertical="center"/>
    </xf>
    <xf numFmtId="2" fontId="15" fillId="0" borderId="0" xfId="0" applyNumberFormat="1" applyFont="1" applyAlignment="1">
      <alignment horizontal="center" vertical="center"/>
    </xf>
    <xf numFmtId="0" fontId="28" fillId="0" borderId="0" xfId="0" applyFont="1">
      <alignment vertical="center"/>
    </xf>
    <xf numFmtId="0" fontId="15" fillId="0" borderId="10" xfId="0" applyFont="1" applyBorder="1">
      <alignment vertical="center"/>
    </xf>
    <xf numFmtId="2" fontId="15" fillId="0" borderId="11" xfId="0" applyNumberFormat="1" applyFont="1" applyBorder="1" applyAlignment="1">
      <alignment horizontal="right" vertical="center"/>
    </xf>
    <xf numFmtId="2" fontId="15" fillId="8" borderId="11" xfId="0" applyNumberFormat="1" applyFont="1" applyFill="1" applyBorder="1" applyAlignment="1">
      <alignment horizontal="right" vertical="center"/>
    </xf>
    <xf numFmtId="1" fontId="15" fillId="0" borderId="11" xfId="0" applyNumberFormat="1" applyFont="1" applyBorder="1" applyAlignment="1">
      <alignment horizontal="right" vertical="center"/>
    </xf>
    <xf numFmtId="0" fontId="15" fillId="0" borderId="12" xfId="0" applyFont="1" applyBorder="1">
      <alignment vertical="center"/>
    </xf>
    <xf numFmtId="9" fontId="15" fillId="0" borderId="13" xfId="1" applyFont="1" applyBorder="1" applyAlignment="1">
      <alignment horizontal="right" vertical="center"/>
    </xf>
    <xf numFmtId="9" fontId="15" fillId="0" borderId="0" xfId="1" applyFont="1" applyBorder="1" applyAlignment="1">
      <alignment horizontal="center" vertical="center"/>
    </xf>
    <xf numFmtId="2" fontId="15" fillId="12" borderId="9" xfId="0" applyNumberFormat="1" applyFont="1" applyFill="1" applyBorder="1" applyAlignment="1">
      <alignment horizontal="right" vertical="center"/>
    </xf>
    <xf numFmtId="0" fontId="15" fillId="0" borderId="14" xfId="0" applyFont="1" applyBorder="1">
      <alignment vertical="center"/>
    </xf>
    <xf numFmtId="2" fontId="15" fillId="12" borderId="15" xfId="0" applyNumberFormat="1" applyFont="1" applyFill="1" applyBorder="1" applyAlignment="1">
      <alignment horizontal="right" vertical="center"/>
    </xf>
    <xf numFmtId="9" fontId="15" fillId="0" borderId="11" xfId="1" applyFont="1" applyBorder="1" applyAlignment="1">
      <alignment horizontal="right" vertical="center"/>
    </xf>
    <xf numFmtId="0" fontId="15" fillId="0" borderId="16" xfId="0" applyFont="1" applyBorder="1">
      <alignment vertical="center"/>
    </xf>
    <xf numFmtId="9" fontId="15" fillId="0" borderId="17" xfId="1" applyFont="1" applyBorder="1" applyAlignment="1">
      <alignment horizontal="right" vertical="center"/>
    </xf>
    <xf numFmtId="1" fontId="15" fillId="0" borderId="13" xfId="0" applyNumberFormat="1" applyFont="1" applyBorder="1" applyAlignment="1">
      <alignment horizontal="right" vertical="center"/>
    </xf>
    <xf numFmtId="9" fontId="15" fillId="0" borderId="13" xfId="0" applyNumberFormat="1" applyFont="1" applyBorder="1" applyAlignment="1">
      <alignment horizontal="right" vertical="center"/>
    </xf>
    <xf numFmtId="9" fontId="15" fillId="0" borderId="0" xfId="1" applyFont="1" applyBorder="1" applyAlignment="1">
      <alignment horizontal="right" vertical="center"/>
    </xf>
    <xf numFmtId="2" fontId="15" fillId="0" borderId="0" xfId="0" applyNumberFormat="1" applyFont="1" applyAlignment="1">
      <alignment horizontal="right" vertical="center"/>
    </xf>
    <xf numFmtId="0" fontId="15" fillId="0" borderId="3" xfId="0" applyFont="1" applyBorder="1" applyAlignment="1">
      <alignment horizontal="right" vertical="center"/>
    </xf>
    <xf numFmtId="2" fontId="15" fillId="0" borderId="3" xfId="0" applyNumberFormat="1" applyFont="1" applyBorder="1">
      <alignment vertical="center"/>
    </xf>
    <xf numFmtId="2" fontId="15" fillId="8" borderId="3" xfId="0" applyNumberFormat="1" applyFont="1" applyFill="1" applyBorder="1">
      <alignment vertical="center"/>
    </xf>
    <xf numFmtId="2" fontId="15" fillId="0" borderId="4" xfId="0" applyNumberFormat="1" applyFont="1" applyBorder="1">
      <alignment vertical="center"/>
    </xf>
    <xf numFmtId="2" fontId="15" fillId="0" borderId="7" xfId="0" applyNumberFormat="1" applyFont="1" applyBorder="1">
      <alignment vertical="center"/>
    </xf>
    <xf numFmtId="2" fontId="15" fillId="0" borderId="5" xfId="0" applyNumberFormat="1" applyFont="1" applyBorder="1">
      <alignment vertical="center"/>
    </xf>
    <xf numFmtId="0" fontId="20" fillId="0" borderId="3" xfId="0" applyFont="1" applyBorder="1" applyAlignment="1">
      <alignment horizontal="center" vertical="center"/>
    </xf>
    <xf numFmtId="0" fontId="20" fillId="0" borderId="3" xfId="0" applyFont="1" applyBorder="1">
      <alignment vertical="center"/>
    </xf>
    <xf numFmtId="2" fontId="20" fillId="0" borderId="3" xfId="0" applyNumberFormat="1" applyFont="1" applyBorder="1">
      <alignment vertical="center"/>
    </xf>
    <xf numFmtId="178" fontId="20" fillId="0" borderId="3" xfId="0" applyNumberFormat="1" applyFont="1" applyBorder="1">
      <alignment vertical="center"/>
    </xf>
    <xf numFmtId="0" fontId="13" fillId="14" borderId="7" xfId="0" applyFont="1" applyFill="1" applyBorder="1">
      <alignment vertical="center"/>
    </xf>
    <xf numFmtId="0" fontId="13" fillId="14" borderId="19" xfId="0" applyFont="1" applyFill="1" applyBorder="1">
      <alignment vertical="center"/>
    </xf>
    <xf numFmtId="0" fontId="13" fillId="14" borderId="6" xfId="0" applyFont="1" applyFill="1" applyBorder="1">
      <alignment vertical="center"/>
    </xf>
    <xf numFmtId="0" fontId="13" fillId="15" borderId="3" xfId="0" applyFont="1" applyFill="1" applyBorder="1" applyAlignment="1">
      <alignment horizontal="center" vertical="center"/>
    </xf>
    <xf numFmtId="183" fontId="13" fillId="15" borderId="3" xfId="1" applyNumberFormat="1" applyFont="1" applyFill="1" applyBorder="1" applyAlignment="1">
      <alignment horizontal="center" vertical="center"/>
    </xf>
    <xf numFmtId="9" fontId="13" fillId="0" borderId="3" xfId="0" applyNumberFormat="1" applyFont="1" applyBorder="1" applyAlignment="1">
      <alignment horizontal="center" vertical="center"/>
    </xf>
    <xf numFmtId="9" fontId="13" fillId="0" borderId="4" xfId="0" applyNumberFormat="1" applyFont="1" applyBorder="1" applyAlignment="1">
      <alignment horizontal="center" vertical="center"/>
    </xf>
    <xf numFmtId="2" fontId="13" fillId="0" borderId="3" xfId="0" applyNumberFormat="1" applyFont="1" applyBorder="1">
      <alignment vertical="center"/>
    </xf>
    <xf numFmtId="184" fontId="13" fillId="0" borderId="3" xfId="0" applyNumberFormat="1" applyFont="1" applyBorder="1">
      <alignment vertical="center"/>
    </xf>
    <xf numFmtId="2" fontId="11" fillId="0" borderId="3" xfId="0" applyNumberFormat="1" applyFont="1" applyBorder="1">
      <alignment vertical="center"/>
    </xf>
    <xf numFmtId="184" fontId="11" fillId="0" borderId="3" xfId="0" applyNumberFormat="1" applyFont="1" applyBorder="1">
      <alignment vertical="center"/>
    </xf>
    <xf numFmtId="0" fontId="11" fillId="0" borderId="0" xfId="0" applyFont="1" applyAlignment="1">
      <alignment horizontal="left" vertical="center" indent="2"/>
    </xf>
    <xf numFmtId="2" fontId="11" fillId="0" borderId="0" xfId="0" applyNumberFormat="1" applyFont="1">
      <alignment vertical="center"/>
    </xf>
    <xf numFmtId="184" fontId="11" fillId="0" borderId="0" xfId="0" applyNumberFormat="1" applyFont="1">
      <alignment vertical="center"/>
    </xf>
    <xf numFmtId="2" fontId="11" fillId="8" borderId="3" xfId="0" applyNumberFormat="1" applyFont="1" applyFill="1" applyBorder="1">
      <alignment vertical="center"/>
    </xf>
    <xf numFmtId="2" fontId="11" fillId="3" borderId="3" xfId="0" applyNumberFormat="1" applyFont="1" applyFill="1" applyBorder="1">
      <alignment vertical="center"/>
    </xf>
    <xf numFmtId="0" fontId="0" fillId="0" borderId="0" xfId="0" applyFill="1" applyAlignment="1">
      <alignment horizontal="center" vertical="center"/>
    </xf>
    <xf numFmtId="0" fontId="30" fillId="0" borderId="0" xfId="0" applyFont="1" applyFill="1">
      <alignment vertical="center"/>
    </xf>
    <xf numFmtId="0" fontId="0" fillId="0" borderId="0" xfId="0" applyFill="1">
      <alignment vertical="center"/>
    </xf>
    <xf numFmtId="0" fontId="31" fillId="0" borderId="0" xfId="0" applyFont="1" applyFill="1">
      <alignment vertical="center"/>
    </xf>
    <xf numFmtId="0" fontId="32" fillId="0" borderId="0" xfId="0" applyFont="1" applyFill="1" applyAlignment="1">
      <alignment horizontal="center" vertical="center"/>
    </xf>
    <xf numFmtId="0" fontId="33" fillId="0" borderId="0" xfId="0" applyFont="1" applyFill="1">
      <alignment vertical="center"/>
    </xf>
    <xf numFmtId="0" fontId="33" fillId="0" borderId="0" xfId="0" applyFont="1" applyFill="1" applyAlignment="1">
      <alignment horizontal="center" vertical="center"/>
    </xf>
    <xf numFmtId="0" fontId="34" fillId="0" borderId="0" xfId="0" applyFont="1" applyFill="1" applyAlignment="1">
      <alignment horizontal="center" vertical="center"/>
    </xf>
    <xf numFmtId="0" fontId="35" fillId="0" borderId="3" xfId="0" applyFont="1" applyFill="1" applyBorder="1" applyAlignment="1">
      <alignment horizontal="center" vertical="center"/>
    </xf>
    <xf numFmtId="0" fontId="35" fillId="0" borderId="3" xfId="0" applyFont="1" applyFill="1" applyBorder="1" applyAlignment="1">
      <alignment horizontal="center" vertical="center" wrapText="1"/>
    </xf>
    <xf numFmtId="0" fontId="35" fillId="0" borderId="18"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37" fillId="0" borderId="3" xfId="0" applyFont="1" applyFill="1" applyBorder="1">
      <alignment vertical="center"/>
    </xf>
    <xf numFmtId="0" fontId="38" fillId="0" borderId="3" xfId="0" applyFont="1" applyFill="1" applyBorder="1" applyAlignment="1">
      <alignment horizontal="center" vertical="center"/>
    </xf>
    <xf numFmtId="0" fontId="0" fillId="0" borderId="3" xfId="0" applyFill="1" applyBorder="1" applyAlignment="1">
      <alignment vertical="center" wrapText="1"/>
    </xf>
    <xf numFmtId="0" fontId="32" fillId="0" borderId="3" xfId="0" applyFont="1" applyFill="1" applyBorder="1" applyAlignment="1">
      <alignment horizontal="center" vertical="center"/>
    </xf>
    <xf numFmtId="0" fontId="0" fillId="0" borderId="3" xfId="0" applyFill="1" applyBorder="1" applyAlignment="1">
      <alignment horizontal="center" vertical="center"/>
    </xf>
    <xf numFmtId="0" fontId="0" fillId="0" borderId="3" xfId="0" applyFill="1" applyBorder="1">
      <alignment vertical="center"/>
    </xf>
    <xf numFmtId="0" fontId="0" fillId="0" borderId="3" xfId="0" applyFill="1" applyBorder="1" applyAlignment="1">
      <alignment horizontal="center" vertical="center" wrapText="1"/>
    </xf>
    <xf numFmtId="0" fontId="31" fillId="0" borderId="3" xfId="0" applyFont="1" applyFill="1" applyBorder="1" applyAlignment="1">
      <alignment horizontal="left" vertical="center" indent="2"/>
    </xf>
    <xf numFmtId="9" fontId="32" fillId="0" borderId="3" xfId="0" applyNumberFormat="1" applyFont="1" applyFill="1" applyBorder="1" applyAlignment="1">
      <alignment horizontal="center" vertical="center"/>
    </xf>
    <xf numFmtId="0" fontId="39" fillId="0" borderId="3" xfId="0" applyFont="1" applyFill="1" applyBorder="1" applyAlignment="1">
      <alignment horizontal="center" vertical="center" wrapText="1"/>
    </xf>
    <xf numFmtId="0" fontId="40" fillId="0" borderId="3" xfId="0" applyFont="1" applyFill="1" applyBorder="1">
      <alignment vertical="center"/>
    </xf>
    <xf numFmtId="0" fontId="38" fillId="0" borderId="3" xfId="0" applyFont="1" applyFill="1" applyBorder="1" applyAlignment="1">
      <alignment vertical="center" wrapText="1"/>
    </xf>
    <xf numFmtId="0" fontId="41" fillId="0" borderId="3" xfId="0" applyFont="1" applyFill="1" applyBorder="1" applyAlignment="1">
      <alignment horizontal="center" vertical="center"/>
    </xf>
    <xf numFmtId="0" fontId="30" fillId="0" borderId="3" xfId="0" applyFont="1" applyFill="1" applyBorder="1" applyAlignment="1">
      <alignment horizontal="center" vertical="center"/>
    </xf>
    <xf numFmtId="0" fontId="30" fillId="0" borderId="3" xfId="0" applyFont="1" applyFill="1" applyBorder="1">
      <alignment vertical="center"/>
    </xf>
    <xf numFmtId="178" fontId="30" fillId="0" borderId="0" xfId="0" applyNumberFormat="1" applyFont="1" applyFill="1">
      <alignment vertical="center"/>
    </xf>
    <xf numFmtId="179" fontId="30" fillId="0" borderId="0" xfId="0" applyNumberFormat="1" applyFont="1" applyFill="1">
      <alignment vertical="center"/>
    </xf>
    <xf numFmtId="0" fontId="30" fillId="0" borderId="3" xfId="0" applyFont="1" applyFill="1" applyBorder="1" applyAlignment="1">
      <alignment horizontal="center" vertical="center" wrapText="1"/>
    </xf>
    <xf numFmtId="0" fontId="42" fillId="0" borderId="3" xfId="0" applyFont="1" applyFill="1" applyBorder="1" applyAlignment="1">
      <alignment horizontal="left" vertical="center" indent="2"/>
    </xf>
    <xf numFmtId="9" fontId="41" fillId="0" borderId="3" xfId="0" applyNumberFormat="1" applyFont="1" applyFill="1" applyBorder="1" applyAlignment="1">
      <alignment horizontal="center" vertical="center"/>
    </xf>
    <xf numFmtId="10" fontId="41" fillId="0" borderId="3" xfId="0" applyNumberFormat="1" applyFont="1" applyFill="1" applyBorder="1" applyAlignment="1">
      <alignment horizontal="center" vertical="center"/>
    </xf>
    <xf numFmtId="179" fontId="41" fillId="0" borderId="3" xfId="0" applyNumberFormat="1" applyFont="1" applyFill="1" applyBorder="1" applyAlignment="1">
      <alignment horizontal="center" vertical="center"/>
    </xf>
    <xf numFmtId="179" fontId="32" fillId="0" borderId="3" xfId="0" applyNumberFormat="1" applyFont="1" applyFill="1" applyBorder="1" applyAlignment="1">
      <alignment horizontal="center" vertical="center"/>
    </xf>
    <xf numFmtId="0" fontId="3" fillId="0" borderId="0" xfId="0" applyFont="1" applyFill="1">
      <alignment vertical="center"/>
    </xf>
    <xf numFmtId="0" fontId="0" fillId="0" borderId="3" xfId="0" applyFont="1" applyFill="1" applyBorder="1" applyAlignment="1">
      <alignment horizontal="center" vertical="center" wrapText="1"/>
    </xf>
    <xf numFmtId="0" fontId="31" fillId="0" borderId="3" xfId="0" applyFont="1" applyFill="1" applyBorder="1" applyAlignment="1">
      <alignment horizontal="left" vertical="center" indent="3"/>
    </xf>
    <xf numFmtId="0" fontId="42" fillId="0" borderId="3" xfId="0" applyFont="1" applyFill="1" applyBorder="1" applyAlignment="1">
      <alignment vertical="center"/>
    </xf>
    <xf numFmtId="10" fontId="41" fillId="0" borderId="3" xfId="1" applyNumberFormat="1" applyFont="1" applyFill="1" applyBorder="1" applyAlignment="1">
      <alignment horizontal="center" vertical="center"/>
    </xf>
    <xf numFmtId="0" fontId="40" fillId="0" borderId="3" xfId="0" applyFont="1" applyFill="1" applyBorder="1" applyAlignment="1">
      <alignment vertical="center"/>
    </xf>
    <xf numFmtId="0" fontId="35" fillId="0" borderId="4" xfId="0" applyFont="1" applyFill="1" applyBorder="1" applyAlignment="1">
      <alignment horizontal="center" vertical="center" wrapText="1"/>
    </xf>
    <xf numFmtId="2" fontId="32" fillId="0" borderId="3" xfId="0" applyNumberFormat="1" applyFont="1" applyFill="1" applyBorder="1" applyAlignment="1">
      <alignment horizontal="right" vertical="center"/>
    </xf>
    <xf numFmtId="0" fontId="30" fillId="0" borderId="3" xfId="0" applyFont="1" applyFill="1" applyBorder="1" applyAlignment="1">
      <alignment vertical="center" wrapText="1"/>
    </xf>
    <xf numFmtId="2" fontId="41" fillId="0" borderId="3" xfId="0" applyNumberFormat="1" applyFont="1" applyFill="1" applyBorder="1" applyAlignment="1">
      <alignment horizontal="right" vertical="center"/>
    </xf>
    <xf numFmtId="0" fontId="35" fillId="0" borderId="18" xfId="0" applyFont="1" applyFill="1" applyBorder="1" applyAlignment="1">
      <alignment horizontal="center" vertical="center"/>
    </xf>
    <xf numFmtId="0" fontId="40" fillId="0" borderId="3" xfId="0" applyFont="1" applyFill="1" applyBorder="1" applyAlignment="1">
      <alignment horizontal="left" vertical="center" indent="1"/>
    </xf>
    <xf numFmtId="0" fontId="39" fillId="0" borderId="3" xfId="0" applyFont="1" applyFill="1" applyBorder="1" applyAlignment="1">
      <alignment horizontal="center" vertical="center"/>
    </xf>
    <xf numFmtId="0" fontId="35" fillId="0" borderId="3" xfId="0" applyFont="1" applyFill="1" applyBorder="1">
      <alignment vertical="center"/>
    </xf>
    <xf numFmtId="0" fontId="0" fillId="0" borderId="3" xfId="0" applyFont="1" applyFill="1" applyBorder="1" applyAlignment="1">
      <alignment horizontal="center" vertical="center"/>
    </xf>
    <xf numFmtId="0" fontId="36" fillId="0" borderId="3" xfId="0" applyFont="1" applyFill="1" applyBorder="1" applyAlignment="1">
      <alignment horizontal="center" vertical="center"/>
    </xf>
    <xf numFmtId="0" fontId="38" fillId="0" borderId="4" xfId="0" applyFont="1" applyFill="1" applyBorder="1" applyAlignment="1">
      <alignment horizontal="center" vertical="center"/>
    </xf>
    <xf numFmtId="10" fontId="32" fillId="0" borderId="3" xfId="0" applyNumberFormat="1" applyFont="1" applyFill="1" applyBorder="1" applyAlignment="1">
      <alignment horizontal="center" vertical="center"/>
    </xf>
    <xf numFmtId="0" fontId="0" fillId="0" borderId="4" xfId="0" applyFill="1" applyBorder="1" applyAlignment="1">
      <alignment vertical="center" wrapText="1"/>
    </xf>
    <xf numFmtId="0" fontId="0" fillId="0" borderId="4" xfId="0" applyFill="1" applyBorder="1" applyAlignment="1">
      <alignment horizontal="center" vertical="center" wrapText="1"/>
    </xf>
    <xf numFmtId="185" fontId="32" fillId="0" borderId="3" xfId="0" applyNumberFormat="1" applyFont="1" applyFill="1" applyBorder="1" applyAlignment="1">
      <alignment horizontal="center" vertical="center"/>
    </xf>
    <xf numFmtId="0" fontId="36" fillId="0" borderId="4" xfId="0" applyFont="1" applyFill="1" applyBorder="1" applyAlignment="1">
      <alignment horizontal="center" vertical="center" wrapText="1"/>
    </xf>
    <xf numFmtId="0" fontId="38" fillId="0" borderId="3" xfId="0" applyFont="1" applyFill="1" applyBorder="1" applyAlignment="1">
      <alignment horizontal="left" vertical="center" indent="2"/>
    </xf>
    <xf numFmtId="0" fontId="31" fillId="0" borderId="3" xfId="0" applyFont="1" applyFill="1" applyBorder="1" applyAlignment="1">
      <alignment horizontal="left" vertical="center" indent="4"/>
    </xf>
    <xf numFmtId="0" fontId="38" fillId="0" borderId="5" xfId="0" applyFont="1" applyFill="1" applyBorder="1" applyAlignment="1">
      <alignment horizontal="center" vertical="center" wrapText="1"/>
    </xf>
    <xf numFmtId="0" fontId="38" fillId="0" borderId="5" xfId="0" applyFont="1" applyFill="1" applyBorder="1" applyAlignment="1">
      <alignment horizontal="center" vertical="center"/>
    </xf>
    <xf numFmtId="0" fontId="0" fillId="0" borderId="5" xfId="0" applyFill="1" applyBorder="1" applyAlignment="1">
      <alignment horizontal="center" vertical="center" wrapText="1"/>
    </xf>
    <xf numFmtId="2" fontId="32" fillId="0" borderId="3" xfId="0" applyNumberFormat="1" applyFont="1" applyFill="1" applyBorder="1" applyAlignment="1">
      <alignment horizontal="center" vertical="center"/>
    </xf>
    <xf numFmtId="0" fontId="37" fillId="0" borderId="3" xfId="0" applyFont="1" applyFill="1" applyBorder="1" applyAlignment="1">
      <alignment horizontal="left" vertical="center" indent="2"/>
    </xf>
    <xf numFmtId="0" fontId="43" fillId="0" borderId="3" xfId="0" applyFont="1" applyFill="1" applyBorder="1" applyAlignment="1">
      <alignment horizontal="center" vertical="center"/>
    </xf>
    <xf numFmtId="49" fontId="0" fillId="0" borderId="3" xfId="0" applyNumberFormat="1" applyFont="1" applyFill="1" applyBorder="1" applyAlignment="1">
      <alignment horizontal="center" vertical="center" wrapText="1"/>
    </xf>
    <xf numFmtId="0" fontId="38" fillId="0" borderId="3" xfId="0" applyFont="1" applyFill="1" applyBorder="1">
      <alignment vertical="center"/>
    </xf>
    <xf numFmtId="0" fontId="31" fillId="0" borderId="3" xfId="0" applyFont="1" applyFill="1" applyBorder="1" applyAlignment="1">
      <alignment horizontal="left" vertical="center" indent="5"/>
    </xf>
    <xf numFmtId="0" fontId="43" fillId="0" borderId="3" xfId="0" applyFont="1" applyFill="1" applyBorder="1">
      <alignment vertical="center"/>
    </xf>
    <xf numFmtId="0" fontId="38" fillId="0" borderId="3" xfId="0" applyFont="1" applyFill="1" applyBorder="1" applyAlignment="1">
      <alignment horizontal="center" vertical="center" wrapText="1"/>
    </xf>
    <xf numFmtId="9" fontId="38" fillId="0" borderId="3" xfId="0" applyNumberFormat="1" applyFont="1" applyFill="1" applyBorder="1" applyAlignment="1">
      <alignment horizontal="left" vertical="center" wrapText="1"/>
    </xf>
    <xf numFmtId="0" fontId="35" fillId="0" borderId="0" xfId="0" applyFont="1" applyFill="1" applyAlignment="1">
      <alignment horizontal="center" vertical="center" wrapText="1"/>
    </xf>
    <xf numFmtId="0" fontId="31" fillId="0" borderId="0" xfId="0" applyFont="1" applyFill="1" applyAlignment="1">
      <alignment horizontal="left" vertical="center" indent="2"/>
    </xf>
    <xf numFmtId="0" fontId="31" fillId="0" borderId="0" xfId="0" applyFont="1" applyFill="1" applyAlignment="1">
      <alignment horizontal="center" vertical="center"/>
    </xf>
    <xf numFmtId="0" fontId="31" fillId="0" borderId="3" xfId="0" applyFont="1" applyFill="1" applyBorder="1" applyAlignment="1">
      <alignment horizontal="center" vertical="center"/>
    </xf>
    <xf numFmtId="0" fontId="31" fillId="0" borderId="3" xfId="0" applyFont="1" applyFill="1" applyBorder="1">
      <alignment vertical="center"/>
    </xf>
    <xf numFmtId="9" fontId="31" fillId="0" borderId="3" xfId="0" applyNumberFormat="1" applyFont="1" applyFill="1" applyBorder="1" applyAlignment="1">
      <alignment horizontal="center" vertical="center"/>
    </xf>
    <xf numFmtId="0" fontId="44" fillId="0" borderId="0" xfId="0" applyFont="1" applyFill="1">
      <alignment vertical="center"/>
    </xf>
    <xf numFmtId="0" fontId="20" fillId="5" borderId="3" xfId="0" applyFont="1" applyFill="1" applyBorder="1" applyAlignment="1">
      <alignment horizontal="center" vertical="center"/>
    </xf>
    <xf numFmtId="0" fontId="20" fillId="0" borderId="3" xfId="0" applyFont="1" applyBorder="1" applyAlignment="1">
      <alignment horizontal="center" vertical="center" wrapText="1"/>
    </xf>
    <xf numFmtId="9" fontId="20" fillId="0" borderId="3" xfId="0" applyNumberFormat="1" applyFont="1" applyBorder="1" applyAlignment="1">
      <alignment horizontal="center" vertical="center"/>
    </xf>
    <xf numFmtId="0" fontId="15" fillId="0" borderId="3" xfId="0" applyFont="1" applyBorder="1" applyAlignment="1">
      <alignment horizontal="center" vertical="center" wrapText="1"/>
    </xf>
    <xf numFmtId="0" fontId="20" fillId="8" borderId="3" xfId="0" applyFont="1" applyFill="1" applyBorder="1" applyAlignment="1">
      <alignment horizontal="center" vertical="center"/>
    </xf>
    <xf numFmtId="2" fontId="20" fillId="8" borderId="3" xfId="0" applyNumberFormat="1" applyFont="1" applyFill="1" applyBorder="1">
      <alignment vertical="center"/>
    </xf>
    <xf numFmtId="0" fontId="15" fillId="0" borderId="0" xfId="0" applyFont="1" applyAlignment="1">
      <alignment vertical="center" wrapText="1"/>
    </xf>
    <xf numFmtId="0" fontId="15" fillId="16" borderId="0" xfId="0" applyFont="1" applyFill="1">
      <alignment vertical="center"/>
    </xf>
    <xf numFmtId="0" fontId="15" fillId="17" borderId="0" xfId="0" applyFont="1" applyFill="1">
      <alignment vertical="center"/>
    </xf>
    <xf numFmtId="0" fontId="15" fillId="4" borderId="0" xfId="0" applyFont="1" applyFill="1">
      <alignment vertical="center"/>
    </xf>
    <xf numFmtId="0" fontId="15" fillId="18" borderId="0" xfId="0" applyFont="1" applyFill="1">
      <alignment vertical="center"/>
    </xf>
    <xf numFmtId="0" fontId="25" fillId="13" borderId="4" xfId="0" applyFont="1" applyFill="1" applyBorder="1" applyAlignment="1">
      <alignment horizontal="center" vertical="center" wrapText="1"/>
    </xf>
    <xf numFmtId="0" fontId="25" fillId="13" borderId="18" xfId="0" applyFont="1" applyFill="1" applyBorder="1" applyAlignment="1">
      <alignment horizontal="center" vertical="center" wrapText="1"/>
    </xf>
    <xf numFmtId="0" fontId="25" fillId="13" borderId="5" xfId="0" applyFont="1" applyFill="1" applyBorder="1" applyAlignment="1">
      <alignment horizontal="center" vertical="center" wrapText="1"/>
    </xf>
    <xf numFmtId="0" fontId="35" fillId="0" borderId="4" xfId="0" applyFont="1" applyFill="1" applyBorder="1" applyAlignment="1">
      <alignment horizontal="center" vertical="center" wrapText="1"/>
    </xf>
    <xf numFmtId="0" fontId="35" fillId="0" borderId="18" xfId="0" applyFont="1" applyFill="1" applyBorder="1" applyAlignment="1">
      <alignment horizontal="center" vertical="center" wrapText="1"/>
    </xf>
    <xf numFmtId="0" fontId="35" fillId="0" borderId="3" xfId="0" applyFont="1" applyFill="1" applyBorder="1" applyAlignment="1">
      <alignment horizontal="center" vertical="center" wrapText="1"/>
    </xf>
    <xf numFmtId="0" fontId="37" fillId="0" borderId="3" xfId="0" applyFont="1" applyFill="1" applyBorder="1" applyAlignment="1">
      <alignment horizontal="center" vertical="center"/>
    </xf>
    <xf numFmtId="0" fontId="38" fillId="0" borderId="4" xfId="0" applyFont="1" applyFill="1" applyBorder="1" applyAlignment="1">
      <alignment horizontal="center" vertical="center" wrapText="1"/>
    </xf>
    <xf numFmtId="0" fontId="38" fillId="0" borderId="18" xfId="0" applyFont="1" applyFill="1" applyBorder="1" applyAlignment="1">
      <alignment horizontal="center" vertical="center" wrapText="1"/>
    </xf>
    <xf numFmtId="0" fontId="38" fillId="0" borderId="5" xfId="0" applyFont="1" applyFill="1" applyBorder="1" applyAlignment="1">
      <alignment horizontal="center" vertical="center" wrapText="1"/>
    </xf>
    <xf numFmtId="0" fontId="35" fillId="0" borderId="5" xfId="0" applyFont="1" applyFill="1" applyBorder="1" applyAlignment="1">
      <alignment horizontal="center" vertical="center" wrapText="1"/>
    </xf>
    <xf numFmtId="0" fontId="35" fillId="0" borderId="18" xfId="0" applyFont="1" applyFill="1" applyBorder="1" applyAlignment="1">
      <alignment horizontal="center" vertical="center"/>
    </xf>
    <xf numFmtId="0" fontId="13" fillId="14" borderId="3" xfId="0" applyFont="1" applyFill="1" applyBorder="1" applyAlignment="1">
      <alignment horizontal="left" vertical="center" indent="1"/>
    </xf>
    <xf numFmtId="0" fontId="13" fillId="6" borderId="3" xfId="0" applyFont="1" applyFill="1" applyBorder="1" applyAlignment="1">
      <alignment horizontal="center" vertical="center"/>
    </xf>
    <xf numFmtId="0" fontId="13" fillId="7" borderId="3" xfId="0" applyFont="1" applyFill="1" applyBorder="1" applyAlignment="1">
      <alignment horizontal="center" vertical="center"/>
    </xf>
    <xf numFmtId="0" fontId="29" fillId="15" borderId="3" xfId="0" applyFont="1" applyFill="1" applyBorder="1" applyAlignment="1">
      <alignment horizontal="center" vertical="center"/>
    </xf>
    <xf numFmtId="0" fontId="13" fillId="15" borderId="4" xfId="0" applyFont="1" applyFill="1" applyBorder="1" applyAlignment="1">
      <alignment horizontal="center" vertical="center"/>
    </xf>
    <xf numFmtId="0" fontId="13" fillId="15" borderId="18" xfId="0" applyFont="1" applyFill="1" applyBorder="1" applyAlignment="1">
      <alignment horizontal="center" vertical="center"/>
    </xf>
    <xf numFmtId="0" fontId="13" fillId="15" borderId="5" xfId="0" applyFont="1" applyFill="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18" xfId="0" applyFont="1" applyBorder="1" applyAlignment="1">
      <alignment horizontal="center" vertical="center"/>
    </xf>
    <xf numFmtId="0" fontId="15" fillId="0" borderId="3" xfId="0" applyFont="1" applyBorder="1" applyAlignment="1">
      <alignment horizontal="center" vertical="center"/>
    </xf>
    <xf numFmtId="0" fontId="20" fillId="13" borderId="4" xfId="0" applyFont="1" applyFill="1" applyBorder="1" applyAlignment="1">
      <alignment horizontal="center" vertical="center"/>
    </xf>
    <xf numFmtId="0" fontId="20" fillId="13" borderId="5" xfId="0" applyFont="1" applyFill="1" applyBorder="1" applyAlignment="1">
      <alignment horizontal="center" vertical="center"/>
    </xf>
    <xf numFmtId="0" fontId="13" fillId="5" borderId="4" xfId="0" applyFont="1" applyFill="1" applyBorder="1" applyAlignment="1">
      <alignment horizontal="center" vertical="center"/>
    </xf>
    <xf numFmtId="0" fontId="13" fillId="5" borderId="5" xfId="0" applyFont="1" applyFill="1" applyBorder="1" applyAlignment="1">
      <alignment horizontal="center" vertical="center"/>
    </xf>
    <xf numFmtId="0" fontId="13" fillId="9" borderId="3" xfId="0" applyFont="1" applyFill="1" applyBorder="1" applyAlignment="1">
      <alignment horizontal="center" vertical="center"/>
    </xf>
    <xf numFmtId="0" fontId="13" fillId="9" borderId="4" xfId="0" applyFont="1" applyFill="1" applyBorder="1" applyAlignment="1">
      <alignment horizontal="center" vertical="center"/>
    </xf>
    <xf numFmtId="0" fontId="13" fillId="9" borderId="5" xfId="0" applyFont="1" applyFill="1" applyBorder="1" applyAlignment="1">
      <alignment horizontal="center" vertical="center"/>
    </xf>
    <xf numFmtId="0" fontId="11" fillId="10" borderId="0" xfId="0" applyFont="1" applyFill="1" applyAlignment="1">
      <alignment horizontal="center" vertical="center"/>
    </xf>
    <xf numFmtId="178" fontId="11" fillId="0" borderId="0" xfId="0" applyNumberFormat="1" applyFont="1" applyAlignment="1">
      <alignment horizontal="center" vertical="center"/>
    </xf>
    <xf numFmtId="0" fontId="25" fillId="7" borderId="3" xfId="0" applyFont="1" applyFill="1" applyBorder="1" applyAlignment="1">
      <alignment horizontal="center" vertical="center"/>
    </xf>
    <xf numFmtId="0" fontId="13" fillId="6" borderId="7" xfId="0" applyFont="1" applyFill="1" applyBorder="1" applyAlignment="1">
      <alignment horizontal="center" vertical="center" wrapText="1"/>
    </xf>
    <xf numFmtId="0" fontId="13" fillId="6" borderId="6" xfId="0" applyFont="1" applyFill="1" applyBorder="1" applyAlignment="1">
      <alignment horizontal="center" vertical="center"/>
    </xf>
    <xf numFmtId="0" fontId="15" fillId="0" borderId="0" xfId="0" applyFont="1" applyAlignment="1">
      <alignment horizontal="center" vertical="center"/>
    </xf>
    <xf numFmtId="0" fontId="13" fillId="6" borderId="7" xfId="0" applyFont="1" applyFill="1" applyBorder="1" applyAlignment="1">
      <alignment horizontal="center" vertical="center"/>
    </xf>
    <xf numFmtId="0" fontId="7" fillId="6" borderId="3" xfId="0" applyFont="1" applyFill="1" applyBorder="1" applyAlignment="1">
      <alignment horizontal="center" vertical="center"/>
    </xf>
    <xf numFmtId="0" fontId="7" fillId="7" borderId="3" xfId="0" applyFont="1" applyFill="1" applyBorder="1" applyAlignment="1">
      <alignment horizontal="center" vertical="center"/>
    </xf>
    <xf numFmtId="0" fontId="8" fillId="7" borderId="3"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5" xfId="0" applyFont="1" applyFill="1" applyBorder="1" applyAlignment="1">
      <alignment horizontal="center" vertical="center"/>
    </xf>
    <xf numFmtId="0" fontId="3" fillId="0" borderId="0" xfId="0" applyFont="1" applyAlignment="1">
      <alignment horizontal="center" vertical="center" wrapText="1"/>
    </xf>
  </cellXfs>
  <cellStyles count="2">
    <cellStyle name="百分比" xfId="1" builtinId="5"/>
    <cellStyle name="常规" xfId="0" builtinId="0"/>
  </cellStyles>
  <dxfs count="4">
    <dxf>
      <font>
        <b/>
        <i val="0"/>
        <color rgb="FFFF0000"/>
      </font>
    </dxf>
    <dxf>
      <numFmt numFmtId="179" formatCode="0_ "/>
    </dxf>
    <dxf>
      <numFmt numFmtId="179" formatCode="0_ "/>
    </dxf>
    <dxf>
      <numFmt numFmtId="179" formatCode="0_ "/>
    </dxf>
  </dxfs>
  <tableStyles count="0" defaultTableStyle="TableStyleMedium2" defaultPivotStyle="PivotStyleLight16"/>
  <colors>
    <mruColors>
      <color rgb="FFFFFF00"/>
      <color rgb="FF92D050"/>
      <color rgb="FF000000"/>
      <color rgb="FF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0"/>
  <sheetViews>
    <sheetView showGridLines="0" workbookViewId="0">
      <selection activeCell="C21" sqref="C21"/>
    </sheetView>
  </sheetViews>
  <sheetFormatPr defaultColWidth="8.81640625" defaultRowHeight="16.5"/>
  <cols>
    <col min="1" max="1" width="1.1796875" style="74" customWidth="1"/>
    <col min="2" max="2" width="8.81640625" style="74" customWidth="1"/>
    <col min="3" max="3" width="151.81640625" style="74" customWidth="1"/>
    <col min="4" max="16384" width="8.81640625" style="74"/>
  </cols>
  <sheetData>
    <row r="1" spans="2:3" ht="10" customHeight="1"/>
    <row r="2" spans="2:3">
      <c r="B2" s="74" t="s">
        <v>0</v>
      </c>
    </row>
    <row r="3" spans="2:3" ht="19" customHeight="1">
      <c r="B3" s="98"/>
      <c r="C3" s="324" t="s">
        <v>1</v>
      </c>
    </row>
    <row r="4" spans="2:3" ht="22.5" customHeight="1">
      <c r="B4" s="73"/>
      <c r="C4" s="324" t="s">
        <v>2</v>
      </c>
    </row>
    <row r="5" spans="2:3" ht="18" customHeight="1">
      <c r="B5" s="325"/>
      <c r="C5" s="324" t="s">
        <v>3</v>
      </c>
    </row>
    <row r="6" spans="2:3" ht="19.5" customHeight="1">
      <c r="B6" s="326"/>
      <c r="C6" s="324" t="s">
        <v>4</v>
      </c>
    </row>
    <row r="7" spans="2:3" ht="18.5" customHeight="1">
      <c r="B7" s="327"/>
      <c r="C7" s="324" t="s">
        <v>5</v>
      </c>
    </row>
    <row r="8" spans="2:3" ht="20.5" customHeight="1">
      <c r="B8" s="328"/>
      <c r="C8" s="324" t="s">
        <v>6</v>
      </c>
    </row>
    <row r="9" spans="2:3">
      <c r="C9" s="324"/>
    </row>
    <row r="10" spans="2:3" ht="33">
      <c r="C10" s="324" t="s">
        <v>7</v>
      </c>
    </row>
    <row r="11" spans="2:3">
      <c r="C11" s="324"/>
    </row>
    <row r="12" spans="2:3" ht="33">
      <c r="C12" s="324" t="s">
        <v>8</v>
      </c>
    </row>
    <row r="13" spans="2:3">
      <c r="C13" s="324"/>
    </row>
    <row r="14" spans="2:3">
      <c r="C14" s="324" t="s">
        <v>9</v>
      </c>
    </row>
    <row r="16" spans="2:3">
      <c r="C16" s="324" t="s">
        <v>10</v>
      </c>
    </row>
    <row r="17" spans="3:3">
      <c r="C17" s="324"/>
    </row>
    <row r="18" spans="3:3" ht="49.5">
      <c r="C18" s="324" t="s">
        <v>11</v>
      </c>
    </row>
    <row r="20" spans="3:3">
      <c r="C20" s="74" t="s">
        <v>12</v>
      </c>
    </row>
  </sheetData>
  <phoneticPr fontId="5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18"/>
  <sheetViews>
    <sheetView showGridLines="0" workbookViewId="0">
      <selection activeCell="E3" sqref="E3"/>
    </sheetView>
  </sheetViews>
  <sheetFormatPr defaultColWidth="8.81640625" defaultRowHeight="16.5"/>
  <cols>
    <col min="1" max="1" width="3.08984375" style="74" customWidth="1"/>
    <col min="2" max="2" width="17.6328125" style="74" customWidth="1"/>
    <col min="3" max="3" width="8.81640625" style="74"/>
    <col min="4" max="4" width="20" style="74" customWidth="1"/>
    <col min="5" max="5" width="15" style="74" customWidth="1"/>
    <col min="6" max="6" width="15.81640625" style="94" customWidth="1"/>
    <col min="7" max="7" width="15.81640625" style="74" customWidth="1"/>
    <col min="8" max="16384" width="8.81640625" style="74"/>
  </cols>
  <sheetData>
    <row r="2" spans="2:7" ht="26" customHeight="1">
      <c r="B2" s="329" t="s">
        <v>13</v>
      </c>
      <c r="C2" s="318" t="s">
        <v>14</v>
      </c>
      <c r="D2" s="318" t="s">
        <v>15</v>
      </c>
      <c r="E2" s="318" t="s">
        <v>16</v>
      </c>
      <c r="F2" s="318" t="s">
        <v>17</v>
      </c>
      <c r="G2" s="318" t="s">
        <v>18</v>
      </c>
    </row>
    <row r="3" spans="2:7" ht="14" customHeight="1">
      <c r="B3" s="330"/>
      <c r="C3" s="319">
        <v>1</v>
      </c>
      <c r="D3" s="220" t="s">
        <v>19</v>
      </c>
      <c r="E3" s="222">
        <f>参数输入表!H106</f>
        <v>15000</v>
      </c>
      <c r="F3" s="320">
        <f>参数输入表!H353</f>
        <v>0.13</v>
      </c>
      <c r="G3" s="215">
        <f>E3/(1+F3)*F3</f>
        <v>1725.6637168141599</v>
      </c>
    </row>
    <row r="4" spans="2:7" ht="14" customHeight="1">
      <c r="B4" s="330"/>
      <c r="C4" s="319">
        <v>2</v>
      </c>
      <c r="D4" s="220" t="s">
        <v>20</v>
      </c>
      <c r="E4" s="222">
        <f>参数输入表!H107</f>
        <v>4000</v>
      </c>
      <c r="F4" s="320">
        <f>参数输入表!H354</f>
        <v>0.09</v>
      </c>
      <c r="G4" s="215">
        <f t="shared" ref="G4:G9" si="0">E4/(1+F4)*F4</f>
        <v>330.27522935779803</v>
      </c>
    </row>
    <row r="5" spans="2:7" ht="14" customHeight="1">
      <c r="B5" s="330"/>
      <c r="C5" s="319">
        <v>3</v>
      </c>
      <c r="D5" s="220" t="s">
        <v>21</v>
      </c>
      <c r="E5" s="222">
        <f>参数输入表!H108</f>
        <v>4000</v>
      </c>
      <c r="F5" s="320">
        <f>参数输入表!H355</f>
        <v>0.06</v>
      </c>
      <c r="G5" s="215">
        <f t="shared" si="0"/>
        <v>226.41509433962301</v>
      </c>
    </row>
    <row r="6" spans="2:7" ht="14" customHeight="1">
      <c r="B6" s="330"/>
      <c r="C6" s="319">
        <v>4</v>
      </c>
      <c r="D6" s="220" t="s">
        <v>22</v>
      </c>
      <c r="E6" s="222">
        <f>参数输入表!H109</f>
        <v>400</v>
      </c>
      <c r="F6" s="320">
        <f>参数输入表!H356</f>
        <v>0</v>
      </c>
      <c r="G6" s="215">
        <f t="shared" si="0"/>
        <v>0</v>
      </c>
    </row>
    <row r="7" spans="2:7" ht="14" customHeight="1">
      <c r="B7" s="330"/>
      <c r="C7" s="319">
        <v>5</v>
      </c>
      <c r="D7" s="220" t="s">
        <v>23</v>
      </c>
      <c r="E7" s="222">
        <f>参数输入表!H110</f>
        <v>500</v>
      </c>
      <c r="F7" s="320">
        <f>参数输入表!H357</f>
        <v>0.13</v>
      </c>
      <c r="G7" s="215">
        <f t="shared" si="0"/>
        <v>57.522123893805301</v>
      </c>
    </row>
    <row r="8" spans="2:7" ht="14" customHeight="1">
      <c r="B8" s="330"/>
      <c r="C8" s="319">
        <v>6</v>
      </c>
      <c r="D8" s="220" t="s">
        <v>24</v>
      </c>
      <c r="E8" s="222">
        <f>参数输入表!H111</f>
        <v>2800</v>
      </c>
      <c r="F8" s="320">
        <f>参数输入表!H358</f>
        <v>0.09</v>
      </c>
      <c r="G8" s="215">
        <f t="shared" si="0"/>
        <v>231.19266055045901</v>
      </c>
    </row>
    <row r="9" spans="2:7" ht="14" customHeight="1">
      <c r="B9" s="330"/>
      <c r="C9" s="319">
        <v>7</v>
      </c>
      <c r="D9" s="220" t="s">
        <v>25</v>
      </c>
      <c r="E9" s="222">
        <f>参数输入表!H112</f>
        <v>0</v>
      </c>
      <c r="F9" s="320">
        <f>参数输入表!H359</f>
        <v>0</v>
      </c>
      <c r="G9" s="215">
        <f t="shared" si="0"/>
        <v>0</v>
      </c>
    </row>
    <row r="10" spans="2:7" ht="14" customHeight="1">
      <c r="B10" s="330"/>
      <c r="C10" s="321">
        <v>8</v>
      </c>
      <c r="D10" s="89" t="s">
        <v>26</v>
      </c>
      <c r="E10" s="215">
        <f>参数输入表!H113</f>
        <v>26700</v>
      </c>
      <c r="F10" s="89"/>
      <c r="G10" s="88"/>
    </row>
    <row r="11" spans="2:7" ht="14" customHeight="1">
      <c r="B11" s="330"/>
      <c r="C11" s="321">
        <v>9</v>
      </c>
      <c r="D11" s="89" t="s">
        <v>27</v>
      </c>
      <c r="E11" s="215">
        <f ca="1">参数输入表!H115</f>
        <v>383.1008369868473</v>
      </c>
      <c r="F11" s="89"/>
      <c r="G11" s="88"/>
    </row>
    <row r="12" spans="2:7" ht="14" customHeight="1">
      <c r="B12" s="330"/>
      <c r="C12" s="321">
        <v>10</v>
      </c>
      <c r="D12" s="89" t="s">
        <v>28</v>
      </c>
      <c r="E12" s="215">
        <f ca="1">参数输入表!H116</f>
        <v>27083.100836986847</v>
      </c>
      <c r="F12" s="89"/>
      <c r="G12" s="88"/>
    </row>
    <row r="13" spans="2:7" ht="14" customHeight="1">
      <c r="B13" s="330"/>
      <c r="C13" s="321">
        <v>11</v>
      </c>
      <c r="D13" s="89" t="s">
        <v>29</v>
      </c>
      <c r="E13" s="215">
        <f>参数输入表!H118</f>
        <v>240</v>
      </c>
      <c r="F13" s="89"/>
      <c r="G13" s="88"/>
    </row>
    <row r="14" spans="2:7" ht="14" customHeight="1">
      <c r="B14" s="331"/>
      <c r="C14" s="321">
        <v>12</v>
      </c>
      <c r="D14" s="322" t="s">
        <v>30</v>
      </c>
      <c r="E14" s="323">
        <f>SUM(G3:G9)</f>
        <v>2571.0688249558398</v>
      </c>
      <c r="F14" s="89"/>
      <c r="G14" s="88"/>
    </row>
    <row r="18" spans="3:3">
      <c r="C18" s="196" t="s">
        <v>31</v>
      </c>
    </row>
  </sheetData>
  <mergeCells count="1">
    <mergeCell ref="B2:B14"/>
  </mergeCells>
  <phoneticPr fontId="51" type="noConversion"/>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R369"/>
  <sheetViews>
    <sheetView showGridLines="0" zoomScale="80" zoomScaleNormal="80" workbookViewId="0">
      <pane xSplit="2" ySplit="3" topLeftCell="C61" activePane="bottomRight" state="frozen"/>
      <selection pane="topRight"/>
      <selection pane="bottomLeft"/>
      <selection pane="bottomRight" activeCell="J105" sqref="J105"/>
    </sheetView>
  </sheetViews>
  <sheetFormatPr defaultColWidth="9.81640625" defaultRowHeight="21"/>
  <cols>
    <col min="1" max="1" width="2.54296875" style="242" customWidth="1"/>
    <col min="2" max="2" width="12.81640625" style="242" customWidth="1"/>
    <col min="3" max="3" width="9.54296875" style="240" customWidth="1"/>
    <col min="4" max="4" width="55" style="243" customWidth="1"/>
    <col min="5" max="5" width="45" style="240" customWidth="1"/>
    <col min="6" max="6" width="12.36328125" style="240" customWidth="1"/>
    <col min="7" max="7" width="30" style="242" customWidth="1"/>
    <col min="8" max="8" width="17.453125" style="244" customWidth="1"/>
    <col min="9" max="9" width="18" style="240" customWidth="1"/>
    <col min="10" max="10" width="72.08984375" style="242" customWidth="1"/>
    <col min="11" max="11" width="21.81640625" style="242" customWidth="1"/>
    <col min="12" max="12" width="12.90625" style="242"/>
    <col min="13" max="13" width="15.54296875" style="242" customWidth="1"/>
    <col min="14" max="14" width="9.81640625" style="242"/>
    <col min="15" max="15" width="14.08984375" style="242"/>
    <col min="16" max="17" width="9.81640625" style="242"/>
    <col min="18" max="20" width="14.08984375" style="242"/>
    <col min="21" max="257" width="9.81640625" style="242"/>
    <col min="258" max="258" width="5.81640625" style="242" customWidth="1"/>
    <col min="259" max="259" width="15.54296875" style="242" customWidth="1"/>
    <col min="260" max="260" width="9.54296875" style="242" customWidth="1"/>
    <col min="261" max="261" width="30.81640625" style="242" customWidth="1"/>
    <col min="262" max="262" width="17.1796875" style="242" customWidth="1"/>
    <col min="263" max="263" width="69.1796875" style="242" customWidth="1"/>
    <col min="264" max="264" width="19.81640625" style="242" customWidth="1"/>
    <col min="265" max="265" width="18" style="242" customWidth="1"/>
    <col min="266" max="266" width="72.08984375" style="242" customWidth="1"/>
    <col min="267" max="267" width="21.81640625" style="242" customWidth="1"/>
    <col min="268" max="513" width="9.81640625" style="242"/>
    <col min="514" max="514" width="5.81640625" style="242" customWidth="1"/>
    <col min="515" max="515" width="15.54296875" style="242" customWidth="1"/>
    <col min="516" max="516" width="9.54296875" style="242" customWidth="1"/>
    <col min="517" max="517" width="30.81640625" style="242" customWidth="1"/>
    <col min="518" max="518" width="17.1796875" style="242" customWidth="1"/>
    <col min="519" max="519" width="69.1796875" style="242" customWidth="1"/>
    <col min="520" max="520" width="19.81640625" style="242" customWidth="1"/>
    <col min="521" max="521" width="18" style="242" customWidth="1"/>
    <col min="522" max="522" width="72.08984375" style="242" customWidth="1"/>
    <col min="523" max="523" width="21.81640625" style="242" customWidth="1"/>
    <col min="524" max="769" width="9.81640625" style="242"/>
    <col min="770" max="770" width="5.81640625" style="242" customWidth="1"/>
    <col min="771" max="771" width="15.54296875" style="242" customWidth="1"/>
    <col min="772" max="772" width="9.54296875" style="242" customWidth="1"/>
    <col min="773" max="773" width="30.81640625" style="242" customWidth="1"/>
    <col min="774" max="774" width="17.1796875" style="242" customWidth="1"/>
    <col min="775" max="775" width="69.1796875" style="242" customWidth="1"/>
    <col min="776" max="776" width="19.81640625" style="242" customWidth="1"/>
    <col min="777" max="777" width="18" style="242" customWidth="1"/>
    <col min="778" max="778" width="72.08984375" style="242" customWidth="1"/>
    <col min="779" max="779" width="21.81640625" style="242" customWidth="1"/>
    <col min="780" max="1025" width="9.81640625" style="242"/>
    <col min="1026" max="1026" width="5.81640625" style="242" customWidth="1"/>
    <col min="1027" max="1027" width="15.54296875" style="242" customWidth="1"/>
    <col min="1028" max="1028" width="9.54296875" style="242" customWidth="1"/>
    <col min="1029" max="1029" width="30.81640625" style="242" customWidth="1"/>
    <col min="1030" max="1030" width="17.1796875" style="242" customWidth="1"/>
    <col min="1031" max="1031" width="69.1796875" style="242" customWidth="1"/>
    <col min="1032" max="1032" width="19.81640625" style="242" customWidth="1"/>
    <col min="1033" max="1033" width="18" style="242" customWidth="1"/>
    <col min="1034" max="1034" width="72.08984375" style="242" customWidth="1"/>
    <col min="1035" max="1035" width="21.81640625" style="242" customWidth="1"/>
    <col min="1036" max="1281" width="9.81640625" style="242"/>
    <col min="1282" max="1282" width="5.81640625" style="242" customWidth="1"/>
    <col min="1283" max="1283" width="15.54296875" style="242" customWidth="1"/>
    <col min="1284" max="1284" width="9.54296875" style="242" customWidth="1"/>
    <col min="1285" max="1285" width="30.81640625" style="242" customWidth="1"/>
    <col min="1286" max="1286" width="17.1796875" style="242" customWidth="1"/>
    <col min="1287" max="1287" width="69.1796875" style="242" customWidth="1"/>
    <col min="1288" max="1288" width="19.81640625" style="242" customWidth="1"/>
    <col min="1289" max="1289" width="18" style="242" customWidth="1"/>
    <col min="1290" max="1290" width="72.08984375" style="242" customWidth="1"/>
    <col min="1291" max="1291" width="21.81640625" style="242" customWidth="1"/>
    <col min="1292" max="1537" width="9.81640625" style="242"/>
    <col min="1538" max="1538" width="5.81640625" style="242" customWidth="1"/>
    <col min="1539" max="1539" width="15.54296875" style="242" customWidth="1"/>
    <col min="1540" max="1540" width="9.54296875" style="242" customWidth="1"/>
    <col min="1541" max="1541" width="30.81640625" style="242" customWidth="1"/>
    <col min="1542" max="1542" width="17.1796875" style="242" customWidth="1"/>
    <col min="1543" max="1543" width="69.1796875" style="242" customWidth="1"/>
    <col min="1544" max="1544" width="19.81640625" style="242" customWidth="1"/>
    <col min="1545" max="1545" width="18" style="242" customWidth="1"/>
    <col min="1546" max="1546" width="72.08984375" style="242" customWidth="1"/>
    <col min="1547" max="1547" width="21.81640625" style="242" customWidth="1"/>
    <col min="1548" max="1793" width="9.81640625" style="242"/>
    <col min="1794" max="1794" width="5.81640625" style="242" customWidth="1"/>
    <col min="1795" max="1795" width="15.54296875" style="242" customWidth="1"/>
    <col min="1796" max="1796" width="9.54296875" style="242" customWidth="1"/>
    <col min="1797" max="1797" width="30.81640625" style="242" customWidth="1"/>
    <col min="1798" max="1798" width="17.1796875" style="242" customWidth="1"/>
    <col min="1799" max="1799" width="69.1796875" style="242" customWidth="1"/>
    <col min="1800" max="1800" width="19.81640625" style="242" customWidth="1"/>
    <col min="1801" max="1801" width="18" style="242" customWidth="1"/>
    <col min="1802" max="1802" width="72.08984375" style="242" customWidth="1"/>
    <col min="1803" max="1803" width="21.81640625" style="242" customWidth="1"/>
    <col min="1804" max="2049" width="9.81640625" style="242"/>
    <col min="2050" max="2050" width="5.81640625" style="242" customWidth="1"/>
    <col min="2051" max="2051" width="15.54296875" style="242" customWidth="1"/>
    <col min="2052" max="2052" width="9.54296875" style="242" customWidth="1"/>
    <col min="2053" max="2053" width="30.81640625" style="242" customWidth="1"/>
    <col min="2054" max="2054" width="17.1796875" style="242" customWidth="1"/>
    <col min="2055" max="2055" width="69.1796875" style="242" customWidth="1"/>
    <col min="2056" max="2056" width="19.81640625" style="242" customWidth="1"/>
    <col min="2057" max="2057" width="18" style="242" customWidth="1"/>
    <col min="2058" max="2058" width="72.08984375" style="242" customWidth="1"/>
    <col min="2059" max="2059" width="21.81640625" style="242" customWidth="1"/>
    <col min="2060" max="2305" width="9.81640625" style="242"/>
    <col min="2306" max="2306" width="5.81640625" style="242" customWidth="1"/>
    <col min="2307" max="2307" width="15.54296875" style="242" customWidth="1"/>
    <col min="2308" max="2308" width="9.54296875" style="242" customWidth="1"/>
    <col min="2309" max="2309" width="30.81640625" style="242" customWidth="1"/>
    <col min="2310" max="2310" width="17.1796875" style="242" customWidth="1"/>
    <col min="2311" max="2311" width="69.1796875" style="242" customWidth="1"/>
    <col min="2312" max="2312" width="19.81640625" style="242" customWidth="1"/>
    <col min="2313" max="2313" width="18" style="242" customWidth="1"/>
    <col min="2314" max="2314" width="72.08984375" style="242" customWidth="1"/>
    <col min="2315" max="2315" width="21.81640625" style="242" customWidth="1"/>
    <col min="2316" max="2561" width="9.81640625" style="242"/>
    <col min="2562" max="2562" width="5.81640625" style="242" customWidth="1"/>
    <col min="2563" max="2563" width="15.54296875" style="242" customWidth="1"/>
    <col min="2564" max="2564" width="9.54296875" style="242" customWidth="1"/>
    <col min="2565" max="2565" width="30.81640625" style="242" customWidth="1"/>
    <col min="2566" max="2566" width="17.1796875" style="242" customWidth="1"/>
    <col min="2567" max="2567" width="69.1796875" style="242" customWidth="1"/>
    <col min="2568" max="2568" width="19.81640625" style="242" customWidth="1"/>
    <col min="2569" max="2569" width="18" style="242" customWidth="1"/>
    <col min="2570" max="2570" width="72.08984375" style="242" customWidth="1"/>
    <col min="2571" max="2571" width="21.81640625" style="242" customWidth="1"/>
    <col min="2572" max="2817" width="9.81640625" style="242"/>
    <col min="2818" max="2818" width="5.81640625" style="242" customWidth="1"/>
    <col min="2819" max="2819" width="15.54296875" style="242" customWidth="1"/>
    <col min="2820" max="2820" width="9.54296875" style="242" customWidth="1"/>
    <col min="2821" max="2821" width="30.81640625" style="242" customWidth="1"/>
    <col min="2822" max="2822" width="17.1796875" style="242" customWidth="1"/>
    <col min="2823" max="2823" width="69.1796875" style="242" customWidth="1"/>
    <col min="2824" max="2824" width="19.81640625" style="242" customWidth="1"/>
    <col min="2825" max="2825" width="18" style="242" customWidth="1"/>
    <col min="2826" max="2826" width="72.08984375" style="242" customWidth="1"/>
    <col min="2827" max="2827" width="21.81640625" style="242" customWidth="1"/>
    <col min="2828" max="3073" width="9.81640625" style="242"/>
    <col min="3074" max="3074" width="5.81640625" style="242" customWidth="1"/>
    <col min="3075" max="3075" width="15.54296875" style="242" customWidth="1"/>
    <col min="3076" max="3076" width="9.54296875" style="242" customWidth="1"/>
    <col min="3077" max="3077" width="30.81640625" style="242" customWidth="1"/>
    <col min="3078" max="3078" width="17.1796875" style="242" customWidth="1"/>
    <col min="3079" max="3079" width="69.1796875" style="242" customWidth="1"/>
    <col min="3080" max="3080" width="19.81640625" style="242" customWidth="1"/>
    <col min="3081" max="3081" width="18" style="242" customWidth="1"/>
    <col min="3082" max="3082" width="72.08984375" style="242" customWidth="1"/>
    <col min="3083" max="3083" width="21.81640625" style="242" customWidth="1"/>
    <col min="3084" max="3329" width="9.81640625" style="242"/>
    <col min="3330" max="3330" width="5.81640625" style="242" customWidth="1"/>
    <col min="3331" max="3331" width="15.54296875" style="242" customWidth="1"/>
    <col min="3332" max="3332" width="9.54296875" style="242" customWidth="1"/>
    <col min="3333" max="3333" width="30.81640625" style="242" customWidth="1"/>
    <col min="3334" max="3334" width="17.1796875" style="242" customWidth="1"/>
    <col min="3335" max="3335" width="69.1796875" style="242" customWidth="1"/>
    <col min="3336" max="3336" width="19.81640625" style="242" customWidth="1"/>
    <col min="3337" max="3337" width="18" style="242" customWidth="1"/>
    <col min="3338" max="3338" width="72.08984375" style="242" customWidth="1"/>
    <col min="3339" max="3339" width="21.81640625" style="242" customWidth="1"/>
    <col min="3340" max="3585" width="9.81640625" style="242"/>
    <col min="3586" max="3586" width="5.81640625" style="242" customWidth="1"/>
    <col min="3587" max="3587" width="15.54296875" style="242" customWidth="1"/>
    <col min="3588" max="3588" width="9.54296875" style="242" customWidth="1"/>
    <col min="3589" max="3589" width="30.81640625" style="242" customWidth="1"/>
    <col min="3590" max="3590" width="17.1796875" style="242" customWidth="1"/>
    <col min="3591" max="3591" width="69.1796875" style="242" customWidth="1"/>
    <col min="3592" max="3592" width="19.81640625" style="242" customWidth="1"/>
    <col min="3593" max="3593" width="18" style="242" customWidth="1"/>
    <col min="3594" max="3594" width="72.08984375" style="242" customWidth="1"/>
    <col min="3595" max="3595" width="21.81640625" style="242" customWidth="1"/>
    <col min="3596" max="3841" width="9.81640625" style="242"/>
    <col min="3842" max="3842" width="5.81640625" style="242" customWidth="1"/>
    <col min="3843" max="3843" width="15.54296875" style="242" customWidth="1"/>
    <col min="3844" max="3844" width="9.54296875" style="242" customWidth="1"/>
    <col min="3845" max="3845" width="30.81640625" style="242" customWidth="1"/>
    <col min="3846" max="3846" width="17.1796875" style="242" customWidth="1"/>
    <col min="3847" max="3847" width="69.1796875" style="242" customWidth="1"/>
    <col min="3848" max="3848" width="19.81640625" style="242" customWidth="1"/>
    <col min="3849" max="3849" width="18" style="242" customWidth="1"/>
    <col min="3850" max="3850" width="72.08984375" style="242" customWidth="1"/>
    <col min="3851" max="3851" width="21.81640625" style="242" customWidth="1"/>
    <col min="3852" max="4097" width="9.81640625" style="242"/>
    <col min="4098" max="4098" width="5.81640625" style="242" customWidth="1"/>
    <col min="4099" max="4099" width="15.54296875" style="242" customWidth="1"/>
    <col min="4100" max="4100" width="9.54296875" style="242" customWidth="1"/>
    <col min="4101" max="4101" width="30.81640625" style="242" customWidth="1"/>
    <col min="4102" max="4102" width="17.1796875" style="242" customWidth="1"/>
    <col min="4103" max="4103" width="69.1796875" style="242" customWidth="1"/>
    <col min="4104" max="4104" width="19.81640625" style="242" customWidth="1"/>
    <col min="4105" max="4105" width="18" style="242" customWidth="1"/>
    <col min="4106" max="4106" width="72.08984375" style="242" customWidth="1"/>
    <col min="4107" max="4107" width="21.81640625" style="242" customWidth="1"/>
    <col min="4108" max="4353" width="9.81640625" style="242"/>
    <col min="4354" max="4354" width="5.81640625" style="242" customWidth="1"/>
    <col min="4355" max="4355" width="15.54296875" style="242" customWidth="1"/>
    <col min="4356" max="4356" width="9.54296875" style="242" customWidth="1"/>
    <col min="4357" max="4357" width="30.81640625" style="242" customWidth="1"/>
    <col min="4358" max="4358" width="17.1796875" style="242" customWidth="1"/>
    <col min="4359" max="4359" width="69.1796875" style="242" customWidth="1"/>
    <col min="4360" max="4360" width="19.81640625" style="242" customWidth="1"/>
    <col min="4361" max="4361" width="18" style="242" customWidth="1"/>
    <col min="4362" max="4362" width="72.08984375" style="242" customWidth="1"/>
    <col min="4363" max="4363" width="21.81640625" style="242" customWidth="1"/>
    <col min="4364" max="4609" width="9.81640625" style="242"/>
    <col min="4610" max="4610" width="5.81640625" style="242" customWidth="1"/>
    <col min="4611" max="4611" width="15.54296875" style="242" customWidth="1"/>
    <col min="4612" max="4612" width="9.54296875" style="242" customWidth="1"/>
    <col min="4613" max="4613" width="30.81640625" style="242" customWidth="1"/>
    <col min="4614" max="4614" width="17.1796875" style="242" customWidth="1"/>
    <col min="4615" max="4615" width="69.1796875" style="242" customWidth="1"/>
    <col min="4616" max="4616" width="19.81640625" style="242" customWidth="1"/>
    <col min="4617" max="4617" width="18" style="242" customWidth="1"/>
    <col min="4618" max="4618" width="72.08984375" style="242" customWidth="1"/>
    <col min="4619" max="4619" width="21.81640625" style="242" customWidth="1"/>
    <col min="4620" max="4865" width="9.81640625" style="242"/>
    <col min="4866" max="4866" width="5.81640625" style="242" customWidth="1"/>
    <col min="4867" max="4867" width="15.54296875" style="242" customWidth="1"/>
    <col min="4868" max="4868" width="9.54296875" style="242" customWidth="1"/>
    <col min="4869" max="4869" width="30.81640625" style="242" customWidth="1"/>
    <col min="4870" max="4870" width="17.1796875" style="242" customWidth="1"/>
    <col min="4871" max="4871" width="69.1796875" style="242" customWidth="1"/>
    <col min="4872" max="4872" width="19.81640625" style="242" customWidth="1"/>
    <col min="4873" max="4873" width="18" style="242" customWidth="1"/>
    <col min="4874" max="4874" width="72.08984375" style="242" customWidth="1"/>
    <col min="4875" max="4875" width="21.81640625" style="242" customWidth="1"/>
    <col min="4876" max="5121" width="9.81640625" style="242"/>
    <col min="5122" max="5122" width="5.81640625" style="242" customWidth="1"/>
    <col min="5123" max="5123" width="15.54296875" style="242" customWidth="1"/>
    <col min="5124" max="5124" width="9.54296875" style="242" customWidth="1"/>
    <col min="5125" max="5125" width="30.81640625" style="242" customWidth="1"/>
    <col min="5126" max="5126" width="17.1796875" style="242" customWidth="1"/>
    <col min="5127" max="5127" width="69.1796875" style="242" customWidth="1"/>
    <col min="5128" max="5128" width="19.81640625" style="242" customWidth="1"/>
    <col min="5129" max="5129" width="18" style="242" customWidth="1"/>
    <col min="5130" max="5130" width="72.08984375" style="242" customWidth="1"/>
    <col min="5131" max="5131" width="21.81640625" style="242" customWidth="1"/>
    <col min="5132" max="5377" width="9.81640625" style="242"/>
    <col min="5378" max="5378" width="5.81640625" style="242" customWidth="1"/>
    <col min="5379" max="5379" width="15.54296875" style="242" customWidth="1"/>
    <col min="5380" max="5380" width="9.54296875" style="242" customWidth="1"/>
    <col min="5381" max="5381" width="30.81640625" style="242" customWidth="1"/>
    <col min="5382" max="5382" width="17.1796875" style="242" customWidth="1"/>
    <col min="5383" max="5383" width="69.1796875" style="242" customWidth="1"/>
    <col min="5384" max="5384" width="19.81640625" style="242" customWidth="1"/>
    <col min="5385" max="5385" width="18" style="242" customWidth="1"/>
    <col min="5386" max="5386" width="72.08984375" style="242" customWidth="1"/>
    <col min="5387" max="5387" width="21.81640625" style="242" customWidth="1"/>
    <col min="5388" max="5633" width="9.81640625" style="242"/>
    <col min="5634" max="5634" width="5.81640625" style="242" customWidth="1"/>
    <col min="5635" max="5635" width="15.54296875" style="242" customWidth="1"/>
    <col min="5636" max="5636" width="9.54296875" style="242" customWidth="1"/>
    <col min="5637" max="5637" width="30.81640625" style="242" customWidth="1"/>
    <col min="5638" max="5638" width="17.1796875" style="242" customWidth="1"/>
    <col min="5639" max="5639" width="69.1796875" style="242" customWidth="1"/>
    <col min="5640" max="5640" width="19.81640625" style="242" customWidth="1"/>
    <col min="5641" max="5641" width="18" style="242" customWidth="1"/>
    <col min="5642" max="5642" width="72.08984375" style="242" customWidth="1"/>
    <col min="5643" max="5643" width="21.81640625" style="242" customWidth="1"/>
    <col min="5644" max="5889" width="9.81640625" style="242"/>
    <col min="5890" max="5890" width="5.81640625" style="242" customWidth="1"/>
    <col min="5891" max="5891" width="15.54296875" style="242" customWidth="1"/>
    <col min="5892" max="5892" width="9.54296875" style="242" customWidth="1"/>
    <col min="5893" max="5893" width="30.81640625" style="242" customWidth="1"/>
    <col min="5894" max="5894" width="17.1796875" style="242" customWidth="1"/>
    <col min="5895" max="5895" width="69.1796875" style="242" customWidth="1"/>
    <col min="5896" max="5896" width="19.81640625" style="242" customWidth="1"/>
    <col min="5897" max="5897" width="18" style="242" customWidth="1"/>
    <col min="5898" max="5898" width="72.08984375" style="242" customWidth="1"/>
    <col min="5899" max="5899" width="21.81640625" style="242" customWidth="1"/>
    <col min="5900" max="6145" width="9.81640625" style="242"/>
    <col min="6146" max="6146" width="5.81640625" style="242" customWidth="1"/>
    <col min="6147" max="6147" width="15.54296875" style="242" customWidth="1"/>
    <col min="6148" max="6148" width="9.54296875" style="242" customWidth="1"/>
    <col min="6149" max="6149" width="30.81640625" style="242" customWidth="1"/>
    <col min="6150" max="6150" width="17.1796875" style="242" customWidth="1"/>
    <col min="6151" max="6151" width="69.1796875" style="242" customWidth="1"/>
    <col min="6152" max="6152" width="19.81640625" style="242" customWidth="1"/>
    <col min="6153" max="6153" width="18" style="242" customWidth="1"/>
    <col min="6154" max="6154" width="72.08984375" style="242" customWidth="1"/>
    <col min="6155" max="6155" width="21.81640625" style="242" customWidth="1"/>
    <col min="6156" max="6401" width="9.81640625" style="242"/>
    <col min="6402" max="6402" width="5.81640625" style="242" customWidth="1"/>
    <col min="6403" max="6403" width="15.54296875" style="242" customWidth="1"/>
    <col min="6404" max="6404" width="9.54296875" style="242" customWidth="1"/>
    <col min="6405" max="6405" width="30.81640625" style="242" customWidth="1"/>
    <col min="6406" max="6406" width="17.1796875" style="242" customWidth="1"/>
    <col min="6407" max="6407" width="69.1796875" style="242" customWidth="1"/>
    <col min="6408" max="6408" width="19.81640625" style="242" customWidth="1"/>
    <col min="6409" max="6409" width="18" style="242" customWidth="1"/>
    <col min="6410" max="6410" width="72.08984375" style="242" customWidth="1"/>
    <col min="6411" max="6411" width="21.81640625" style="242" customWidth="1"/>
    <col min="6412" max="6657" width="9.81640625" style="242"/>
    <col min="6658" max="6658" width="5.81640625" style="242" customWidth="1"/>
    <col min="6659" max="6659" width="15.54296875" style="242" customWidth="1"/>
    <col min="6660" max="6660" width="9.54296875" style="242" customWidth="1"/>
    <col min="6661" max="6661" width="30.81640625" style="242" customWidth="1"/>
    <col min="6662" max="6662" width="17.1796875" style="242" customWidth="1"/>
    <col min="6663" max="6663" width="69.1796875" style="242" customWidth="1"/>
    <col min="6664" max="6664" width="19.81640625" style="242" customWidth="1"/>
    <col min="6665" max="6665" width="18" style="242" customWidth="1"/>
    <col min="6666" max="6666" width="72.08984375" style="242" customWidth="1"/>
    <col min="6667" max="6667" width="21.81640625" style="242" customWidth="1"/>
    <col min="6668" max="6913" width="9.81640625" style="242"/>
    <col min="6914" max="6914" width="5.81640625" style="242" customWidth="1"/>
    <col min="6915" max="6915" width="15.54296875" style="242" customWidth="1"/>
    <col min="6916" max="6916" width="9.54296875" style="242" customWidth="1"/>
    <col min="6917" max="6917" width="30.81640625" style="242" customWidth="1"/>
    <col min="6918" max="6918" width="17.1796875" style="242" customWidth="1"/>
    <col min="6919" max="6919" width="69.1796875" style="242" customWidth="1"/>
    <col min="6920" max="6920" width="19.81640625" style="242" customWidth="1"/>
    <col min="6921" max="6921" width="18" style="242" customWidth="1"/>
    <col min="6922" max="6922" width="72.08984375" style="242" customWidth="1"/>
    <col min="6923" max="6923" width="21.81640625" style="242" customWidth="1"/>
    <col min="6924" max="7169" width="9.81640625" style="242"/>
    <col min="7170" max="7170" width="5.81640625" style="242" customWidth="1"/>
    <col min="7171" max="7171" width="15.54296875" style="242" customWidth="1"/>
    <col min="7172" max="7172" width="9.54296875" style="242" customWidth="1"/>
    <col min="7173" max="7173" width="30.81640625" style="242" customWidth="1"/>
    <col min="7174" max="7174" width="17.1796875" style="242" customWidth="1"/>
    <col min="7175" max="7175" width="69.1796875" style="242" customWidth="1"/>
    <col min="7176" max="7176" width="19.81640625" style="242" customWidth="1"/>
    <col min="7177" max="7177" width="18" style="242" customWidth="1"/>
    <col min="7178" max="7178" width="72.08984375" style="242" customWidth="1"/>
    <col min="7179" max="7179" width="21.81640625" style="242" customWidth="1"/>
    <col min="7180" max="7425" width="9.81640625" style="242"/>
    <col min="7426" max="7426" width="5.81640625" style="242" customWidth="1"/>
    <col min="7427" max="7427" width="15.54296875" style="242" customWidth="1"/>
    <col min="7428" max="7428" width="9.54296875" style="242" customWidth="1"/>
    <col min="7429" max="7429" width="30.81640625" style="242" customWidth="1"/>
    <col min="7430" max="7430" width="17.1796875" style="242" customWidth="1"/>
    <col min="7431" max="7431" width="69.1796875" style="242" customWidth="1"/>
    <col min="7432" max="7432" width="19.81640625" style="242" customWidth="1"/>
    <col min="7433" max="7433" width="18" style="242" customWidth="1"/>
    <col min="7434" max="7434" width="72.08984375" style="242" customWidth="1"/>
    <col min="7435" max="7435" width="21.81640625" style="242" customWidth="1"/>
    <col min="7436" max="7681" width="9.81640625" style="242"/>
    <col min="7682" max="7682" width="5.81640625" style="242" customWidth="1"/>
    <col min="7683" max="7683" width="15.54296875" style="242" customWidth="1"/>
    <col min="7684" max="7684" width="9.54296875" style="242" customWidth="1"/>
    <col min="7685" max="7685" width="30.81640625" style="242" customWidth="1"/>
    <col min="7686" max="7686" width="17.1796875" style="242" customWidth="1"/>
    <col min="7687" max="7687" width="69.1796875" style="242" customWidth="1"/>
    <col min="7688" max="7688" width="19.81640625" style="242" customWidth="1"/>
    <col min="7689" max="7689" width="18" style="242" customWidth="1"/>
    <col min="7690" max="7690" width="72.08984375" style="242" customWidth="1"/>
    <col min="7691" max="7691" width="21.81640625" style="242" customWidth="1"/>
    <col min="7692" max="7937" width="9.81640625" style="242"/>
    <col min="7938" max="7938" width="5.81640625" style="242" customWidth="1"/>
    <col min="7939" max="7939" width="15.54296875" style="242" customWidth="1"/>
    <col min="7940" max="7940" width="9.54296875" style="242" customWidth="1"/>
    <col min="7941" max="7941" width="30.81640625" style="242" customWidth="1"/>
    <col min="7942" max="7942" width="17.1796875" style="242" customWidth="1"/>
    <col min="7943" max="7943" width="69.1796875" style="242" customWidth="1"/>
    <col min="7944" max="7944" width="19.81640625" style="242" customWidth="1"/>
    <col min="7945" max="7945" width="18" style="242" customWidth="1"/>
    <col min="7946" max="7946" width="72.08984375" style="242" customWidth="1"/>
    <col min="7947" max="7947" width="21.81640625" style="242" customWidth="1"/>
    <col min="7948" max="8193" width="9.81640625" style="242"/>
    <col min="8194" max="8194" width="5.81640625" style="242" customWidth="1"/>
    <col min="8195" max="8195" width="15.54296875" style="242" customWidth="1"/>
    <col min="8196" max="8196" width="9.54296875" style="242" customWidth="1"/>
    <col min="8197" max="8197" width="30.81640625" style="242" customWidth="1"/>
    <col min="8198" max="8198" width="17.1796875" style="242" customWidth="1"/>
    <col min="8199" max="8199" width="69.1796875" style="242" customWidth="1"/>
    <col min="8200" max="8200" width="19.81640625" style="242" customWidth="1"/>
    <col min="8201" max="8201" width="18" style="242" customWidth="1"/>
    <col min="8202" max="8202" width="72.08984375" style="242" customWidth="1"/>
    <col min="8203" max="8203" width="21.81640625" style="242" customWidth="1"/>
    <col min="8204" max="8449" width="9.81640625" style="242"/>
    <col min="8450" max="8450" width="5.81640625" style="242" customWidth="1"/>
    <col min="8451" max="8451" width="15.54296875" style="242" customWidth="1"/>
    <col min="8452" max="8452" width="9.54296875" style="242" customWidth="1"/>
    <col min="8453" max="8453" width="30.81640625" style="242" customWidth="1"/>
    <col min="8454" max="8454" width="17.1796875" style="242" customWidth="1"/>
    <col min="8455" max="8455" width="69.1796875" style="242" customWidth="1"/>
    <col min="8456" max="8456" width="19.81640625" style="242" customWidth="1"/>
    <col min="8457" max="8457" width="18" style="242" customWidth="1"/>
    <col min="8458" max="8458" width="72.08984375" style="242" customWidth="1"/>
    <col min="8459" max="8459" width="21.81640625" style="242" customWidth="1"/>
    <col min="8460" max="8705" width="9.81640625" style="242"/>
    <col min="8706" max="8706" width="5.81640625" style="242" customWidth="1"/>
    <col min="8707" max="8707" width="15.54296875" style="242" customWidth="1"/>
    <col min="8708" max="8708" width="9.54296875" style="242" customWidth="1"/>
    <col min="8709" max="8709" width="30.81640625" style="242" customWidth="1"/>
    <col min="8710" max="8710" width="17.1796875" style="242" customWidth="1"/>
    <col min="8711" max="8711" width="69.1796875" style="242" customWidth="1"/>
    <col min="8712" max="8712" width="19.81640625" style="242" customWidth="1"/>
    <col min="8713" max="8713" width="18" style="242" customWidth="1"/>
    <col min="8714" max="8714" width="72.08984375" style="242" customWidth="1"/>
    <col min="8715" max="8715" width="21.81640625" style="242" customWidth="1"/>
    <col min="8716" max="8961" width="9.81640625" style="242"/>
    <col min="8962" max="8962" width="5.81640625" style="242" customWidth="1"/>
    <col min="8963" max="8963" width="15.54296875" style="242" customWidth="1"/>
    <col min="8964" max="8964" width="9.54296875" style="242" customWidth="1"/>
    <col min="8965" max="8965" width="30.81640625" style="242" customWidth="1"/>
    <col min="8966" max="8966" width="17.1796875" style="242" customWidth="1"/>
    <col min="8967" max="8967" width="69.1796875" style="242" customWidth="1"/>
    <col min="8968" max="8968" width="19.81640625" style="242" customWidth="1"/>
    <col min="8969" max="8969" width="18" style="242" customWidth="1"/>
    <col min="8970" max="8970" width="72.08984375" style="242" customWidth="1"/>
    <col min="8971" max="8971" width="21.81640625" style="242" customWidth="1"/>
    <col min="8972" max="9217" width="9.81640625" style="242"/>
    <col min="9218" max="9218" width="5.81640625" style="242" customWidth="1"/>
    <col min="9219" max="9219" width="15.54296875" style="242" customWidth="1"/>
    <col min="9220" max="9220" width="9.54296875" style="242" customWidth="1"/>
    <col min="9221" max="9221" width="30.81640625" style="242" customWidth="1"/>
    <col min="9222" max="9222" width="17.1796875" style="242" customWidth="1"/>
    <col min="9223" max="9223" width="69.1796875" style="242" customWidth="1"/>
    <col min="9224" max="9224" width="19.81640625" style="242" customWidth="1"/>
    <col min="9225" max="9225" width="18" style="242" customWidth="1"/>
    <col min="9226" max="9226" width="72.08984375" style="242" customWidth="1"/>
    <col min="9227" max="9227" width="21.81640625" style="242" customWidth="1"/>
    <col min="9228" max="9473" width="9.81640625" style="242"/>
    <col min="9474" max="9474" width="5.81640625" style="242" customWidth="1"/>
    <col min="9475" max="9475" width="15.54296875" style="242" customWidth="1"/>
    <col min="9476" max="9476" width="9.54296875" style="242" customWidth="1"/>
    <col min="9477" max="9477" width="30.81640625" style="242" customWidth="1"/>
    <col min="9478" max="9478" width="17.1796875" style="242" customWidth="1"/>
    <col min="9479" max="9479" width="69.1796875" style="242" customWidth="1"/>
    <col min="9480" max="9480" width="19.81640625" style="242" customWidth="1"/>
    <col min="9481" max="9481" width="18" style="242" customWidth="1"/>
    <col min="9482" max="9482" width="72.08984375" style="242" customWidth="1"/>
    <col min="9483" max="9483" width="21.81640625" style="242" customWidth="1"/>
    <col min="9484" max="9729" width="9.81640625" style="242"/>
    <col min="9730" max="9730" width="5.81640625" style="242" customWidth="1"/>
    <col min="9731" max="9731" width="15.54296875" style="242" customWidth="1"/>
    <col min="9732" max="9732" width="9.54296875" style="242" customWidth="1"/>
    <col min="9733" max="9733" width="30.81640625" style="242" customWidth="1"/>
    <col min="9734" max="9734" width="17.1796875" style="242" customWidth="1"/>
    <col min="9735" max="9735" width="69.1796875" style="242" customWidth="1"/>
    <col min="9736" max="9736" width="19.81640625" style="242" customWidth="1"/>
    <col min="9737" max="9737" width="18" style="242" customWidth="1"/>
    <col min="9738" max="9738" width="72.08984375" style="242" customWidth="1"/>
    <col min="9739" max="9739" width="21.81640625" style="242" customWidth="1"/>
    <col min="9740" max="9985" width="9.81640625" style="242"/>
    <col min="9986" max="9986" width="5.81640625" style="242" customWidth="1"/>
    <col min="9987" max="9987" width="15.54296875" style="242" customWidth="1"/>
    <col min="9988" max="9988" width="9.54296875" style="242" customWidth="1"/>
    <col min="9989" max="9989" width="30.81640625" style="242" customWidth="1"/>
    <col min="9990" max="9990" width="17.1796875" style="242" customWidth="1"/>
    <col min="9991" max="9991" width="69.1796875" style="242" customWidth="1"/>
    <col min="9992" max="9992" width="19.81640625" style="242" customWidth="1"/>
    <col min="9993" max="9993" width="18" style="242" customWidth="1"/>
    <col min="9994" max="9994" width="72.08984375" style="242" customWidth="1"/>
    <col min="9995" max="9995" width="21.81640625" style="242" customWidth="1"/>
    <col min="9996" max="10241" width="9.81640625" style="242"/>
    <col min="10242" max="10242" width="5.81640625" style="242" customWidth="1"/>
    <col min="10243" max="10243" width="15.54296875" style="242" customWidth="1"/>
    <col min="10244" max="10244" width="9.54296875" style="242" customWidth="1"/>
    <col min="10245" max="10245" width="30.81640625" style="242" customWidth="1"/>
    <col min="10246" max="10246" width="17.1796875" style="242" customWidth="1"/>
    <col min="10247" max="10247" width="69.1796875" style="242" customWidth="1"/>
    <col min="10248" max="10248" width="19.81640625" style="242" customWidth="1"/>
    <col min="10249" max="10249" width="18" style="242" customWidth="1"/>
    <col min="10250" max="10250" width="72.08984375" style="242" customWidth="1"/>
    <col min="10251" max="10251" width="21.81640625" style="242" customWidth="1"/>
    <col min="10252" max="10497" width="9.81640625" style="242"/>
    <col min="10498" max="10498" width="5.81640625" style="242" customWidth="1"/>
    <col min="10499" max="10499" width="15.54296875" style="242" customWidth="1"/>
    <col min="10500" max="10500" width="9.54296875" style="242" customWidth="1"/>
    <col min="10501" max="10501" width="30.81640625" style="242" customWidth="1"/>
    <col min="10502" max="10502" width="17.1796875" style="242" customWidth="1"/>
    <col min="10503" max="10503" width="69.1796875" style="242" customWidth="1"/>
    <col min="10504" max="10504" width="19.81640625" style="242" customWidth="1"/>
    <col min="10505" max="10505" width="18" style="242" customWidth="1"/>
    <col min="10506" max="10506" width="72.08984375" style="242" customWidth="1"/>
    <col min="10507" max="10507" width="21.81640625" style="242" customWidth="1"/>
    <col min="10508" max="10753" width="9.81640625" style="242"/>
    <col min="10754" max="10754" width="5.81640625" style="242" customWidth="1"/>
    <col min="10755" max="10755" width="15.54296875" style="242" customWidth="1"/>
    <col min="10756" max="10756" width="9.54296875" style="242" customWidth="1"/>
    <col min="10757" max="10757" width="30.81640625" style="242" customWidth="1"/>
    <col min="10758" max="10758" width="17.1796875" style="242" customWidth="1"/>
    <col min="10759" max="10759" width="69.1796875" style="242" customWidth="1"/>
    <col min="10760" max="10760" width="19.81640625" style="242" customWidth="1"/>
    <col min="10761" max="10761" width="18" style="242" customWidth="1"/>
    <col min="10762" max="10762" width="72.08984375" style="242" customWidth="1"/>
    <col min="10763" max="10763" width="21.81640625" style="242" customWidth="1"/>
    <col min="10764" max="11009" width="9.81640625" style="242"/>
    <col min="11010" max="11010" width="5.81640625" style="242" customWidth="1"/>
    <col min="11011" max="11011" width="15.54296875" style="242" customWidth="1"/>
    <col min="11012" max="11012" width="9.54296875" style="242" customWidth="1"/>
    <col min="11013" max="11013" width="30.81640625" style="242" customWidth="1"/>
    <col min="11014" max="11014" width="17.1796875" style="242" customWidth="1"/>
    <col min="11015" max="11015" width="69.1796875" style="242" customWidth="1"/>
    <col min="11016" max="11016" width="19.81640625" style="242" customWidth="1"/>
    <col min="11017" max="11017" width="18" style="242" customWidth="1"/>
    <col min="11018" max="11018" width="72.08984375" style="242" customWidth="1"/>
    <col min="11019" max="11019" width="21.81640625" style="242" customWidth="1"/>
    <col min="11020" max="11265" width="9.81640625" style="242"/>
    <col min="11266" max="11266" width="5.81640625" style="242" customWidth="1"/>
    <col min="11267" max="11267" width="15.54296875" style="242" customWidth="1"/>
    <col min="11268" max="11268" width="9.54296875" style="242" customWidth="1"/>
    <col min="11269" max="11269" width="30.81640625" style="242" customWidth="1"/>
    <col min="11270" max="11270" width="17.1796875" style="242" customWidth="1"/>
    <col min="11271" max="11271" width="69.1796875" style="242" customWidth="1"/>
    <col min="11272" max="11272" width="19.81640625" style="242" customWidth="1"/>
    <col min="11273" max="11273" width="18" style="242" customWidth="1"/>
    <col min="11274" max="11274" width="72.08984375" style="242" customWidth="1"/>
    <col min="11275" max="11275" width="21.81640625" style="242" customWidth="1"/>
    <col min="11276" max="11521" width="9.81640625" style="242"/>
    <col min="11522" max="11522" width="5.81640625" style="242" customWidth="1"/>
    <col min="11523" max="11523" width="15.54296875" style="242" customWidth="1"/>
    <col min="11524" max="11524" width="9.54296875" style="242" customWidth="1"/>
    <col min="11525" max="11525" width="30.81640625" style="242" customWidth="1"/>
    <col min="11526" max="11526" width="17.1796875" style="242" customWidth="1"/>
    <col min="11527" max="11527" width="69.1796875" style="242" customWidth="1"/>
    <col min="11528" max="11528" width="19.81640625" style="242" customWidth="1"/>
    <col min="11529" max="11529" width="18" style="242" customWidth="1"/>
    <col min="11530" max="11530" width="72.08984375" style="242" customWidth="1"/>
    <col min="11531" max="11531" width="21.81640625" style="242" customWidth="1"/>
    <col min="11532" max="11777" width="9.81640625" style="242"/>
    <col min="11778" max="11778" width="5.81640625" style="242" customWidth="1"/>
    <col min="11779" max="11779" width="15.54296875" style="242" customWidth="1"/>
    <col min="11780" max="11780" width="9.54296875" style="242" customWidth="1"/>
    <col min="11781" max="11781" width="30.81640625" style="242" customWidth="1"/>
    <col min="11782" max="11782" width="17.1796875" style="242" customWidth="1"/>
    <col min="11783" max="11783" width="69.1796875" style="242" customWidth="1"/>
    <col min="11784" max="11784" width="19.81640625" style="242" customWidth="1"/>
    <col min="11785" max="11785" width="18" style="242" customWidth="1"/>
    <col min="11786" max="11786" width="72.08984375" style="242" customWidth="1"/>
    <col min="11787" max="11787" width="21.81640625" style="242" customWidth="1"/>
    <col min="11788" max="12033" width="9.81640625" style="242"/>
    <col min="12034" max="12034" width="5.81640625" style="242" customWidth="1"/>
    <col min="12035" max="12035" width="15.54296875" style="242" customWidth="1"/>
    <col min="12036" max="12036" width="9.54296875" style="242" customWidth="1"/>
    <col min="12037" max="12037" width="30.81640625" style="242" customWidth="1"/>
    <col min="12038" max="12038" width="17.1796875" style="242" customWidth="1"/>
    <col min="12039" max="12039" width="69.1796875" style="242" customWidth="1"/>
    <col min="12040" max="12040" width="19.81640625" style="242" customWidth="1"/>
    <col min="12041" max="12041" width="18" style="242" customWidth="1"/>
    <col min="12042" max="12042" width="72.08984375" style="242" customWidth="1"/>
    <col min="12043" max="12043" width="21.81640625" style="242" customWidth="1"/>
    <col min="12044" max="12289" width="9.81640625" style="242"/>
    <col min="12290" max="12290" width="5.81640625" style="242" customWidth="1"/>
    <col min="12291" max="12291" width="15.54296875" style="242" customWidth="1"/>
    <col min="12292" max="12292" width="9.54296875" style="242" customWidth="1"/>
    <col min="12293" max="12293" width="30.81640625" style="242" customWidth="1"/>
    <col min="12294" max="12294" width="17.1796875" style="242" customWidth="1"/>
    <col min="12295" max="12295" width="69.1796875" style="242" customWidth="1"/>
    <col min="12296" max="12296" width="19.81640625" style="242" customWidth="1"/>
    <col min="12297" max="12297" width="18" style="242" customWidth="1"/>
    <col min="12298" max="12298" width="72.08984375" style="242" customWidth="1"/>
    <col min="12299" max="12299" width="21.81640625" style="242" customWidth="1"/>
    <col min="12300" max="12545" width="9.81640625" style="242"/>
    <col min="12546" max="12546" width="5.81640625" style="242" customWidth="1"/>
    <col min="12547" max="12547" width="15.54296875" style="242" customWidth="1"/>
    <col min="12548" max="12548" width="9.54296875" style="242" customWidth="1"/>
    <col min="12549" max="12549" width="30.81640625" style="242" customWidth="1"/>
    <col min="12550" max="12550" width="17.1796875" style="242" customWidth="1"/>
    <col min="12551" max="12551" width="69.1796875" style="242" customWidth="1"/>
    <col min="12552" max="12552" width="19.81640625" style="242" customWidth="1"/>
    <col min="12553" max="12553" width="18" style="242" customWidth="1"/>
    <col min="12554" max="12554" width="72.08984375" style="242" customWidth="1"/>
    <col min="12555" max="12555" width="21.81640625" style="242" customWidth="1"/>
    <col min="12556" max="12801" width="9.81640625" style="242"/>
    <col min="12802" max="12802" width="5.81640625" style="242" customWidth="1"/>
    <col min="12803" max="12803" width="15.54296875" style="242" customWidth="1"/>
    <col min="12804" max="12804" width="9.54296875" style="242" customWidth="1"/>
    <col min="12805" max="12805" width="30.81640625" style="242" customWidth="1"/>
    <col min="12806" max="12806" width="17.1796875" style="242" customWidth="1"/>
    <col min="12807" max="12807" width="69.1796875" style="242" customWidth="1"/>
    <col min="12808" max="12808" width="19.81640625" style="242" customWidth="1"/>
    <col min="12809" max="12809" width="18" style="242" customWidth="1"/>
    <col min="12810" max="12810" width="72.08984375" style="242" customWidth="1"/>
    <col min="12811" max="12811" width="21.81640625" style="242" customWidth="1"/>
    <col min="12812" max="13057" width="9.81640625" style="242"/>
    <col min="13058" max="13058" width="5.81640625" style="242" customWidth="1"/>
    <col min="13059" max="13059" width="15.54296875" style="242" customWidth="1"/>
    <col min="13060" max="13060" width="9.54296875" style="242" customWidth="1"/>
    <col min="13061" max="13061" width="30.81640625" style="242" customWidth="1"/>
    <col min="13062" max="13062" width="17.1796875" style="242" customWidth="1"/>
    <col min="13063" max="13063" width="69.1796875" style="242" customWidth="1"/>
    <col min="13064" max="13064" width="19.81640625" style="242" customWidth="1"/>
    <col min="13065" max="13065" width="18" style="242" customWidth="1"/>
    <col min="13066" max="13066" width="72.08984375" style="242" customWidth="1"/>
    <col min="13067" max="13067" width="21.81640625" style="242" customWidth="1"/>
    <col min="13068" max="13313" width="9.81640625" style="242"/>
    <col min="13314" max="13314" width="5.81640625" style="242" customWidth="1"/>
    <col min="13315" max="13315" width="15.54296875" style="242" customWidth="1"/>
    <col min="13316" max="13316" width="9.54296875" style="242" customWidth="1"/>
    <col min="13317" max="13317" width="30.81640625" style="242" customWidth="1"/>
    <col min="13318" max="13318" width="17.1796875" style="242" customWidth="1"/>
    <col min="13319" max="13319" width="69.1796875" style="242" customWidth="1"/>
    <col min="13320" max="13320" width="19.81640625" style="242" customWidth="1"/>
    <col min="13321" max="13321" width="18" style="242" customWidth="1"/>
    <col min="13322" max="13322" width="72.08984375" style="242" customWidth="1"/>
    <col min="13323" max="13323" width="21.81640625" style="242" customWidth="1"/>
    <col min="13324" max="13569" width="9.81640625" style="242"/>
    <col min="13570" max="13570" width="5.81640625" style="242" customWidth="1"/>
    <col min="13571" max="13571" width="15.54296875" style="242" customWidth="1"/>
    <col min="13572" max="13572" width="9.54296875" style="242" customWidth="1"/>
    <col min="13573" max="13573" width="30.81640625" style="242" customWidth="1"/>
    <col min="13574" max="13574" width="17.1796875" style="242" customWidth="1"/>
    <col min="13575" max="13575" width="69.1796875" style="242" customWidth="1"/>
    <col min="13576" max="13576" width="19.81640625" style="242" customWidth="1"/>
    <col min="13577" max="13577" width="18" style="242" customWidth="1"/>
    <col min="13578" max="13578" width="72.08984375" style="242" customWidth="1"/>
    <col min="13579" max="13579" width="21.81640625" style="242" customWidth="1"/>
    <col min="13580" max="13825" width="9.81640625" style="242"/>
    <col min="13826" max="13826" width="5.81640625" style="242" customWidth="1"/>
    <col min="13827" max="13827" width="15.54296875" style="242" customWidth="1"/>
    <col min="13828" max="13828" width="9.54296875" style="242" customWidth="1"/>
    <col min="13829" max="13829" width="30.81640625" style="242" customWidth="1"/>
    <col min="13830" max="13830" width="17.1796875" style="242" customWidth="1"/>
    <col min="13831" max="13831" width="69.1796875" style="242" customWidth="1"/>
    <col min="13832" max="13832" width="19.81640625" style="242" customWidth="1"/>
    <col min="13833" max="13833" width="18" style="242" customWidth="1"/>
    <col min="13834" max="13834" width="72.08984375" style="242" customWidth="1"/>
    <col min="13835" max="13835" width="21.81640625" style="242" customWidth="1"/>
    <col min="13836" max="14081" width="9.81640625" style="242"/>
    <col min="14082" max="14082" width="5.81640625" style="242" customWidth="1"/>
    <col min="14083" max="14083" width="15.54296875" style="242" customWidth="1"/>
    <col min="14084" max="14084" width="9.54296875" style="242" customWidth="1"/>
    <col min="14085" max="14085" width="30.81640625" style="242" customWidth="1"/>
    <col min="14086" max="14086" width="17.1796875" style="242" customWidth="1"/>
    <col min="14087" max="14087" width="69.1796875" style="242" customWidth="1"/>
    <col min="14088" max="14088" width="19.81640625" style="242" customWidth="1"/>
    <col min="14089" max="14089" width="18" style="242" customWidth="1"/>
    <col min="14090" max="14090" width="72.08984375" style="242" customWidth="1"/>
    <col min="14091" max="14091" width="21.81640625" style="242" customWidth="1"/>
    <col min="14092" max="14337" width="9.81640625" style="242"/>
    <col min="14338" max="14338" width="5.81640625" style="242" customWidth="1"/>
    <col min="14339" max="14339" width="15.54296875" style="242" customWidth="1"/>
    <col min="14340" max="14340" width="9.54296875" style="242" customWidth="1"/>
    <col min="14341" max="14341" width="30.81640625" style="242" customWidth="1"/>
    <col min="14342" max="14342" width="17.1796875" style="242" customWidth="1"/>
    <col min="14343" max="14343" width="69.1796875" style="242" customWidth="1"/>
    <col min="14344" max="14344" width="19.81640625" style="242" customWidth="1"/>
    <col min="14345" max="14345" width="18" style="242" customWidth="1"/>
    <col min="14346" max="14346" width="72.08984375" style="242" customWidth="1"/>
    <col min="14347" max="14347" width="21.81640625" style="242" customWidth="1"/>
    <col min="14348" max="14593" width="9.81640625" style="242"/>
    <col min="14594" max="14594" width="5.81640625" style="242" customWidth="1"/>
    <col min="14595" max="14595" width="15.54296875" style="242" customWidth="1"/>
    <col min="14596" max="14596" width="9.54296875" style="242" customWidth="1"/>
    <col min="14597" max="14597" width="30.81640625" style="242" customWidth="1"/>
    <col min="14598" max="14598" width="17.1796875" style="242" customWidth="1"/>
    <col min="14599" max="14599" width="69.1796875" style="242" customWidth="1"/>
    <col min="14600" max="14600" width="19.81640625" style="242" customWidth="1"/>
    <col min="14601" max="14601" width="18" style="242" customWidth="1"/>
    <col min="14602" max="14602" width="72.08984375" style="242" customWidth="1"/>
    <col min="14603" max="14603" width="21.81640625" style="242" customWidth="1"/>
    <col min="14604" max="14849" width="9.81640625" style="242"/>
    <col min="14850" max="14850" width="5.81640625" style="242" customWidth="1"/>
    <col min="14851" max="14851" width="15.54296875" style="242" customWidth="1"/>
    <col min="14852" max="14852" width="9.54296875" style="242" customWidth="1"/>
    <col min="14853" max="14853" width="30.81640625" style="242" customWidth="1"/>
    <col min="14854" max="14854" width="17.1796875" style="242" customWidth="1"/>
    <col min="14855" max="14855" width="69.1796875" style="242" customWidth="1"/>
    <col min="14856" max="14856" width="19.81640625" style="242" customWidth="1"/>
    <col min="14857" max="14857" width="18" style="242" customWidth="1"/>
    <col min="14858" max="14858" width="72.08984375" style="242" customWidth="1"/>
    <col min="14859" max="14859" width="21.81640625" style="242" customWidth="1"/>
    <col min="14860" max="15105" width="9.81640625" style="242"/>
    <col min="15106" max="15106" width="5.81640625" style="242" customWidth="1"/>
    <col min="15107" max="15107" width="15.54296875" style="242" customWidth="1"/>
    <col min="15108" max="15108" width="9.54296875" style="242" customWidth="1"/>
    <col min="15109" max="15109" width="30.81640625" style="242" customWidth="1"/>
    <col min="15110" max="15110" width="17.1796875" style="242" customWidth="1"/>
    <col min="15111" max="15111" width="69.1796875" style="242" customWidth="1"/>
    <col min="15112" max="15112" width="19.81640625" style="242" customWidth="1"/>
    <col min="15113" max="15113" width="18" style="242" customWidth="1"/>
    <col min="15114" max="15114" width="72.08984375" style="242" customWidth="1"/>
    <col min="15115" max="15115" width="21.81640625" style="242" customWidth="1"/>
    <col min="15116" max="15361" width="9.81640625" style="242"/>
    <col min="15362" max="15362" width="5.81640625" style="242" customWidth="1"/>
    <col min="15363" max="15363" width="15.54296875" style="242" customWidth="1"/>
    <col min="15364" max="15364" width="9.54296875" style="242" customWidth="1"/>
    <col min="15365" max="15365" width="30.81640625" style="242" customWidth="1"/>
    <col min="15366" max="15366" width="17.1796875" style="242" customWidth="1"/>
    <col min="15367" max="15367" width="69.1796875" style="242" customWidth="1"/>
    <col min="15368" max="15368" width="19.81640625" style="242" customWidth="1"/>
    <col min="15369" max="15369" width="18" style="242" customWidth="1"/>
    <col min="15370" max="15370" width="72.08984375" style="242" customWidth="1"/>
    <col min="15371" max="15371" width="21.81640625" style="242" customWidth="1"/>
    <col min="15372" max="15617" width="9.81640625" style="242"/>
    <col min="15618" max="15618" width="5.81640625" style="242" customWidth="1"/>
    <col min="15619" max="15619" width="15.54296875" style="242" customWidth="1"/>
    <col min="15620" max="15620" width="9.54296875" style="242" customWidth="1"/>
    <col min="15621" max="15621" width="30.81640625" style="242" customWidth="1"/>
    <col min="15622" max="15622" width="17.1796875" style="242" customWidth="1"/>
    <col min="15623" max="15623" width="69.1796875" style="242" customWidth="1"/>
    <col min="15624" max="15624" width="19.81640625" style="242" customWidth="1"/>
    <col min="15625" max="15625" width="18" style="242" customWidth="1"/>
    <col min="15626" max="15626" width="72.08984375" style="242" customWidth="1"/>
    <col min="15627" max="15627" width="21.81640625" style="242" customWidth="1"/>
    <col min="15628" max="15873" width="9.81640625" style="242"/>
    <col min="15874" max="15874" width="5.81640625" style="242" customWidth="1"/>
    <col min="15875" max="15875" width="15.54296875" style="242" customWidth="1"/>
    <col min="15876" max="15876" width="9.54296875" style="242" customWidth="1"/>
    <col min="15877" max="15877" width="30.81640625" style="242" customWidth="1"/>
    <col min="15878" max="15878" width="17.1796875" style="242" customWidth="1"/>
    <col min="15879" max="15879" width="69.1796875" style="242" customWidth="1"/>
    <col min="15880" max="15880" width="19.81640625" style="242" customWidth="1"/>
    <col min="15881" max="15881" width="18" style="242" customWidth="1"/>
    <col min="15882" max="15882" width="72.08984375" style="242" customWidth="1"/>
    <col min="15883" max="15883" width="21.81640625" style="242" customWidth="1"/>
    <col min="15884" max="16129" width="9.81640625" style="242"/>
    <col min="16130" max="16130" width="5.81640625" style="242" customWidth="1"/>
    <col min="16131" max="16131" width="15.54296875" style="242" customWidth="1"/>
    <col min="16132" max="16132" width="9.54296875" style="242" customWidth="1"/>
    <col min="16133" max="16133" width="30.81640625" style="242" customWidth="1"/>
    <col min="16134" max="16134" width="17.1796875" style="242" customWidth="1"/>
    <col min="16135" max="16135" width="69.1796875" style="242" customWidth="1"/>
    <col min="16136" max="16136" width="19.81640625" style="242" customWidth="1"/>
    <col min="16137" max="16137" width="18" style="242" customWidth="1"/>
    <col min="16138" max="16138" width="72.08984375" style="242" customWidth="1"/>
    <col min="16139" max="16139" width="21.81640625" style="242" customWidth="1"/>
    <col min="16140" max="16384" width="9.81640625" style="242"/>
  </cols>
  <sheetData>
    <row r="1" spans="2:11">
      <c r="G1" s="245" t="s">
        <v>32</v>
      </c>
      <c r="H1" s="246"/>
      <c r="I1" s="247"/>
    </row>
    <row r="2" spans="2:11" ht="4.5" customHeight="1"/>
    <row r="3" spans="2:11" s="240" customFormat="1" ht="38" customHeight="1">
      <c r="B3" s="248" t="s">
        <v>33</v>
      </c>
      <c r="C3" s="248" t="s">
        <v>14</v>
      </c>
      <c r="D3" s="248" t="s">
        <v>34</v>
      </c>
      <c r="E3" s="248" t="s">
        <v>35</v>
      </c>
      <c r="F3" s="249" t="s">
        <v>36</v>
      </c>
      <c r="G3" s="248" t="s">
        <v>37</v>
      </c>
      <c r="H3" s="248" t="s">
        <v>38</v>
      </c>
      <c r="I3" s="248" t="s">
        <v>39</v>
      </c>
      <c r="J3" s="248" t="s">
        <v>40</v>
      </c>
      <c r="K3" s="248" t="s">
        <v>41</v>
      </c>
    </row>
    <row r="4" spans="2:11" ht="28">
      <c r="B4" s="333" t="s">
        <v>42</v>
      </c>
      <c r="C4" s="251">
        <v>1</v>
      </c>
      <c r="D4" s="252" t="s">
        <v>43</v>
      </c>
      <c r="E4" s="253" t="s">
        <v>44</v>
      </c>
      <c r="F4" s="253"/>
      <c r="G4" s="254"/>
      <c r="H4" s="255">
        <v>12</v>
      </c>
      <c r="I4" s="256" t="s">
        <v>45</v>
      </c>
      <c r="J4" s="254" t="s">
        <v>46</v>
      </c>
      <c r="K4" s="257"/>
    </row>
    <row r="5" spans="2:11">
      <c r="B5" s="333"/>
      <c r="C5" s="251">
        <v>2</v>
      </c>
      <c r="D5" s="252" t="s">
        <v>47</v>
      </c>
      <c r="E5" s="253" t="s">
        <v>48</v>
      </c>
      <c r="F5" s="253"/>
      <c r="G5" s="254"/>
      <c r="H5" s="255"/>
      <c r="I5" s="256" t="s">
        <v>49</v>
      </c>
      <c r="J5" s="254"/>
      <c r="K5" s="257"/>
    </row>
    <row r="6" spans="2:11">
      <c r="B6" s="333"/>
      <c r="C6" s="251">
        <v>3</v>
      </c>
      <c r="D6" s="252" t="s">
        <v>50</v>
      </c>
      <c r="E6" s="253"/>
      <c r="F6" s="253"/>
      <c r="G6" s="254"/>
      <c r="H6" s="255"/>
      <c r="I6" s="256" t="s">
        <v>51</v>
      </c>
      <c r="J6" s="254"/>
      <c r="K6" s="257"/>
    </row>
    <row r="7" spans="2:11">
      <c r="B7" s="333"/>
      <c r="C7" s="258"/>
      <c r="D7" s="259" t="s">
        <v>52</v>
      </c>
      <c r="E7" s="253" t="s">
        <v>44</v>
      </c>
      <c r="F7" s="253"/>
      <c r="G7" s="254"/>
      <c r="H7" s="260">
        <v>1</v>
      </c>
      <c r="I7" s="256"/>
      <c r="J7" s="254"/>
      <c r="K7" s="257"/>
    </row>
    <row r="8" spans="2:11">
      <c r="B8" s="333"/>
      <c r="C8" s="258"/>
      <c r="D8" s="259" t="s">
        <v>53</v>
      </c>
      <c r="E8" s="253" t="s">
        <v>44</v>
      </c>
      <c r="F8" s="253"/>
      <c r="G8" s="254"/>
      <c r="H8" s="260">
        <f>1-H7</f>
        <v>0</v>
      </c>
      <c r="I8" s="256"/>
      <c r="J8" s="254"/>
      <c r="K8" s="257"/>
    </row>
    <row r="9" spans="2:11" ht="20.5" customHeight="1">
      <c r="B9" s="333"/>
      <c r="C9" s="251">
        <v>4</v>
      </c>
      <c r="D9" s="252" t="s">
        <v>54</v>
      </c>
      <c r="E9" s="253" t="s">
        <v>44</v>
      </c>
      <c r="F9" s="253"/>
      <c r="G9" s="254"/>
      <c r="H9" s="255">
        <v>25</v>
      </c>
      <c r="I9" s="256" t="s">
        <v>55</v>
      </c>
      <c r="J9" s="257" t="s">
        <v>56</v>
      </c>
      <c r="K9" s="257"/>
    </row>
    <row r="10" spans="2:11" ht="20.5" customHeight="1">
      <c r="B10" s="333"/>
      <c r="C10" s="251">
        <v>5</v>
      </c>
      <c r="D10" s="252" t="s">
        <v>57</v>
      </c>
      <c r="E10" s="253" t="s">
        <v>58</v>
      </c>
      <c r="F10" s="253"/>
      <c r="G10" s="254"/>
      <c r="H10" s="255"/>
      <c r="I10" s="256"/>
      <c r="J10" s="257" t="s">
        <v>59</v>
      </c>
      <c r="K10" s="257"/>
    </row>
    <row r="11" spans="2:11" ht="20.5" customHeight="1">
      <c r="B11" s="333"/>
      <c r="C11" s="251"/>
      <c r="D11" s="259" t="s">
        <v>60</v>
      </c>
      <c r="E11" s="253" t="s">
        <v>58</v>
      </c>
      <c r="F11" s="253"/>
      <c r="G11" s="254"/>
      <c r="H11" s="255"/>
      <c r="I11" s="256"/>
      <c r="J11" s="257"/>
      <c r="K11" s="257"/>
    </row>
    <row r="12" spans="2:11" ht="20.5" customHeight="1">
      <c r="B12" s="339"/>
      <c r="C12" s="251"/>
      <c r="D12" s="259" t="s">
        <v>61</v>
      </c>
      <c r="E12" s="253" t="s">
        <v>58</v>
      </c>
      <c r="F12" s="253"/>
      <c r="G12" s="254"/>
      <c r="H12" s="255"/>
      <c r="I12" s="256"/>
      <c r="J12" s="257"/>
      <c r="K12" s="257"/>
    </row>
    <row r="13" spans="2:11" ht="20.5" customHeight="1">
      <c r="B13" s="333"/>
      <c r="C13" s="251"/>
      <c r="D13" s="252" t="s">
        <v>62</v>
      </c>
      <c r="E13" s="253" t="s">
        <v>44</v>
      </c>
      <c r="F13" s="253"/>
      <c r="G13" s="254"/>
      <c r="H13" s="255">
        <v>80</v>
      </c>
      <c r="I13" s="256" t="s">
        <v>63</v>
      </c>
      <c r="J13" s="257" t="s">
        <v>64</v>
      </c>
      <c r="K13" s="257"/>
    </row>
    <row r="14" spans="2:11" ht="20.5" customHeight="1">
      <c r="B14" s="333"/>
      <c r="C14" s="251"/>
      <c r="D14" s="252" t="s">
        <v>65</v>
      </c>
      <c r="E14" s="253" t="s">
        <v>44</v>
      </c>
      <c r="F14" s="253"/>
      <c r="G14" s="254"/>
      <c r="H14" s="255">
        <v>10</v>
      </c>
      <c r="I14" s="256" t="s">
        <v>63</v>
      </c>
      <c r="J14" s="257"/>
      <c r="K14" s="257"/>
    </row>
    <row r="15" spans="2:11" ht="20.5" customHeight="1">
      <c r="B15" s="333"/>
      <c r="C15" s="251"/>
      <c r="D15" s="252" t="s">
        <v>66</v>
      </c>
      <c r="E15" s="253" t="s">
        <v>44</v>
      </c>
      <c r="F15" s="253"/>
      <c r="G15" s="254"/>
      <c r="H15" s="255">
        <v>20</v>
      </c>
      <c r="I15" s="256" t="s">
        <v>67</v>
      </c>
      <c r="J15" s="257"/>
      <c r="K15" s="257"/>
    </row>
    <row r="16" spans="2:11" ht="20.5" customHeight="1">
      <c r="B16" s="333"/>
      <c r="C16" s="251"/>
      <c r="D16" s="252" t="s">
        <v>68</v>
      </c>
      <c r="E16" s="253" t="s">
        <v>44</v>
      </c>
      <c r="F16" s="253"/>
      <c r="G16" s="257"/>
      <c r="H16" s="255">
        <v>1200</v>
      </c>
      <c r="I16" s="256" t="s">
        <v>69</v>
      </c>
      <c r="J16" s="257"/>
      <c r="K16" s="257"/>
    </row>
    <row r="17" spans="2:18" s="241" customFormat="1" ht="52" customHeight="1">
      <c r="B17" s="333"/>
      <c r="C17" s="261"/>
      <c r="D17" s="262" t="s">
        <v>70</v>
      </c>
      <c r="E17" s="253" t="s">
        <v>71</v>
      </c>
      <c r="F17" s="253"/>
      <c r="G17" s="263" t="s">
        <v>72</v>
      </c>
      <c r="H17" s="264"/>
      <c r="I17" s="265" t="s">
        <v>67</v>
      </c>
      <c r="J17" s="266" t="s">
        <v>73</v>
      </c>
      <c r="K17" s="266"/>
      <c r="L17" s="267"/>
      <c r="O17" s="268"/>
      <c r="R17" s="267"/>
    </row>
    <row r="18" spans="2:18" s="241" customFormat="1">
      <c r="B18" s="333"/>
      <c r="C18" s="269"/>
      <c r="D18" s="270" t="s">
        <v>74</v>
      </c>
      <c r="E18" s="253" t="s">
        <v>44</v>
      </c>
      <c r="F18" s="253"/>
      <c r="G18" s="263"/>
      <c r="H18" s="271">
        <v>0.01</v>
      </c>
      <c r="I18" s="265" t="s">
        <v>51</v>
      </c>
      <c r="J18" s="266"/>
      <c r="K18" s="266"/>
      <c r="L18" s="267"/>
      <c r="O18" s="268"/>
      <c r="R18" s="267"/>
    </row>
    <row r="19" spans="2:18" s="241" customFormat="1">
      <c r="B19" s="333"/>
      <c r="C19" s="269"/>
      <c r="D19" s="270" t="s">
        <v>75</v>
      </c>
      <c r="E19" s="253" t="s">
        <v>44</v>
      </c>
      <c r="F19" s="253"/>
      <c r="G19" s="263"/>
      <c r="H19" s="272">
        <v>4.4999999999999997E-3</v>
      </c>
      <c r="I19" s="265" t="s">
        <v>51</v>
      </c>
      <c r="J19" s="266"/>
      <c r="K19" s="266"/>
      <c r="L19" s="267"/>
      <c r="O19" s="268"/>
      <c r="R19" s="267"/>
    </row>
    <row r="20" spans="2:18" s="241" customFormat="1">
      <c r="B20" s="333"/>
      <c r="C20" s="269"/>
      <c r="D20" s="270" t="s">
        <v>76</v>
      </c>
      <c r="E20" s="253" t="s">
        <v>44</v>
      </c>
      <c r="F20" s="253"/>
      <c r="G20" s="263"/>
      <c r="H20" s="272">
        <v>5.3999999999999999E-2</v>
      </c>
      <c r="I20" s="265" t="s">
        <v>51</v>
      </c>
      <c r="J20" s="266"/>
      <c r="K20" s="266"/>
      <c r="L20" s="267"/>
      <c r="O20" s="268"/>
      <c r="R20" s="267"/>
    </row>
    <row r="21" spans="2:18" s="241" customFormat="1">
      <c r="B21" s="333"/>
      <c r="C21" s="269"/>
      <c r="D21" s="270" t="s">
        <v>77</v>
      </c>
      <c r="E21" s="253" t="s">
        <v>71</v>
      </c>
      <c r="F21" s="253"/>
      <c r="G21" s="263"/>
      <c r="H21" s="273">
        <f>$H$13*$H$16*(1-$H$18)</f>
        <v>95040</v>
      </c>
      <c r="I21" s="265"/>
      <c r="J21" s="266"/>
      <c r="K21" s="266"/>
      <c r="L21" s="267"/>
      <c r="O21" s="268"/>
      <c r="R21" s="267"/>
    </row>
    <row r="22" spans="2:18" s="241" customFormat="1">
      <c r="B22" s="333"/>
      <c r="C22" s="269"/>
      <c r="D22" s="270" t="s">
        <v>78</v>
      </c>
      <c r="E22" s="253" t="s">
        <v>71</v>
      </c>
      <c r="F22" s="253"/>
      <c r="G22" s="263"/>
      <c r="H22" s="273">
        <f>H21*(1-$H$19)</f>
        <v>94612.32</v>
      </c>
      <c r="I22" s="265"/>
      <c r="J22" s="266"/>
      <c r="K22" s="266"/>
      <c r="L22" s="267"/>
      <c r="O22" s="268"/>
      <c r="R22" s="267"/>
    </row>
    <row r="23" spans="2:18" s="241" customFormat="1">
      <c r="B23" s="333"/>
      <c r="C23" s="269"/>
      <c r="D23" s="270" t="s">
        <v>79</v>
      </c>
      <c r="E23" s="253" t="s">
        <v>71</v>
      </c>
      <c r="F23" s="253"/>
      <c r="G23" s="263"/>
      <c r="H23" s="273">
        <f t="shared" ref="H23:H45" si="0">H22*(1-$H$19)</f>
        <v>94186.564559999999</v>
      </c>
      <c r="I23" s="265"/>
      <c r="J23" s="266"/>
      <c r="K23" s="266"/>
      <c r="L23" s="267"/>
      <c r="O23" s="268"/>
      <c r="R23" s="267"/>
    </row>
    <row r="24" spans="2:18" s="241" customFormat="1">
      <c r="B24" s="333"/>
      <c r="C24" s="269"/>
      <c r="D24" s="270" t="s">
        <v>80</v>
      </c>
      <c r="E24" s="253" t="s">
        <v>71</v>
      </c>
      <c r="F24" s="253"/>
      <c r="G24" s="263"/>
      <c r="H24" s="273">
        <f t="shared" si="0"/>
        <v>93762.72501948</v>
      </c>
      <c r="I24" s="265"/>
      <c r="J24" s="266"/>
      <c r="K24" s="266"/>
      <c r="L24" s="267"/>
      <c r="O24" s="268"/>
      <c r="R24" s="267"/>
    </row>
    <row r="25" spans="2:18" s="241" customFormat="1">
      <c r="B25" s="333"/>
      <c r="C25" s="269"/>
      <c r="D25" s="270" t="s">
        <v>81</v>
      </c>
      <c r="E25" s="253" t="s">
        <v>71</v>
      </c>
      <c r="F25" s="253"/>
      <c r="G25" s="263"/>
      <c r="H25" s="273">
        <f t="shared" si="0"/>
        <v>93340.792756892406</v>
      </c>
      <c r="I25" s="265"/>
      <c r="J25" s="266"/>
      <c r="K25" s="266"/>
      <c r="L25" s="267"/>
      <c r="O25" s="268"/>
      <c r="R25" s="267"/>
    </row>
    <row r="26" spans="2:18" s="241" customFormat="1">
      <c r="B26" s="333"/>
      <c r="C26" s="269"/>
      <c r="D26" s="270" t="s">
        <v>82</v>
      </c>
      <c r="E26" s="253" t="s">
        <v>71</v>
      </c>
      <c r="F26" s="253"/>
      <c r="G26" s="263"/>
      <c r="H26" s="273">
        <f t="shared" si="0"/>
        <v>92920.759189486402</v>
      </c>
      <c r="I26" s="265"/>
      <c r="J26" s="266"/>
      <c r="K26" s="266"/>
      <c r="L26" s="267"/>
      <c r="O26" s="268"/>
      <c r="R26" s="267"/>
    </row>
    <row r="27" spans="2:18" s="241" customFormat="1">
      <c r="B27" s="333"/>
      <c r="C27" s="269"/>
      <c r="D27" s="270" t="s">
        <v>83</v>
      </c>
      <c r="E27" s="253" t="s">
        <v>71</v>
      </c>
      <c r="F27" s="253"/>
      <c r="G27" s="263"/>
      <c r="H27" s="273">
        <f t="shared" si="0"/>
        <v>92502.615773133701</v>
      </c>
      <c r="I27" s="265"/>
      <c r="J27" s="266"/>
      <c r="K27" s="266"/>
      <c r="L27" s="267"/>
      <c r="O27" s="268"/>
      <c r="R27" s="267"/>
    </row>
    <row r="28" spans="2:18" s="241" customFormat="1">
      <c r="B28" s="333"/>
      <c r="C28" s="269"/>
      <c r="D28" s="270" t="s">
        <v>84</v>
      </c>
      <c r="E28" s="253" t="s">
        <v>71</v>
      </c>
      <c r="F28" s="253"/>
      <c r="G28" s="263"/>
      <c r="H28" s="273">
        <f t="shared" si="0"/>
        <v>92086.354002154607</v>
      </c>
      <c r="I28" s="265"/>
      <c r="J28" s="266"/>
      <c r="K28" s="266"/>
      <c r="L28" s="267"/>
      <c r="O28" s="268"/>
      <c r="R28" s="267"/>
    </row>
    <row r="29" spans="2:18" s="241" customFormat="1">
      <c r="B29" s="333"/>
      <c r="C29" s="269"/>
      <c r="D29" s="270" t="s">
        <v>85</v>
      </c>
      <c r="E29" s="253" t="s">
        <v>71</v>
      </c>
      <c r="F29" s="253"/>
      <c r="G29" s="263"/>
      <c r="H29" s="273">
        <f t="shared" si="0"/>
        <v>91671.965409144905</v>
      </c>
      <c r="I29" s="265"/>
      <c r="J29" s="266"/>
      <c r="K29" s="266"/>
      <c r="L29" s="267"/>
      <c r="O29" s="268"/>
      <c r="R29" s="267"/>
    </row>
    <row r="30" spans="2:18" s="241" customFormat="1">
      <c r="B30" s="333"/>
      <c r="C30" s="269"/>
      <c r="D30" s="270" t="s">
        <v>86</v>
      </c>
      <c r="E30" s="253" t="s">
        <v>71</v>
      </c>
      <c r="F30" s="253"/>
      <c r="G30" s="263"/>
      <c r="H30" s="273">
        <f t="shared" si="0"/>
        <v>91259.441564803696</v>
      </c>
      <c r="I30" s="265"/>
      <c r="J30" s="266"/>
      <c r="K30" s="266"/>
      <c r="L30" s="267"/>
      <c r="O30" s="268"/>
      <c r="R30" s="267"/>
    </row>
    <row r="31" spans="2:18" s="241" customFormat="1">
      <c r="B31" s="333"/>
      <c r="C31" s="269"/>
      <c r="D31" s="270" t="s">
        <v>87</v>
      </c>
      <c r="E31" s="253" t="s">
        <v>71</v>
      </c>
      <c r="F31" s="253"/>
      <c r="G31" s="263"/>
      <c r="H31" s="273">
        <f t="shared" si="0"/>
        <v>90848.774077762093</v>
      </c>
      <c r="I31" s="265"/>
      <c r="J31" s="266"/>
      <c r="K31" s="266"/>
      <c r="L31" s="267"/>
      <c r="O31" s="268"/>
      <c r="R31" s="267"/>
    </row>
    <row r="32" spans="2:18" s="241" customFormat="1">
      <c r="B32" s="333"/>
      <c r="C32" s="269"/>
      <c r="D32" s="270" t="s">
        <v>88</v>
      </c>
      <c r="E32" s="253" t="s">
        <v>71</v>
      </c>
      <c r="F32" s="253"/>
      <c r="G32" s="263"/>
      <c r="H32" s="273">
        <f t="shared" si="0"/>
        <v>90439.954594412193</v>
      </c>
      <c r="I32" s="265"/>
      <c r="J32" s="266"/>
      <c r="K32" s="266"/>
      <c r="L32" s="267"/>
      <c r="O32" s="268"/>
      <c r="R32" s="267"/>
    </row>
    <row r="33" spans="2:18" s="241" customFormat="1">
      <c r="B33" s="333"/>
      <c r="C33" s="269"/>
      <c r="D33" s="270" t="s">
        <v>89</v>
      </c>
      <c r="E33" s="253" t="s">
        <v>71</v>
      </c>
      <c r="F33" s="253"/>
      <c r="G33" s="263"/>
      <c r="H33" s="273">
        <f t="shared" si="0"/>
        <v>90032.974798737298</v>
      </c>
      <c r="I33" s="265"/>
      <c r="J33" s="266"/>
      <c r="K33" s="266"/>
      <c r="L33" s="267"/>
      <c r="O33" s="268"/>
      <c r="R33" s="267"/>
    </row>
    <row r="34" spans="2:18" s="241" customFormat="1">
      <c r="B34" s="333"/>
      <c r="C34" s="269"/>
      <c r="D34" s="270" t="s">
        <v>90</v>
      </c>
      <c r="E34" s="253" t="s">
        <v>71</v>
      </c>
      <c r="F34" s="253"/>
      <c r="G34" s="263"/>
      <c r="H34" s="273">
        <f t="shared" si="0"/>
        <v>89627.826412142997</v>
      </c>
      <c r="I34" s="265"/>
      <c r="J34" s="266"/>
      <c r="K34" s="266"/>
      <c r="L34" s="267"/>
      <c r="O34" s="268"/>
      <c r="R34" s="267"/>
    </row>
    <row r="35" spans="2:18" s="241" customFormat="1">
      <c r="B35" s="333"/>
      <c r="C35" s="269"/>
      <c r="D35" s="270" t="s">
        <v>91</v>
      </c>
      <c r="E35" s="253" t="s">
        <v>71</v>
      </c>
      <c r="F35" s="253"/>
      <c r="G35" s="263"/>
      <c r="H35" s="273">
        <f t="shared" si="0"/>
        <v>89224.501193288394</v>
      </c>
      <c r="I35" s="265"/>
      <c r="J35" s="266"/>
      <c r="K35" s="266"/>
      <c r="L35" s="267"/>
      <c r="O35" s="268"/>
      <c r="R35" s="267"/>
    </row>
    <row r="36" spans="2:18" s="241" customFormat="1">
      <c r="B36" s="333"/>
      <c r="C36" s="269"/>
      <c r="D36" s="270" t="s">
        <v>92</v>
      </c>
      <c r="E36" s="253" t="s">
        <v>71</v>
      </c>
      <c r="F36" s="253"/>
      <c r="G36" s="263"/>
      <c r="H36" s="273">
        <f t="shared" si="0"/>
        <v>88822.990937918599</v>
      </c>
      <c r="I36" s="265"/>
      <c r="J36" s="266"/>
      <c r="K36" s="266"/>
      <c r="L36" s="267"/>
      <c r="O36" s="268"/>
      <c r="R36" s="267"/>
    </row>
    <row r="37" spans="2:18" s="241" customFormat="1">
      <c r="B37" s="333"/>
      <c r="C37" s="269"/>
      <c r="D37" s="270" t="s">
        <v>93</v>
      </c>
      <c r="E37" s="253" t="s">
        <v>71</v>
      </c>
      <c r="F37" s="253"/>
      <c r="G37" s="263"/>
      <c r="H37" s="273">
        <f t="shared" si="0"/>
        <v>88423.287478697996</v>
      </c>
      <c r="I37" s="265"/>
      <c r="J37" s="266"/>
      <c r="K37" s="266"/>
      <c r="L37" s="267"/>
      <c r="O37" s="268"/>
      <c r="R37" s="267"/>
    </row>
    <row r="38" spans="2:18" s="241" customFormat="1">
      <c r="B38" s="333"/>
      <c r="C38" s="269"/>
      <c r="D38" s="270" t="s">
        <v>94</v>
      </c>
      <c r="E38" s="253" t="s">
        <v>71</v>
      </c>
      <c r="F38" s="253"/>
      <c r="G38" s="263"/>
      <c r="H38" s="273">
        <f t="shared" si="0"/>
        <v>88025.382685043805</v>
      </c>
      <c r="I38" s="265"/>
      <c r="J38" s="266"/>
      <c r="K38" s="266"/>
      <c r="L38" s="267"/>
      <c r="O38" s="268"/>
      <c r="R38" s="267"/>
    </row>
    <row r="39" spans="2:18" s="241" customFormat="1">
      <c r="B39" s="333"/>
      <c r="C39" s="269"/>
      <c r="D39" s="270" t="s">
        <v>95</v>
      </c>
      <c r="E39" s="253" t="s">
        <v>71</v>
      </c>
      <c r="F39" s="253"/>
      <c r="G39" s="263"/>
      <c r="H39" s="273">
        <f t="shared" si="0"/>
        <v>87629.268462961103</v>
      </c>
      <c r="I39" s="265"/>
      <c r="J39" s="266"/>
      <c r="K39" s="266"/>
      <c r="L39" s="267"/>
      <c r="O39" s="268"/>
      <c r="R39" s="267"/>
    </row>
    <row r="40" spans="2:18" s="241" customFormat="1">
      <c r="B40" s="333"/>
      <c r="C40" s="269"/>
      <c r="D40" s="270" t="s">
        <v>96</v>
      </c>
      <c r="E40" s="253" t="s">
        <v>71</v>
      </c>
      <c r="F40" s="253"/>
      <c r="G40" s="263"/>
      <c r="H40" s="273">
        <f t="shared" si="0"/>
        <v>87234.936754877795</v>
      </c>
      <c r="I40" s="265"/>
      <c r="J40" s="266"/>
      <c r="K40" s="266"/>
      <c r="L40" s="267"/>
      <c r="O40" s="268"/>
      <c r="R40" s="267"/>
    </row>
    <row r="41" spans="2:18" s="241" customFormat="1">
      <c r="B41" s="333"/>
      <c r="C41" s="269"/>
      <c r="D41" s="270" t="s">
        <v>97</v>
      </c>
      <c r="E41" s="253" t="s">
        <v>71</v>
      </c>
      <c r="F41" s="253"/>
      <c r="G41" s="263"/>
      <c r="H41" s="273">
        <f t="shared" si="0"/>
        <v>86842.379539480899</v>
      </c>
      <c r="I41" s="265"/>
      <c r="J41" s="266"/>
      <c r="K41" s="266"/>
      <c r="L41" s="267"/>
      <c r="O41" s="268"/>
      <c r="R41" s="267"/>
    </row>
    <row r="42" spans="2:18" s="241" customFormat="1">
      <c r="B42" s="333"/>
      <c r="C42" s="269"/>
      <c r="D42" s="270" t="s">
        <v>98</v>
      </c>
      <c r="E42" s="253" t="s">
        <v>71</v>
      </c>
      <c r="F42" s="253"/>
      <c r="G42" s="263"/>
      <c r="H42" s="273">
        <f t="shared" si="0"/>
        <v>86451.588831553207</v>
      </c>
      <c r="I42" s="265"/>
      <c r="J42" s="266"/>
      <c r="K42" s="266"/>
      <c r="L42" s="267"/>
      <c r="O42" s="268"/>
      <c r="R42" s="267"/>
    </row>
    <row r="43" spans="2:18" s="241" customFormat="1">
      <c r="B43" s="333"/>
      <c r="C43" s="269"/>
      <c r="D43" s="270" t="s">
        <v>99</v>
      </c>
      <c r="E43" s="253" t="s">
        <v>71</v>
      </c>
      <c r="F43" s="253"/>
      <c r="G43" s="263"/>
      <c r="H43" s="273">
        <f t="shared" si="0"/>
        <v>86062.556681811198</v>
      </c>
      <c r="I43" s="265"/>
      <c r="J43" s="266"/>
      <c r="K43" s="266"/>
      <c r="L43" s="267"/>
      <c r="O43" s="268"/>
      <c r="R43" s="267"/>
    </row>
    <row r="44" spans="2:18" s="241" customFormat="1">
      <c r="B44" s="333"/>
      <c r="C44" s="269"/>
      <c r="D44" s="270" t="s">
        <v>100</v>
      </c>
      <c r="E44" s="253" t="s">
        <v>71</v>
      </c>
      <c r="F44" s="253"/>
      <c r="G44" s="263"/>
      <c r="H44" s="273">
        <f t="shared" si="0"/>
        <v>85675.275176743104</v>
      </c>
      <c r="I44" s="265"/>
      <c r="J44" s="266"/>
      <c r="K44" s="266"/>
      <c r="L44" s="267"/>
      <c r="O44" s="268"/>
      <c r="R44" s="267"/>
    </row>
    <row r="45" spans="2:18" s="241" customFormat="1">
      <c r="B45" s="333"/>
      <c r="C45" s="269"/>
      <c r="D45" s="270" t="s">
        <v>101</v>
      </c>
      <c r="E45" s="253" t="s">
        <v>71</v>
      </c>
      <c r="F45" s="253"/>
      <c r="G45" s="263"/>
      <c r="H45" s="273">
        <f t="shared" si="0"/>
        <v>85289.736438447799</v>
      </c>
      <c r="I45" s="265"/>
      <c r="J45" s="266"/>
      <c r="K45" s="266"/>
      <c r="L45" s="267"/>
      <c r="O45" s="268"/>
      <c r="R45" s="267"/>
    </row>
    <row r="46" spans="2:18" s="241" customFormat="1" ht="55" customHeight="1">
      <c r="B46" s="333"/>
      <c r="C46" s="269"/>
      <c r="D46" s="262" t="s">
        <v>102</v>
      </c>
      <c r="E46" s="253"/>
      <c r="F46" s="253"/>
      <c r="G46" s="263" t="s">
        <v>103</v>
      </c>
      <c r="H46" s="271"/>
      <c r="I46" s="265"/>
      <c r="J46" s="266"/>
      <c r="K46" s="266"/>
      <c r="L46" s="267"/>
      <c r="O46" s="268"/>
      <c r="R46" s="267"/>
    </row>
    <row r="47" spans="2:18" s="241" customFormat="1">
      <c r="B47" s="333"/>
      <c r="C47" s="269"/>
      <c r="D47" s="270" t="s">
        <v>77</v>
      </c>
      <c r="E47" s="253" t="s">
        <v>71</v>
      </c>
      <c r="F47" s="253"/>
      <c r="G47" s="263"/>
      <c r="H47" s="273">
        <f>IF((H21*(1-H77)*(1-$H$20))&gt;0,H21*(1-H77)*(1-$H$20),0)</f>
        <v>44953.919999999998</v>
      </c>
      <c r="I47" s="265"/>
      <c r="J47" s="266"/>
      <c r="K47" s="266"/>
      <c r="L47" s="267"/>
      <c r="O47" s="268"/>
      <c r="R47" s="267"/>
    </row>
    <row r="48" spans="2:18" s="241" customFormat="1">
      <c r="B48" s="333"/>
      <c r="C48" s="269"/>
      <c r="D48" s="270" t="s">
        <v>78</v>
      </c>
      <c r="E48" s="253" t="s">
        <v>71</v>
      </c>
      <c r="F48" s="253"/>
      <c r="G48" s="263"/>
      <c r="H48" s="273">
        <f t="shared" ref="H48:H71" si="1">IF((H22*(1-H78)*(1-$H$20))&gt;0,H22*(1-H78)*(1-$H$20),0)</f>
        <v>44751.627359999999</v>
      </c>
      <c r="I48" s="265"/>
      <c r="J48" s="266"/>
      <c r="K48" s="266"/>
      <c r="L48" s="267"/>
      <c r="O48" s="268"/>
      <c r="R48" s="267"/>
    </row>
    <row r="49" spans="2:18" s="241" customFormat="1">
      <c r="B49" s="333"/>
      <c r="C49" s="269"/>
      <c r="D49" s="270" t="s">
        <v>79</v>
      </c>
      <c r="E49" s="253" t="s">
        <v>71</v>
      </c>
      <c r="F49" s="253"/>
      <c r="G49" s="263"/>
      <c r="H49" s="273">
        <f t="shared" si="1"/>
        <v>44550.245036879998</v>
      </c>
      <c r="I49" s="265"/>
      <c r="J49" s="266"/>
      <c r="K49" s="266"/>
      <c r="L49" s="267"/>
      <c r="O49" s="268"/>
      <c r="R49" s="267"/>
    </row>
    <row r="50" spans="2:18" s="241" customFormat="1">
      <c r="B50" s="333"/>
      <c r="C50" s="269"/>
      <c r="D50" s="270" t="s">
        <v>80</v>
      </c>
      <c r="E50" s="253" t="s">
        <v>71</v>
      </c>
      <c r="F50" s="253"/>
      <c r="G50" s="263"/>
      <c r="H50" s="273">
        <f t="shared" si="1"/>
        <v>44349.768934214</v>
      </c>
      <c r="I50" s="265"/>
      <c r="J50" s="266"/>
      <c r="K50" s="266"/>
      <c r="L50" s="267"/>
      <c r="O50" s="268"/>
      <c r="R50" s="267"/>
    </row>
    <row r="51" spans="2:18" s="241" customFormat="1">
      <c r="B51" s="333"/>
      <c r="C51" s="269"/>
      <c r="D51" s="270" t="s">
        <v>81</v>
      </c>
      <c r="E51" s="253" t="s">
        <v>71</v>
      </c>
      <c r="F51" s="253"/>
      <c r="G51" s="263"/>
      <c r="H51" s="273">
        <f t="shared" si="1"/>
        <v>44150.194974010097</v>
      </c>
      <c r="I51" s="265"/>
      <c r="J51" s="266"/>
      <c r="K51" s="266"/>
      <c r="L51" s="267"/>
      <c r="O51" s="268"/>
      <c r="R51" s="267"/>
    </row>
    <row r="52" spans="2:18" s="241" customFormat="1">
      <c r="B52" s="333"/>
      <c r="C52" s="269"/>
      <c r="D52" s="270" t="s">
        <v>82</v>
      </c>
      <c r="E52" s="253" t="s">
        <v>71</v>
      </c>
      <c r="F52" s="253"/>
      <c r="G52" s="263"/>
      <c r="H52" s="273">
        <f t="shared" si="1"/>
        <v>26370.911457976199</v>
      </c>
      <c r="I52" s="265"/>
      <c r="J52" s="266"/>
      <c r="K52" s="266"/>
      <c r="L52" s="267"/>
      <c r="O52" s="268"/>
      <c r="R52" s="267"/>
    </row>
    <row r="53" spans="2:18" s="241" customFormat="1">
      <c r="B53" s="333"/>
      <c r="C53" s="269"/>
      <c r="D53" s="270" t="s">
        <v>83</v>
      </c>
      <c r="E53" s="253" t="s">
        <v>71</v>
      </c>
      <c r="F53" s="253"/>
      <c r="G53" s="263"/>
      <c r="H53" s="273">
        <f t="shared" si="1"/>
        <v>26252.2423564153</v>
      </c>
      <c r="I53" s="265"/>
      <c r="J53" s="266"/>
      <c r="K53" s="266"/>
      <c r="L53" s="267"/>
      <c r="O53" s="268"/>
      <c r="R53" s="267"/>
    </row>
    <row r="54" spans="2:18" s="241" customFormat="1">
      <c r="B54" s="333"/>
      <c r="C54" s="269"/>
      <c r="D54" s="270" t="s">
        <v>84</v>
      </c>
      <c r="E54" s="253" t="s">
        <v>71</v>
      </c>
      <c r="F54" s="253"/>
      <c r="G54" s="263"/>
      <c r="H54" s="273">
        <f t="shared" si="1"/>
        <v>26134.107265811501</v>
      </c>
      <c r="I54" s="265"/>
      <c r="J54" s="266"/>
      <c r="K54" s="266"/>
      <c r="L54" s="267"/>
      <c r="O54" s="268"/>
      <c r="R54" s="267"/>
    </row>
    <row r="55" spans="2:18" s="241" customFormat="1">
      <c r="B55" s="333"/>
      <c r="C55" s="269"/>
      <c r="D55" s="270" t="s">
        <v>85</v>
      </c>
      <c r="E55" s="253" t="s">
        <v>71</v>
      </c>
      <c r="F55" s="253"/>
      <c r="G55" s="263"/>
      <c r="H55" s="273">
        <f t="shared" si="1"/>
        <v>26016.503783115299</v>
      </c>
      <c r="I55" s="265"/>
      <c r="J55" s="266"/>
      <c r="K55" s="266"/>
      <c r="L55" s="267"/>
      <c r="O55" s="268"/>
      <c r="R55" s="267"/>
    </row>
    <row r="56" spans="2:18" s="241" customFormat="1">
      <c r="B56" s="333"/>
      <c r="C56" s="269"/>
      <c r="D56" s="270" t="s">
        <v>86</v>
      </c>
      <c r="E56" s="253" t="s">
        <v>71</v>
      </c>
      <c r="F56" s="253"/>
      <c r="G56" s="263"/>
      <c r="H56" s="273">
        <f t="shared" si="1"/>
        <v>25899.429516091299</v>
      </c>
      <c r="I56" s="265"/>
      <c r="J56" s="266"/>
      <c r="K56" s="266"/>
      <c r="L56" s="267"/>
      <c r="O56" s="268"/>
      <c r="R56" s="267"/>
    </row>
    <row r="57" spans="2:18" s="241" customFormat="1">
      <c r="B57" s="333"/>
      <c r="C57" s="269"/>
      <c r="D57" s="270" t="s">
        <v>87</v>
      </c>
      <c r="E57" s="253" t="s">
        <v>71</v>
      </c>
      <c r="F57" s="253"/>
      <c r="G57" s="263"/>
      <c r="H57" s="273">
        <f t="shared" si="1"/>
        <v>25782.882083268902</v>
      </c>
      <c r="I57" s="265"/>
      <c r="J57" s="266"/>
      <c r="K57" s="266"/>
      <c r="L57" s="267"/>
      <c r="O57" s="268"/>
      <c r="R57" s="267"/>
    </row>
    <row r="58" spans="2:18" s="241" customFormat="1">
      <c r="B58" s="333"/>
      <c r="C58" s="269"/>
      <c r="D58" s="270" t="s">
        <v>88</v>
      </c>
      <c r="E58" s="253" t="s">
        <v>71</v>
      </c>
      <c r="F58" s="253"/>
      <c r="G58" s="263"/>
      <c r="H58" s="273">
        <f t="shared" si="1"/>
        <v>25666.859113894199</v>
      </c>
      <c r="I58" s="265"/>
      <c r="J58" s="266"/>
      <c r="K58" s="266"/>
      <c r="L58" s="267"/>
      <c r="O58" s="268"/>
    </row>
    <row r="59" spans="2:18" s="241" customFormat="1">
      <c r="B59" s="333"/>
      <c r="C59" s="269"/>
      <c r="D59" s="270" t="s">
        <v>89</v>
      </c>
      <c r="E59" s="253" t="s">
        <v>71</v>
      </c>
      <c r="F59" s="253"/>
      <c r="G59" s="263"/>
      <c r="H59" s="273">
        <f t="shared" si="1"/>
        <v>25551.358247881701</v>
      </c>
      <c r="I59" s="265"/>
      <c r="J59" s="266"/>
      <c r="K59" s="266"/>
      <c r="L59" s="267"/>
      <c r="O59" s="268"/>
    </row>
    <row r="60" spans="2:18" s="241" customFormat="1">
      <c r="B60" s="333"/>
      <c r="C60" s="269"/>
      <c r="D60" s="270" t="s">
        <v>90</v>
      </c>
      <c r="E60" s="253" t="s">
        <v>71</v>
      </c>
      <c r="F60" s="253"/>
      <c r="G60" s="263"/>
      <c r="H60" s="273">
        <f t="shared" si="1"/>
        <v>25436.377135766201</v>
      </c>
      <c r="I60" s="265"/>
      <c r="J60" s="266"/>
      <c r="K60" s="266"/>
      <c r="L60" s="267"/>
      <c r="O60" s="268"/>
    </row>
    <row r="61" spans="2:18" s="241" customFormat="1">
      <c r="B61" s="333"/>
      <c r="C61" s="269"/>
      <c r="D61" s="270" t="s">
        <v>91</v>
      </c>
      <c r="E61" s="253" t="s">
        <v>71</v>
      </c>
      <c r="F61" s="253"/>
      <c r="G61" s="263"/>
      <c r="H61" s="273">
        <f t="shared" si="1"/>
        <v>25321.9134386552</v>
      </c>
      <c r="I61" s="265"/>
      <c r="J61" s="266"/>
      <c r="K61" s="266"/>
      <c r="L61" s="267"/>
      <c r="O61" s="268"/>
    </row>
    <row r="62" spans="2:18" s="241" customFormat="1">
      <c r="B62" s="333"/>
      <c r="C62" s="269"/>
      <c r="D62" s="270" t="s">
        <v>92</v>
      </c>
      <c r="E62" s="253" t="s">
        <v>71</v>
      </c>
      <c r="F62" s="253"/>
      <c r="G62" s="263"/>
      <c r="H62" s="273">
        <f t="shared" si="1"/>
        <v>25207.964828181299</v>
      </c>
      <c r="I62" s="265"/>
      <c r="J62" s="266"/>
      <c r="K62" s="266"/>
      <c r="L62" s="267"/>
      <c r="O62" s="268"/>
    </row>
    <row r="63" spans="2:18" s="241" customFormat="1">
      <c r="B63" s="333"/>
      <c r="C63" s="269"/>
      <c r="D63" s="270" t="s">
        <v>93</v>
      </c>
      <c r="E63" s="253" t="s">
        <v>71</v>
      </c>
      <c r="F63" s="253"/>
      <c r="G63" s="263"/>
      <c r="H63" s="273">
        <f t="shared" si="1"/>
        <v>25094.528986454501</v>
      </c>
      <c r="I63" s="265"/>
      <c r="J63" s="266"/>
      <c r="K63" s="266"/>
      <c r="L63" s="267"/>
      <c r="O63" s="268"/>
    </row>
    <row r="64" spans="2:18" s="241" customFormat="1">
      <c r="B64" s="333"/>
      <c r="C64" s="269"/>
      <c r="D64" s="270" t="s">
        <v>94</v>
      </c>
      <c r="E64" s="253" t="s">
        <v>71</v>
      </c>
      <c r="F64" s="253"/>
      <c r="G64" s="263"/>
      <c r="H64" s="273">
        <f t="shared" si="1"/>
        <v>24981.6036060154</v>
      </c>
      <c r="I64" s="265"/>
      <c r="J64" s="266"/>
      <c r="K64" s="266"/>
      <c r="L64" s="267"/>
      <c r="O64" s="268"/>
    </row>
    <row r="65" spans="2:15" s="241" customFormat="1">
      <c r="B65" s="333"/>
      <c r="C65" s="269"/>
      <c r="D65" s="270" t="s">
        <v>95</v>
      </c>
      <c r="E65" s="253" t="s">
        <v>71</v>
      </c>
      <c r="F65" s="253"/>
      <c r="G65" s="263"/>
      <c r="H65" s="273">
        <f t="shared" si="1"/>
        <v>24869.1863897884</v>
      </c>
      <c r="I65" s="265"/>
      <c r="J65" s="266"/>
      <c r="K65" s="266"/>
      <c r="L65" s="267"/>
      <c r="O65" s="268"/>
    </row>
    <row r="66" spans="2:15" s="241" customFormat="1">
      <c r="B66" s="333"/>
      <c r="C66" s="269"/>
      <c r="D66" s="270" t="s">
        <v>96</v>
      </c>
      <c r="E66" s="253" t="s">
        <v>71</v>
      </c>
      <c r="F66" s="253"/>
      <c r="G66" s="263"/>
      <c r="H66" s="273">
        <f t="shared" si="1"/>
        <v>24757.275051034299</v>
      </c>
      <c r="I66" s="265"/>
      <c r="J66" s="266"/>
      <c r="K66" s="266"/>
      <c r="L66" s="267"/>
      <c r="O66" s="268"/>
    </row>
    <row r="67" spans="2:15" s="241" customFormat="1">
      <c r="B67" s="333"/>
      <c r="C67" s="269"/>
      <c r="D67" s="270" t="s">
        <v>97</v>
      </c>
      <c r="E67" s="253" t="s">
        <v>71</v>
      </c>
      <c r="F67" s="253"/>
      <c r="G67" s="263"/>
      <c r="H67" s="273">
        <f t="shared" si="1"/>
        <v>24645.867313304701</v>
      </c>
      <c r="I67" s="265"/>
      <c r="J67" s="266"/>
      <c r="K67" s="266"/>
      <c r="L67" s="267"/>
      <c r="O67" s="268"/>
    </row>
    <row r="68" spans="2:15" s="241" customFormat="1">
      <c r="B68" s="333"/>
      <c r="C68" s="269"/>
      <c r="D68" s="270" t="s">
        <v>98</v>
      </c>
      <c r="E68" s="253" t="s">
        <v>71</v>
      </c>
      <c r="F68" s="253"/>
      <c r="G68" s="263"/>
      <c r="H68" s="273">
        <f t="shared" si="1"/>
        <v>24534.960910394799</v>
      </c>
      <c r="I68" s="265"/>
      <c r="J68" s="266"/>
      <c r="K68" s="266"/>
    </row>
    <row r="69" spans="2:15" s="241" customFormat="1">
      <c r="B69" s="333"/>
      <c r="C69" s="269"/>
      <c r="D69" s="270" t="s">
        <v>99</v>
      </c>
      <c r="E69" s="253" t="s">
        <v>71</v>
      </c>
      <c r="F69" s="253"/>
      <c r="G69" s="263"/>
      <c r="H69" s="273">
        <f t="shared" si="1"/>
        <v>24424.553586298</v>
      </c>
      <c r="I69" s="265"/>
      <c r="J69" s="266"/>
      <c r="K69" s="266"/>
    </row>
    <row r="70" spans="2:15" s="241" customFormat="1">
      <c r="B70" s="333"/>
      <c r="C70" s="269"/>
      <c r="D70" s="270" t="s">
        <v>100</v>
      </c>
      <c r="E70" s="253" t="s">
        <v>71</v>
      </c>
      <c r="F70" s="253"/>
      <c r="G70" s="263"/>
      <c r="H70" s="273">
        <f t="shared" si="1"/>
        <v>24314.643095159699</v>
      </c>
      <c r="I70" s="265"/>
      <c r="J70" s="266"/>
      <c r="K70" s="266"/>
    </row>
    <row r="71" spans="2:15" s="241" customFormat="1">
      <c r="B71" s="333"/>
      <c r="C71" s="269"/>
      <c r="D71" s="270" t="s">
        <v>101</v>
      </c>
      <c r="E71" s="253" t="s">
        <v>71</v>
      </c>
      <c r="F71" s="253"/>
      <c r="G71" s="263"/>
      <c r="H71" s="273">
        <f t="shared" si="1"/>
        <v>24205.227201231501</v>
      </c>
      <c r="I71" s="265"/>
      <c r="J71" s="266"/>
      <c r="K71" s="266"/>
    </row>
    <row r="72" spans="2:15">
      <c r="B72" s="333"/>
      <c r="C72" s="251"/>
      <c r="D72" s="252" t="s">
        <v>104</v>
      </c>
      <c r="E72" s="253"/>
      <c r="F72" s="253"/>
      <c r="G72" s="263"/>
      <c r="H72" s="274"/>
      <c r="I72" s="256"/>
      <c r="J72" s="257"/>
      <c r="K72" s="257"/>
      <c r="M72" s="275"/>
      <c r="N72" s="275"/>
      <c r="O72" s="275"/>
    </row>
    <row r="73" spans="2:15">
      <c r="B73" s="333"/>
      <c r="C73" s="276"/>
      <c r="D73" s="259" t="s">
        <v>77</v>
      </c>
      <c r="E73" s="253" t="s">
        <v>44</v>
      </c>
      <c r="F73" s="253"/>
      <c r="G73" s="263"/>
      <c r="H73" s="255">
        <v>0.33</v>
      </c>
      <c r="I73" s="256" t="s">
        <v>105</v>
      </c>
      <c r="J73" s="257"/>
      <c r="K73" s="257"/>
    </row>
    <row r="74" spans="2:15">
      <c r="B74" s="333"/>
      <c r="C74" s="276"/>
      <c r="D74" s="277" t="s">
        <v>106</v>
      </c>
      <c r="E74" s="253" t="s">
        <v>44</v>
      </c>
      <c r="F74" s="253"/>
      <c r="G74" s="263"/>
      <c r="H74" s="255"/>
      <c r="I74" s="256" t="s">
        <v>105</v>
      </c>
      <c r="J74" s="257"/>
      <c r="K74" s="257"/>
    </row>
    <row r="75" spans="2:15">
      <c r="B75" s="339"/>
      <c r="C75" s="276"/>
      <c r="D75" s="259" t="s">
        <v>101</v>
      </c>
      <c r="E75" s="253" t="s">
        <v>44</v>
      </c>
      <c r="F75" s="253"/>
      <c r="G75" s="263"/>
      <c r="H75" s="255">
        <f>H73</f>
        <v>0.33</v>
      </c>
      <c r="I75" s="256" t="s">
        <v>105</v>
      </c>
      <c r="J75" s="257"/>
      <c r="K75" s="257"/>
    </row>
    <row r="76" spans="2:15" s="241" customFormat="1" ht="41" customHeight="1">
      <c r="B76" s="333"/>
      <c r="C76" s="269"/>
      <c r="D76" s="278" t="s">
        <v>107</v>
      </c>
      <c r="E76" s="253"/>
      <c r="F76" s="253"/>
      <c r="G76" s="263"/>
      <c r="H76" s="279"/>
      <c r="I76" s="265"/>
      <c r="J76" s="266"/>
      <c r="K76" s="266"/>
    </row>
    <row r="77" spans="2:15" ht="20" customHeight="1">
      <c r="B77" s="333"/>
      <c r="C77" s="251"/>
      <c r="D77" s="270" t="s">
        <v>77</v>
      </c>
      <c r="E77" s="253" t="s">
        <v>44</v>
      </c>
      <c r="F77" s="253"/>
      <c r="G77" s="263"/>
      <c r="H77" s="272">
        <f>50%</f>
        <v>0.5</v>
      </c>
      <c r="I77" s="265" t="s">
        <v>51</v>
      </c>
      <c r="J77" s="257"/>
      <c r="K77" s="257"/>
    </row>
    <row r="78" spans="2:15" ht="20" customHeight="1">
      <c r="B78" s="333"/>
      <c r="C78" s="251"/>
      <c r="D78" s="270" t="s">
        <v>78</v>
      </c>
      <c r="E78" s="253" t="s">
        <v>44</v>
      </c>
      <c r="F78" s="253"/>
      <c r="G78" s="263"/>
      <c r="H78" s="272">
        <f>50%</f>
        <v>0.5</v>
      </c>
      <c r="I78" s="265" t="s">
        <v>51</v>
      </c>
      <c r="J78" s="257"/>
      <c r="K78" s="257"/>
    </row>
    <row r="79" spans="2:15" ht="20" customHeight="1">
      <c r="B79" s="333"/>
      <c r="C79" s="251"/>
      <c r="D79" s="270" t="s">
        <v>79</v>
      </c>
      <c r="E79" s="253" t="s">
        <v>44</v>
      </c>
      <c r="F79" s="253"/>
      <c r="G79" s="263"/>
      <c r="H79" s="272">
        <f>50%</f>
        <v>0.5</v>
      </c>
      <c r="I79" s="265" t="s">
        <v>51</v>
      </c>
      <c r="J79" s="257"/>
      <c r="K79" s="257"/>
    </row>
    <row r="80" spans="2:15" ht="20" customHeight="1">
      <c r="B80" s="333"/>
      <c r="C80" s="251"/>
      <c r="D80" s="270" t="s">
        <v>80</v>
      </c>
      <c r="E80" s="253" t="s">
        <v>44</v>
      </c>
      <c r="F80" s="253"/>
      <c r="G80" s="263"/>
      <c r="H80" s="272">
        <f>50%</f>
        <v>0.5</v>
      </c>
      <c r="I80" s="265" t="s">
        <v>51</v>
      </c>
      <c r="J80" s="257"/>
      <c r="K80" s="257"/>
    </row>
    <row r="81" spans="2:11" ht="20" customHeight="1">
      <c r="B81" s="333"/>
      <c r="C81" s="251"/>
      <c r="D81" s="270" t="s">
        <v>81</v>
      </c>
      <c r="E81" s="253" t="s">
        <v>44</v>
      </c>
      <c r="F81" s="253"/>
      <c r="G81" s="263"/>
      <c r="H81" s="272">
        <f>50%</f>
        <v>0.5</v>
      </c>
      <c r="I81" s="265" t="s">
        <v>51</v>
      </c>
      <c r="J81" s="257"/>
      <c r="K81" s="257"/>
    </row>
    <row r="82" spans="2:11" ht="20" customHeight="1">
      <c r="B82" s="333"/>
      <c r="C82" s="251"/>
      <c r="D82" s="270" t="s">
        <v>82</v>
      </c>
      <c r="E82" s="253" t="s">
        <v>44</v>
      </c>
      <c r="F82" s="253"/>
      <c r="G82" s="263"/>
      <c r="H82" s="272">
        <f>70%</f>
        <v>0.7</v>
      </c>
      <c r="I82" s="265" t="s">
        <v>51</v>
      </c>
      <c r="J82" s="257"/>
      <c r="K82" s="257"/>
    </row>
    <row r="83" spans="2:11" ht="20" customHeight="1">
      <c r="B83" s="333"/>
      <c r="C83" s="251"/>
      <c r="D83" s="270" t="s">
        <v>83</v>
      </c>
      <c r="E83" s="253" t="s">
        <v>44</v>
      </c>
      <c r="F83" s="253"/>
      <c r="G83" s="263"/>
      <c r="H83" s="272">
        <f t="shared" ref="H83:H92" si="2">70%</f>
        <v>0.7</v>
      </c>
      <c r="I83" s="265" t="s">
        <v>51</v>
      </c>
      <c r="J83" s="257"/>
      <c r="K83" s="257"/>
    </row>
    <row r="84" spans="2:11" ht="20" customHeight="1">
      <c r="B84" s="333"/>
      <c r="C84" s="251"/>
      <c r="D84" s="270" t="s">
        <v>84</v>
      </c>
      <c r="E84" s="253" t="s">
        <v>44</v>
      </c>
      <c r="F84" s="253"/>
      <c r="G84" s="263"/>
      <c r="H84" s="272">
        <f t="shared" si="2"/>
        <v>0.7</v>
      </c>
      <c r="I84" s="265" t="s">
        <v>51</v>
      </c>
      <c r="J84" s="257"/>
      <c r="K84" s="257"/>
    </row>
    <row r="85" spans="2:11" ht="20" customHeight="1">
      <c r="B85" s="333"/>
      <c r="C85" s="251"/>
      <c r="D85" s="270" t="s">
        <v>85</v>
      </c>
      <c r="E85" s="253" t="s">
        <v>44</v>
      </c>
      <c r="F85" s="253"/>
      <c r="G85" s="263"/>
      <c r="H85" s="272">
        <f t="shared" si="2"/>
        <v>0.7</v>
      </c>
      <c r="I85" s="265" t="s">
        <v>51</v>
      </c>
      <c r="J85" s="257"/>
      <c r="K85" s="257"/>
    </row>
    <row r="86" spans="2:11" ht="20" customHeight="1">
      <c r="B86" s="333"/>
      <c r="C86" s="251"/>
      <c r="D86" s="270" t="s">
        <v>86</v>
      </c>
      <c r="E86" s="253" t="s">
        <v>44</v>
      </c>
      <c r="F86" s="253"/>
      <c r="G86" s="263"/>
      <c r="H86" s="272">
        <f t="shared" si="2"/>
        <v>0.7</v>
      </c>
      <c r="I86" s="265" t="s">
        <v>51</v>
      </c>
      <c r="J86" s="257"/>
      <c r="K86" s="257"/>
    </row>
    <row r="87" spans="2:11" ht="20" customHeight="1">
      <c r="B87" s="333"/>
      <c r="C87" s="251"/>
      <c r="D87" s="270" t="s">
        <v>87</v>
      </c>
      <c r="E87" s="253" t="s">
        <v>44</v>
      </c>
      <c r="F87" s="253"/>
      <c r="G87" s="263"/>
      <c r="H87" s="272">
        <f t="shared" si="2"/>
        <v>0.7</v>
      </c>
      <c r="I87" s="265" t="s">
        <v>51</v>
      </c>
      <c r="J87" s="257"/>
      <c r="K87" s="257"/>
    </row>
    <row r="88" spans="2:11" ht="20" customHeight="1">
      <c r="B88" s="333"/>
      <c r="C88" s="251"/>
      <c r="D88" s="270" t="s">
        <v>88</v>
      </c>
      <c r="E88" s="253" t="s">
        <v>44</v>
      </c>
      <c r="F88" s="253"/>
      <c r="G88" s="263"/>
      <c r="H88" s="272">
        <f t="shared" si="2"/>
        <v>0.7</v>
      </c>
      <c r="I88" s="265" t="s">
        <v>51</v>
      </c>
      <c r="J88" s="257"/>
      <c r="K88" s="257"/>
    </row>
    <row r="89" spans="2:11" ht="20" customHeight="1">
      <c r="B89" s="333"/>
      <c r="C89" s="251"/>
      <c r="D89" s="270" t="s">
        <v>89</v>
      </c>
      <c r="E89" s="253" t="s">
        <v>44</v>
      </c>
      <c r="F89" s="253"/>
      <c r="G89" s="263"/>
      <c r="H89" s="272">
        <f t="shared" si="2"/>
        <v>0.7</v>
      </c>
      <c r="I89" s="265" t="s">
        <v>51</v>
      </c>
      <c r="J89" s="257"/>
      <c r="K89" s="257"/>
    </row>
    <row r="90" spans="2:11" ht="20" customHeight="1">
      <c r="B90" s="333"/>
      <c r="C90" s="251"/>
      <c r="D90" s="270" t="s">
        <v>90</v>
      </c>
      <c r="E90" s="253" t="s">
        <v>44</v>
      </c>
      <c r="F90" s="253"/>
      <c r="G90" s="263"/>
      <c r="H90" s="272">
        <f t="shared" si="2"/>
        <v>0.7</v>
      </c>
      <c r="I90" s="265" t="s">
        <v>51</v>
      </c>
      <c r="J90" s="257"/>
      <c r="K90" s="257"/>
    </row>
    <row r="91" spans="2:11" ht="20" customHeight="1">
      <c r="B91" s="333"/>
      <c r="C91" s="251"/>
      <c r="D91" s="270" t="s">
        <v>91</v>
      </c>
      <c r="E91" s="253" t="s">
        <v>44</v>
      </c>
      <c r="F91" s="253"/>
      <c r="G91" s="263"/>
      <c r="H91" s="272">
        <f t="shared" si="2"/>
        <v>0.7</v>
      </c>
      <c r="I91" s="265" t="s">
        <v>51</v>
      </c>
      <c r="J91" s="257"/>
      <c r="K91" s="257"/>
    </row>
    <row r="92" spans="2:11" ht="20" customHeight="1">
      <c r="B92" s="333"/>
      <c r="C92" s="251"/>
      <c r="D92" s="270" t="s">
        <v>92</v>
      </c>
      <c r="E92" s="253" t="s">
        <v>44</v>
      </c>
      <c r="F92" s="253"/>
      <c r="G92" s="263"/>
      <c r="H92" s="272">
        <f t="shared" si="2"/>
        <v>0.7</v>
      </c>
      <c r="I92" s="265" t="s">
        <v>51</v>
      </c>
      <c r="J92" s="257"/>
      <c r="K92" s="257"/>
    </row>
    <row r="93" spans="2:11" ht="20" customHeight="1">
      <c r="B93" s="333"/>
      <c r="C93" s="251"/>
      <c r="D93" s="270" t="s">
        <v>93</v>
      </c>
      <c r="E93" s="253" t="s">
        <v>44</v>
      </c>
      <c r="F93" s="253"/>
      <c r="G93" s="263"/>
      <c r="H93" s="272">
        <f t="shared" ref="H93:H101" si="3">70%</f>
        <v>0.7</v>
      </c>
      <c r="I93" s="265" t="s">
        <v>51</v>
      </c>
      <c r="J93" s="257"/>
      <c r="K93" s="257"/>
    </row>
    <row r="94" spans="2:11" ht="20" customHeight="1">
      <c r="B94" s="333"/>
      <c r="C94" s="251"/>
      <c r="D94" s="270" t="s">
        <v>94</v>
      </c>
      <c r="E94" s="253" t="s">
        <v>44</v>
      </c>
      <c r="F94" s="253"/>
      <c r="G94" s="263"/>
      <c r="H94" s="272">
        <f t="shared" si="3"/>
        <v>0.7</v>
      </c>
      <c r="I94" s="265" t="s">
        <v>51</v>
      </c>
      <c r="J94" s="257"/>
      <c r="K94" s="257"/>
    </row>
    <row r="95" spans="2:11" ht="20" customHeight="1">
      <c r="B95" s="333"/>
      <c r="C95" s="251"/>
      <c r="D95" s="270" t="s">
        <v>95</v>
      </c>
      <c r="E95" s="253" t="s">
        <v>44</v>
      </c>
      <c r="F95" s="253"/>
      <c r="G95" s="263"/>
      <c r="H95" s="272">
        <f t="shared" si="3"/>
        <v>0.7</v>
      </c>
      <c r="I95" s="265" t="s">
        <v>51</v>
      </c>
      <c r="J95" s="257"/>
      <c r="K95" s="257"/>
    </row>
    <row r="96" spans="2:11" ht="20" customHeight="1">
      <c r="B96" s="333"/>
      <c r="C96" s="251"/>
      <c r="D96" s="270" t="s">
        <v>96</v>
      </c>
      <c r="E96" s="253" t="s">
        <v>44</v>
      </c>
      <c r="F96" s="253"/>
      <c r="G96" s="263"/>
      <c r="H96" s="272">
        <f t="shared" si="3"/>
        <v>0.7</v>
      </c>
      <c r="I96" s="265" t="s">
        <v>51</v>
      </c>
      <c r="J96" s="257"/>
      <c r="K96" s="257"/>
    </row>
    <row r="97" spans="2:11" ht="20" customHeight="1">
      <c r="B97" s="333"/>
      <c r="C97" s="251"/>
      <c r="D97" s="270" t="s">
        <v>97</v>
      </c>
      <c r="E97" s="253" t="s">
        <v>44</v>
      </c>
      <c r="F97" s="253"/>
      <c r="G97" s="263"/>
      <c r="H97" s="272">
        <f t="shared" si="3"/>
        <v>0.7</v>
      </c>
      <c r="I97" s="265" t="s">
        <v>51</v>
      </c>
      <c r="J97" s="257"/>
      <c r="K97" s="257"/>
    </row>
    <row r="98" spans="2:11" ht="20" customHeight="1">
      <c r="B98" s="333"/>
      <c r="C98" s="251"/>
      <c r="D98" s="270" t="s">
        <v>98</v>
      </c>
      <c r="E98" s="253" t="s">
        <v>44</v>
      </c>
      <c r="F98" s="253"/>
      <c r="G98" s="263"/>
      <c r="H98" s="272">
        <f t="shared" si="3"/>
        <v>0.7</v>
      </c>
      <c r="I98" s="265" t="s">
        <v>51</v>
      </c>
      <c r="J98" s="257"/>
      <c r="K98" s="257"/>
    </row>
    <row r="99" spans="2:11" ht="20" customHeight="1">
      <c r="B99" s="333"/>
      <c r="C99" s="251"/>
      <c r="D99" s="270" t="s">
        <v>99</v>
      </c>
      <c r="E99" s="253" t="s">
        <v>44</v>
      </c>
      <c r="F99" s="253"/>
      <c r="G99" s="263"/>
      <c r="H99" s="272">
        <f t="shared" si="3"/>
        <v>0.7</v>
      </c>
      <c r="I99" s="265" t="s">
        <v>51</v>
      </c>
      <c r="J99" s="257"/>
      <c r="K99" s="257"/>
    </row>
    <row r="100" spans="2:11" ht="20" customHeight="1">
      <c r="B100" s="333"/>
      <c r="C100" s="251"/>
      <c r="D100" s="270" t="s">
        <v>100</v>
      </c>
      <c r="E100" s="253" t="s">
        <v>44</v>
      </c>
      <c r="F100" s="253"/>
      <c r="G100" s="263"/>
      <c r="H100" s="272">
        <f t="shared" si="3"/>
        <v>0.7</v>
      </c>
      <c r="I100" s="265" t="s">
        <v>51</v>
      </c>
      <c r="J100" s="257"/>
      <c r="K100" s="257"/>
    </row>
    <row r="101" spans="2:11" ht="20" customHeight="1">
      <c r="B101" s="333"/>
      <c r="C101" s="251"/>
      <c r="D101" s="270" t="s">
        <v>101</v>
      </c>
      <c r="E101" s="253" t="s">
        <v>44</v>
      </c>
      <c r="F101" s="253"/>
      <c r="G101" s="263"/>
      <c r="H101" s="272">
        <f t="shared" si="3"/>
        <v>0.7</v>
      </c>
      <c r="I101" s="265" t="s">
        <v>51</v>
      </c>
      <c r="J101" s="257"/>
      <c r="K101" s="257"/>
    </row>
    <row r="102" spans="2:11" ht="25" customHeight="1">
      <c r="B102" s="333"/>
      <c r="C102" s="251"/>
      <c r="D102" s="280" t="s">
        <v>108</v>
      </c>
      <c r="E102" s="253"/>
      <c r="F102" s="253"/>
      <c r="G102" s="263"/>
      <c r="H102" s="264"/>
      <c r="I102" s="265"/>
      <c r="J102" s="257"/>
      <c r="K102" s="257"/>
    </row>
    <row r="103" spans="2:11">
      <c r="B103" s="333"/>
      <c r="C103" s="276"/>
      <c r="D103" s="259" t="s">
        <v>77</v>
      </c>
      <c r="E103" s="253" t="s">
        <v>44</v>
      </c>
      <c r="F103" s="253"/>
      <c r="G103" s="263"/>
      <c r="H103" s="255">
        <v>0.4</v>
      </c>
      <c r="I103" s="256" t="s">
        <v>105</v>
      </c>
      <c r="J103" s="257"/>
      <c r="K103" s="257"/>
    </row>
    <row r="104" spans="2:11">
      <c r="B104" s="333"/>
      <c r="C104" s="276"/>
      <c r="D104" s="277" t="s">
        <v>106</v>
      </c>
      <c r="E104" s="253" t="s">
        <v>44</v>
      </c>
      <c r="F104" s="253"/>
      <c r="G104" s="263"/>
      <c r="H104" s="255"/>
      <c r="I104" s="256" t="s">
        <v>105</v>
      </c>
      <c r="J104" s="257"/>
      <c r="K104" s="257"/>
    </row>
    <row r="105" spans="2:11">
      <c r="B105" s="339"/>
      <c r="C105" s="276"/>
      <c r="D105" s="259" t="s">
        <v>101</v>
      </c>
      <c r="E105" s="253" t="s">
        <v>44</v>
      </c>
      <c r="F105" s="253"/>
      <c r="G105" s="263"/>
      <c r="H105" s="255">
        <f>H103</f>
        <v>0.4</v>
      </c>
      <c r="I105" s="256" t="s">
        <v>105</v>
      </c>
      <c r="J105" s="257"/>
      <c r="K105" s="257"/>
    </row>
    <row r="106" spans="2:11" ht="28">
      <c r="B106" s="332" t="s">
        <v>13</v>
      </c>
      <c r="C106" s="251">
        <v>1</v>
      </c>
      <c r="D106" s="252" t="s">
        <v>19</v>
      </c>
      <c r="E106" s="253" t="s">
        <v>109</v>
      </c>
      <c r="F106" s="253"/>
      <c r="G106" s="254" t="s">
        <v>110</v>
      </c>
      <c r="H106" s="282">
        <v>15000</v>
      </c>
      <c r="I106" s="256" t="s">
        <v>111</v>
      </c>
      <c r="J106" s="257"/>
      <c r="K106" s="257"/>
    </row>
    <row r="107" spans="2:11" ht="28">
      <c r="B107" s="333"/>
      <c r="C107" s="251">
        <v>2</v>
      </c>
      <c r="D107" s="252" t="s">
        <v>20</v>
      </c>
      <c r="E107" s="253" t="s">
        <v>109</v>
      </c>
      <c r="F107" s="253"/>
      <c r="G107" s="254" t="s">
        <v>110</v>
      </c>
      <c r="H107" s="282">
        <v>4000</v>
      </c>
      <c r="I107" s="256" t="s">
        <v>111</v>
      </c>
      <c r="J107" s="257"/>
      <c r="K107" s="257"/>
    </row>
    <row r="108" spans="2:11" ht="28">
      <c r="B108" s="333"/>
      <c r="C108" s="251">
        <v>3</v>
      </c>
      <c r="D108" s="252" t="s">
        <v>21</v>
      </c>
      <c r="E108" s="253" t="s">
        <v>109</v>
      </c>
      <c r="F108" s="253"/>
      <c r="G108" s="254" t="s">
        <v>110</v>
      </c>
      <c r="H108" s="282">
        <v>4000</v>
      </c>
      <c r="I108" s="256" t="s">
        <v>111</v>
      </c>
      <c r="J108" s="257"/>
      <c r="K108" s="257"/>
    </row>
    <row r="109" spans="2:11" ht="28">
      <c r="B109" s="333"/>
      <c r="C109" s="251">
        <v>4</v>
      </c>
      <c r="D109" s="252" t="s">
        <v>22</v>
      </c>
      <c r="E109" s="253" t="s">
        <v>109</v>
      </c>
      <c r="F109" s="253"/>
      <c r="G109" s="254" t="s">
        <v>110</v>
      </c>
      <c r="H109" s="282">
        <v>400</v>
      </c>
      <c r="I109" s="256" t="s">
        <v>111</v>
      </c>
      <c r="J109" s="257"/>
      <c r="K109" s="257"/>
    </row>
    <row r="110" spans="2:11" ht="28">
      <c r="B110" s="333"/>
      <c r="C110" s="251">
        <v>5</v>
      </c>
      <c r="D110" s="252" t="s">
        <v>23</v>
      </c>
      <c r="E110" s="253" t="s">
        <v>109</v>
      </c>
      <c r="F110" s="253"/>
      <c r="G110" s="254" t="s">
        <v>110</v>
      </c>
      <c r="H110" s="282">
        <v>500</v>
      </c>
      <c r="I110" s="256" t="s">
        <v>111</v>
      </c>
      <c r="J110" s="257"/>
      <c r="K110" s="257"/>
    </row>
    <row r="111" spans="2:11" ht="28">
      <c r="B111" s="333"/>
      <c r="C111" s="251">
        <v>6</v>
      </c>
      <c r="D111" s="252" t="s">
        <v>24</v>
      </c>
      <c r="E111" s="253" t="s">
        <v>109</v>
      </c>
      <c r="F111" s="253"/>
      <c r="G111" s="254" t="s">
        <v>110</v>
      </c>
      <c r="H111" s="282">
        <v>2800</v>
      </c>
      <c r="I111" s="256" t="s">
        <v>111</v>
      </c>
      <c r="J111" s="257"/>
      <c r="K111" s="257"/>
    </row>
    <row r="112" spans="2:11" ht="28">
      <c r="B112" s="333"/>
      <c r="C112" s="251">
        <v>7</v>
      </c>
      <c r="D112" s="252" t="s">
        <v>25</v>
      </c>
      <c r="E112" s="253" t="s">
        <v>109</v>
      </c>
      <c r="F112" s="253"/>
      <c r="G112" s="254" t="s">
        <v>110</v>
      </c>
      <c r="H112" s="282">
        <v>0</v>
      </c>
      <c r="I112" s="256" t="s">
        <v>111</v>
      </c>
      <c r="J112" s="257"/>
      <c r="K112" s="257"/>
    </row>
    <row r="113" spans="2:11" s="241" customFormat="1">
      <c r="B113" s="333"/>
      <c r="C113" s="261">
        <v>8</v>
      </c>
      <c r="D113" s="262" t="s">
        <v>112</v>
      </c>
      <c r="E113" s="253" t="s">
        <v>71</v>
      </c>
      <c r="F113" s="253"/>
      <c r="G113" s="283" t="s">
        <v>113</v>
      </c>
      <c r="H113" s="284">
        <f>SUM(H106:H112)</f>
        <v>26700</v>
      </c>
      <c r="I113" s="265" t="s">
        <v>111</v>
      </c>
      <c r="J113" s="283"/>
      <c r="K113" s="266"/>
    </row>
    <row r="114" spans="2:11" s="241" customFormat="1" ht="28">
      <c r="B114" s="333"/>
      <c r="C114" s="261">
        <v>9</v>
      </c>
      <c r="D114" s="262" t="s">
        <v>114</v>
      </c>
      <c r="E114" s="253" t="s">
        <v>71</v>
      </c>
      <c r="F114" s="253"/>
      <c r="G114" s="283" t="s">
        <v>115</v>
      </c>
      <c r="H114" s="284">
        <f>H113-H121</f>
        <v>26700</v>
      </c>
      <c r="I114" s="265" t="s">
        <v>111</v>
      </c>
      <c r="J114" s="283"/>
      <c r="K114" s="266"/>
    </row>
    <row r="115" spans="2:11" s="241" customFormat="1" ht="28">
      <c r="B115" s="333"/>
      <c r="C115" s="261">
        <v>10</v>
      </c>
      <c r="D115" s="262" t="s">
        <v>27</v>
      </c>
      <c r="E115" s="253" t="s">
        <v>71</v>
      </c>
      <c r="F115" s="253"/>
      <c r="G115" s="283" t="s">
        <v>116</v>
      </c>
      <c r="H115" s="284">
        <f ca="1">'表1-资金筹措及还本付息表'!D17</f>
        <v>383.1008369868473</v>
      </c>
      <c r="I115" s="265" t="s">
        <v>111</v>
      </c>
      <c r="J115" s="283"/>
      <c r="K115" s="266"/>
    </row>
    <row r="116" spans="2:11" s="241" customFormat="1" ht="28">
      <c r="B116" s="333"/>
      <c r="C116" s="261">
        <v>11</v>
      </c>
      <c r="D116" s="262" t="s">
        <v>117</v>
      </c>
      <c r="E116" s="253" t="s">
        <v>71</v>
      </c>
      <c r="F116" s="253"/>
      <c r="G116" s="283" t="s">
        <v>118</v>
      </c>
      <c r="H116" s="284">
        <f ca="1">H113+H115</f>
        <v>27083.100836986847</v>
      </c>
      <c r="I116" s="265" t="s">
        <v>111</v>
      </c>
      <c r="J116" s="283"/>
      <c r="K116" s="266"/>
    </row>
    <row r="117" spans="2:11" s="241" customFormat="1" ht="42">
      <c r="B117" s="333"/>
      <c r="C117" s="261">
        <v>12</v>
      </c>
      <c r="D117" s="262" t="s">
        <v>119</v>
      </c>
      <c r="E117" s="253" t="s">
        <v>71</v>
      </c>
      <c r="F117" s="253"/>
      <c r="G117" s="283" t="s">
        <v>120</v>
      </c>
      <c r="H117" s="284">
        <f ca="1">H114+H115</f>
        <v>27083.100836986847</v>
      </c>
      <c r="I117" s="265" t="s">
        <v>111</v>
      </c>
      <c r="J117" s="283"/>
      <c r="K117" s="266"/>
    </row>
    <row r="118" spans="2:11" s="241" customFormat="1">
      <c r="B118" s="333"/>
      <c r="C118" s="261">
        <v>13</v>
      </c>
      <c r="D118" s="262" t="s">
        <v>29</v>
      </c>
      <c r="E118" s="253" t="s">
        <v>121</v>
      </c>
      <c r="F118" s="253"/>
      <c r="G118" s="266" t="s">
        <v>122</v>
      </c>
      <c r="H118" s="284">
        <f>H119*H13*1000/10000</f>
        <v>240</v>
      </c>
      <c r="I118" s="265" t="s">
        <v>111</v>
      </c>
      <c r="J118" s="283" t="s">
        <v>123</v>
      </c>
      <c r="K118" s="266"/>
    </row>
    <row r="119" spans="2:11" s="241" customFormat="1">
      <c r="B119" s="333"/>
      <c r="C119" s="261"/>
      <c r="D119" s="270" t="s">
        <v>124</v>
      </c>
      <c r="E119" s="253" t="s">
        <v>44</v>
      </c>
      <c r="F119" s="253"/>
      <c r="G119" s="266" t="s">
        <v>125</v>
      </c>
      <c r="H119" s="284">
        <v>30</v>
      </c>
      <c r="I119" s="265" t="s">
        <v>126</v>
      </c>
      <c r="J119" s="283"/>
      <c r="K119" s="266"/>
    </row>
    <row r="120" spans="2:11" s="241" customFormat="1" ht="28">
      <c r="B120" s="333"/>
      <c r="C120" s="261">
        <v>14</v>
      </c>
      <c r="D120" s="262" t="s">
        <v>30</v>
      </c>
      <c r="E120" s="253" t="s">
        <v>71</v>
      </c>
      <c r="F120" s="253"/>
      <c r="G120" s="283"/>
      <c r="H120" s="284">
        <f>可抵扣进项税!E14</f>
        <v>2571.0688249558398</v>
      </c>
      <c r="I120" s="265" t="s">
        <v>111</v>
      </c>
      <c r="J120" s="283" t="s">
        <v>127</v>
      </c>
      <c r="K120" s="266"/>
    </row>
    <row r="121" spans="2:11" s="241" customFormat="1">
      <c r="B121" s="339"/>
      <c r="C121" s="261">
        <v>15</v>
      </c>
      <c r="D121" s="262" t="s">
        <v>128</v>
      </c>
      <c r="E121" s="253" t="s">
        <v>44</v>
      </c>
      <c r="F121" s="253"/>
      <c r="G121" s="283"/>
      <c r="H121" s="284">
        <v>0</v>
      </c>
      <c r="I121" s="265" t="s">
        <v>111</v>
      </c>
      <c r="J121" s="283"/>
      <c r="K121" s="266"/>
    </row>
    <row r="122" spans="2:11" s="241" customFormat="1">
      <c r="B122" s="340" t="s">
        <v>129</v>
      </c>
      <c r="C122" s="261">
        <v>1</v>
      </c>
      <c r="D122" s="262" t="s">
        <v>130</v>
      </c>
      <c r="E122" s="253" t="s">
        <v>44</v>
      </c>
      <c r="F122" s="253"/>
      <c r="G122" s="283"/>
      <c r="H122" s="271">
        <v>0.2</v>
      </c>
      <c r="I122" s="265" t="s">
        <v>51</v>
      </c>
      <c r="J122" s="283" t="s">
        <v>131</v>
      </c>
      <c r="K122" s="266"/>
    </row>
    <row r="123" spans="2:11" s="241" customFormat="1" ht="28">
      <c r="B123" s="340"/>
      <c r="C123" s="261"/>
      <c r="D123" s="286" t="s">
        <v>132</v>
      </c>
      <c r="E123" s="253" t="s">
        <v>71</v>
      </c>
      <c r="F123" s="253"/>
      <c r="G123" s="283" t="s">
        <v>133</v>
      </c>
      <c r="H123" s="284">
        <f ca="1">'表1-资金筹措及还本付息表'!D11</f>
        <v>5488.6201673973701</v>
      </c>
      <c r="I123" s="265" t="s">
        <v>111</v>
      </c>
      <c r="J123" s="283"/>
      <c r="K123" s="266"/>
    </row>
    <row r="124" spans="2:11" s="241" customFormat="1">
      <c r="B124" s="340"/>
      <c r="C124" s="287">
        <v>2</v>
      </c>
      <c r="D124" s="262" t="s">
        <v>134</v>
      </c>
      <c r="E124" s="253" t="s">
        <v>44</v>
      </c>
      <c r="F124" s="253"/>
      <c r="G124" s="283"/>
      <c r="H124" s="264">
        <v>1</v>
      </c>
      <c r="I124" s="265" t="s">
        <v>49</v>
      </c>
      <c r="J124" s="283" t="s">
        <v>135</v>
      </c>
      <c r="K124" s="266"/>
    </row>
    <row r="125" spans="2:11" s="241" customFormat="1" ht="27" customHeight="1">
      <c r="B125" s="340"/>
      <c r="C125" s="287">
        <v>3</v>
      </c>
      <c r="D125" s="262" t="s">
        <v>136</v>
      </c>
      <c r="E125" s="253" t="s">
        <v>44</v>
      </c>
      <c r="F125" s="253"/>
      <c r="G125" s="283"/>
      <c r="H125" s="272">
        <v>3.5999999999999997E-2</v>
      </c>
      <c r="I125" s="265" t="s">
        <v>51</v>
      </c>
      <c r="J125" s="283" t="s">
        <v>137</v>
      </c>
      <c r="K125" s="266"/>
    </row>
    <row r="126" spans="2:11" s="241" customFormat="1" ht="28">
      <c r="B126" s="340"/>
      <c r="C126" s="287">
        <v>4</v>
      </c>
      <c r="D126" s="262" t="s">
        <v>138</v>
      </c>
      <c r="E126" s="253" t="s">
        <v>44</v>
      </c>
      <c r="F126" s="253"/>
      <c r="G126" s="283"/>
      <c r="H126" s="272">
        <v>3.5999999999999997E-2</v>
      </c>
      <c r="I126" s="265" t="s">
        <v>51</v>
      </c>
      <c r="J126" s="283" t="s">
        <v>139</v>
      </c>
      <c r="K126" s="266"/>
    </row>
    <row r="127" spans="2:11" s="241" customFormat="1" ht="28">
      <c r="B127" s="340"/>
      <c r="C127" s="287">
        <v>5</v>
      </c>
      <c r="D127" s="262" t="s">
        <v>140</v>
      </c>
      <c r="E127" s="253" t="s">
        <v>44</v>
      </c>
      <c r="F127" s="253"/>
      <c r="G127" s="283"/>
      <c r="H127" s="272">
        <v>3.1E-2</v>
      </c>
      <c r="I127" s="265" t="s">
        <v>51</v>
      </c>
      <c r="J127" s="283" t="s">
        <v>139</v>
      </c>
      <c r="K127" s="266"/>
    </row>
    <row r="128" spans="2:11" s="241" customFormat="1">
      <c r="B128" s="340"/>
      <c r="C128" s="287">
        <v>6</v>
      </c>
      <c r="D128" s="262" t="s">
        <v>141</v>
      </c>
      <c r="E128" s="253" t="s">
        <v>58</v>
      </c>
      <c r="F128" s="253"/>
      <c r="G128" s="283" t="s">
        <v>142</v>
      </c>
      <c r="H128" s="264"/>
      <c r="I128" s="265"/>
      <c r="J128" s="283"/>
      <c r="K128" s="266"/>
    </row>
    <row r="129" spans="2:11" s="241" customFormat="1">
      <c r="B129" s="340"/>
      <c r="C129" s="287">
        <v>7</v>
      </c>
      <c r="D129" s="262" t="s">
        <v>143</v>
      </c>
      <c r="E129" s="253" t="s">
        <v>44</v>
      </c>
      <c r="F129" s="253"/>
      <c r="G129" s="283"/>
      <c r="H129" s="264">
        <v>15</v>
      </c>
      <c r="I129" s="265" t="s">
        <v>55</v>
      </c>
      <c r="J129" s="283" t="s">
        <v>144</v>
      </c>
      <c r="K129" s="266"/>
    </row>
    <row r="130" spans="2:11" s="241" customFormat="1">
      <c r="B130" s="340"/>
      <c r="C130" s="287">
        <v>8</v>
      </c>
      <c r="D130" s="262" t="s">
        <v>145</v>
      </c>
      <c r="E130" s="253" t="s">
        <v>44</v>
      </c>
      <c r="F130" s="253"/>
      <c r="G130" s="283"/>
      <c r="H130" s="271">
        <v>0.3</v>
      </c>
      <c r="I130" s="265" t="s">
        <v>51</v>
      </c>
      <c r="J130" s="283"/>
      <c r="K130" s="266"/>
    </row>
    <row r="131" spans="2:11" s="241" customFormat="1">
      <c r="B131" s="340"/>
      <c r="C131" s="287">
        <v>9</v>
      </c>
      <c r="D131" s="288" t="s">
        <v>146</v>
      </c>
      <c r="E131" s="253" t="s">
        <v>44</v>
      </c>
      <c r="F131" s="253"/>
      <c r="G131" s="283"/>
      <c r="H131" s="264">
        <v>10000</v>
      </c>
      <c r="I131" s="253" t="s">
        <v>111</v>
      </c>
      <c r="J131" s="283"/>
      <c r="K131" s="266"/>
    </row>
    <row r="132" spans="2:11" s="241" customFormat="1">
      <c r="B132" s="340"/>
      <c r="C132" s="287">
        <v>10</v>
      </c>
      <c r="D132" s="288" t="s">
        <v>147</v>
      </c>
      <c r="E132" s="253"/>
      <c r="F132" s="253"/>
      <c r="G132" s="263"/>
      <c r="H132" s="264"/>
      <c r="I132" s="253"/>
      <c r="J132" s="283"/>
      <c r="K132" s="266"/>
    </row>
    <row r="133" spans="2:11" s="241" customFormat="1">
      <c r="B133" s="340"/>
      <c r="C133" s="265"/>
      <c r="D133" s="270" t="s">
        <v>148</v>
      </c>
      <c r="E133" s="253" t="s">
        <v>71</v>
      </c>
      <c r="F133" s="253"/>
      <c r="G133" s="263"/>
      <c r="H133" s="264">
        <f>H131*50%</f>
        <v>5000</v>
      </c>
      <c r="I133" s="253" t="s">
        <v>111</v>
      </c>
      <c r="J133" s="283" t="s">
        <v>149</v>
      </c>
      <c r="K133" s="266"/>
    </row>
    <row r="134" spans="2:11">
      <c r="B134" s="340"/>
      <c r="C134" s="289"/>
      <c r="D134" s="259" t="s">
        <v>150</v>
      </c>
      <c r="E134" s="253" t="s">
        <v>151</v>
      </c>
      <c r="F134" s="253"/>
      <c r="G134" s="263"/>
      <c r="H134" s="260">
        <v>0.1</v>
      </c>
      <c r="I134" s="253" t="s">
        <v>51</v>
      </c>
      <c r="J134" s="254" t="s">
        <v>152</v>
      </c>
      <c r="K134" s="257"/>
    </row>
    <row r="135" spans="2:11">
      <c r="B135" s="340"/>
      <c r="C135" s="289"/>
      <c r="D135" s="259" t="s">
        <v>153</v>
      </c>
      <c r="E135" s="253" t="s">
        <v>44</v>
      </c>
      <c r="F135" s="253"/>
      <c r="G135" s="263"/>
      <c r="H135" s="260">
        <v>0</v>
      </c>
      <c r="I135" s="253" t="s">
        <v>51</v>
      </c>
      <c r="J135" s="254"/>
      <c r="K135" s="257"/>
    </row>
    <row r="136" spans="2:11">
      <c r="B136" s="285"/>
      <c r="C136" s="290">
        <v>11</v>
      </c>
      <c r="D136" s="288" t="s">
        <v>154</v>
      </c>
      <c r="E136" s="253"/>
      <c r="F136" s="291"/>
      <c r="G136" s="263"/>
      <c r="H136" s="260"/>
      <c r="I136" s="253"/>
      <c r="J136" s="254"/>
      <c r="K136" s="257"/>
    </row>
    <row r="137" spans="2:11">
      <c r="B137" s="285"/>
      <c r="C137" s="289"/>
      <c r="D137" s="259" t="s">
        <v>155</v>
      </c>
      <c r="E137" s="253" t="s">
        <v>156</v>
      </c>
      <c r="F137" s="291"/>
      <c r="G137" s="263"/>
      <c r="H137" s="255">
        <v>0</v>
      </c>
      <c r="I137" s="253" t="s">
        <v>111</v>
      </c>
      <c r="J137" s="254"/>
      <c r="K137" s="257"/>
    </row>
    <row r="138" spans="2:11">
      <c r="B138" s="285"/>
      <c r="C138" s="289"/>
      <c r="D138" s="259" t="s">
        <v>157</v>
      </c>
      <c r="E138" s="253" t="s">
        <v>156</v>
      </c>
      <c r="F138" s="291"/>
      <c r="G138" s="263"/>
      <c r="H138" s="255">
        <v>0</v>
      </c>
      <c r="I138" s="253" t="s">
        <v>111</v>
      </c>
      <c r="J138" s="254"/>
      <c r="K138" s="257"/>
    </row>
    <row r="139" spans="2:11" ht="60">
      <c r="B139" s="332" t="s">
        <v>158</v>
      </c>
      <c r="C139" s="251">
        <v>1</v>
      </c>
      <c r="D139" s="252" t="s">
        <v>159</v>
      </c>
      <c r="E139" s="253"/>
      <c r="F139" s="281" t="s">
        <v>160</v>
      </c>
      <c r="G139" s="254"/>
      <c r="H139" s="255"/>
      <c r="I139" s="253"/>
      <c r="J139" s="263" t="s">
        <v>161</v>
      </c>
      <c r="K139" s="257"/>
    </row>
    <row r="140" spans="2:11">
      <c r="B140" s="333"/>
      <c r="C140" s="276">
        <v>1.1000000000000001</v>
      </c>
      <c r="D140" s="259" t="s">
        <v>162</v>
      </c>
      <c r="E140" s="253"/>
      <c r="F140" s="253"/>
      <c r="G140" s="254"/>
      <c r="H140" s="255"/>
      <c r="I140" s="253"/>
      <c r="J140" s="263"/>
      <c r="K140" s="257"/>
    </row>
    <row r="141" spans="2:11">
      <c r="B141" s="333"/>
      <c r="C141" s="258"/>
      <c r="D141" s="277" t="s">
        <v>163</v>
      </c>
      <c r="E141" s="253" t="s">
        <v>44</v>
      </c>
      <c r="F141" s="253"/>
      <c r="G141" s="254"/>
      <c r="H141" s="255">
        <v>1.8</v>
      </c>
      <c r="I141" s="253" t="s">
        <v>164</v>
      </c>
      <c r="J141" s="263"/>
      <c r="K141" s="257"/>
    </row>
    <row r="142" spans="2:11">
      <c r="B142" s="333"/>
      <c r="C142" s="258"/>
      <c r="D142" s="277" t="s">
        <v>165</v>
      </c>
      <c r="E142" s="253" t="s">
        <v>44</v>
      </c>
      <c r="F142" s="253"/>
      <c r="G142" s="254"/>
      <c r="H142" s="255">
        <v>1.8</v>
      </c>
      <c r="I142" s="253" t="s">
        <v>164</v>
      </c>
      <c r="J142" s="263"/>
      <c r="K142" s="257"/>
    </row>
    <row r="143" spans="2:11">
      <c r="B143" s="333"/>
      <c r="C143" s="258"/>
      <c r="D143" s="277" t="s">
        <v>166</v>
      </c>
      <c r="E143" s="253" t="s">
        <v>44</v>
      </c>
      <c r="F143" s="253"/>
      <c r="G143" s="254"/>
      <c r="H143" s="255">
        <v>1.8</v>
      </c>
      <c r="I143" s="253" t="s">
        <v>164</v>
      </c>
      <c r="J143" s="263"/>
      <c r="K143" s="257"/>
    </row>
    <row r="144" spans="2:11">
      <c r="B144" s="333"/>
      <c r="C144" s="258"/>
      <c r="D144" s="277" t="s">
        <v>167</v>
      </c>
      <c r="E144" s="253" t="s">
        <v>44</v>
      </c>
      <c r="F144" s="253"/>
      <c r="G144" s="254"/>
      <c r="H144" s="255">
        <v>1.8</v>
      </c>
      <c r="I144" s="253" t="s">
        <v>164</v>
      </c>
      <c r="J144" s="263"/>
      <c r="K144" s="257"/>
    </row>
    <row r="145" spans="2:11">
      <c r="B145" s="333"/>
      <c r="C145" s="258"/>
      <c r="D145" s="277" t="s">
        <v>168</v>
      </c>
      <c r="E145" s="253" t="s">
        <v>44</v>
      </c>
      <c r="F145" s="253"/>
      <c r="G145" s="254"/>
      <c r="H145" s="255">
        <v>1.8</v>
      </c>
      <c r="I145" s="253" t="s">
        <v>164</v>
      </c>
      <c r="J145" s="263"/>
      <c r="K145" s="257"/>
    </row>
    <row r="146" spans="2:11">
      <c r="B146" s="333"/>
      <c r="C146" s="258">
        <v>1.2</v>
      </c>
      <c r="D146" s="259" t="s">
        <v>169</v>
      </c>
      <c r="E146" s="253" t="s">
        <v>58</v>
      </c>
      <c r="F146" s="253"/>
      <c r="G146" s="254" t="s">
        <v>170</v>
      </c>
      <c r="H146" s="260">
        <v>0</v>
      </c>
      <c r="I146" s="253" t="s">
        <v>51</v>
      </c>
      <c r="J146" s="263"/>
      <c r="K146" s="257"/>
    </row>
    <row r="147" spans="2:11" ht="70">
      <c r="B147" s="333"/>
      <c r="C147" s="251">
        <v>2</v>
      </c>
      <c r="D147" s="288" t="s">
        <v>171</v>
      </c>
      <c r="E147" s="253"/>
      <c r="F147" s="281" t="s">
        <v>172</v>
      </c>
      <c r="G147" s="254"/>
      <c r="H147" s="255"/>
      <c r="I147" s="253"/>
      <c r="J147" s="254" t="s">
        <v>173</v>
      </c>
      <c r="K147" s="257"/>
    </row>
    <row r="148" spans="2:11">
      <c r="B148" s="333"/>
      <c r="C148" s="276">
        <v>2.1</v>
      </c>
      <c r="D148" s="259" t="s">
        <v>174</v>
      </c>
      <c r="E148" s="253"/>
      <c r="F148" s="281"/>
      <c r="G148" s="254"/>
      <c r="H148" s="255"/>
      <c r="I148" s="253"/>
      <c r="J148" s="254"/>
      <c r="K148" s="257"/>
    </row>
    <row r="149" spans="2:11">
      <c r="B149" s="333"/>
      <c r="C149" s="276">
        <v>2.2000000000000002</v>
      </c>
      <c r="D149" s="259" t="s">
        <v>175</v>
      </c>
      <c r="E149" s="253"/>
      <c r="F149" s="253"/>
      <c r="G149" s="254"/>
      <c r="H149" s="255"/>
      <c r="I149" s="253"/>
      <c r="J149" s="254"/>
      <c r="K149" s="257"/>
    </row>
    <row r="150" spans="2:11">
      <c r="B150" s="333"/>
      <c r="C150" s="258"/>
      <c r="D150" s="277" t="s">
        <v>163</v>
      </c>
      <c r="E150" s="253" t="s">
        <v>44</v>
      </c>
      <c r="F150" s="253"/>
      <c r="G150" s="254"/>
      <c r="H150" s="292">
        <v>2E-3</v>
      </c>
      <c r="I150" s="253" t="s">
        <v>51</v>
      </c>
      <c r="J150" s="254"/>
      <c r="K150" s="257"/>
    </row>
    <row r="151" spans="2:11">
      <c r="B151" s="333"/>
      <c r="C151" s="258"/>
      <c r="D151" s="277" t="s">
        <v>165</v>
      </c>
      <c r="E151" s="253" t="s">
        <v>44</v>
      </c>
      <c r="F151" s="253"/>
      <c r="G151" s="254"/>
      <c r="H151" s="292">
        <v>4.0000000000000001E-3</v>
      </c>
      <c r="I151" s="253" t="s">
        <v>51</v>
      </c>
      <c r="J151" s="254"/>
      <c r="K151" s="257"/>
    </row>
    <row r="152" spans="2:11">
      <c r="B152" s="333"/>
      <c r="C152" s="258"/>
      <c r="D152" s="277" t="s">
        <v>166</v>
      </c>
      <c r="E152" s="253" t="s">
        <v>44</v>
      </c>
      <c r="F152" s="253"/>
      <c r="G152" s="254"/>
      <c r="H152" s="292">
        <v>6.0000000000000001E-3</v>
      </c>
      <c r="I152" s="253" t="s">
        <v>51</v>
      </c>
      <c r="J152" s="254"/>
      <c r="K152" s="257"/>
    </row>
    <row r="153" spans="2:11">
      <c r="B153" s="333"/>
      <c r="C153" s="258"/>
      <c r="D153" s="277" t="s">
        <v>167</v>
      </c>
      <c r="E153" s="253" t="s">
        <v>44</v>
      </c>
      <c r="F153" s="253"/>
      <c r="G153" s="254"/>
      <c r="H153" s="292">
        <v>8.0000000000000002E-3</v>
      </c>
      <c r="I153" s="253" t="s">
        <v>51</v>
      </c>
      <c r="J153" s="254"/>
      <c r="K153" s="257"/>
    </row>
    <row r="154" spans="2:11">
      <c r="B154" s="333"/>
      <c r="C154" s="258"/>
      <c r="D154" s="277" t="s">
        <v>168</v>
      </c>
      <c r="E154" s="253" t="s">
        <v>44</v>
      </c>
      <c r="F154" s="253"/>
      <c r="G154" s="254"/>
      <c r="H154" s="292">
        <v>0.01</v>
      </c>
      <c r="I154" s="253" t="s">
        <v>51</v>
      </c>
      <c r="J154" s="254"/>
      <c r="K154" s="257"/>
    </row>
    <row r="155" spans="2:11">
      <c r="B155" s="333"/>
      <c r="C155" s="276">
        <v>2.2999999999999998</v>
      </c>
      <c r="D155" s="259" t="s">
        <v>176</v>
      </c>
      <c r="E155" s="253" t="s">
        <v>58</v>
      </c>
      <c r="F155" s="253"/>
      <c r="G155" s="254" t="s">
        <v>170</v>
      </c>
      <c r="H155" s="260">
        <v>0</v>
      </c>
      <c r="I155" s="253" t="s">
        <v>51</v>
      </c>
      <c r="J155" s="254"/>
      <c r="K155" s="257"/>
    </row>
    <row r="156" spans="2:11" ht="52.75" customHeight="1">
      <c r="B156" s="333"/>
      <c r="C156" s="251">
        <v>3</v>
      </c>
      <c r="D156" s="288" t="s">
        <v>177</v>
      </c>
      <c r="E156" s="253"/>
      <c r="F156" s="281" t="s">
        <v>178</v>
      </c>
      <c r="G156" s="254"/>
      <c r="H156" s="255"/>
      <c r="I156" s="253"/>
      <c r="J156" s="254" t="s">
        <v>179</v>
      </c>
      <c r="K156" s="257"/>
    </row>
    <row r="157" spans="2:11" ht="25.5" customHeight="1">
      <c r="B157" s="333"/>
      <c r="C157" s="276">
        <v>3.1</v>
      </c>
      <c r="D157" s="259" t="s">
        <v>174</v>
      </c>
      <c r="E157" s="253"/>
      <c r="F157" s="291"/>
      <c r="G157" s="293"/>
      <c r="H157" s="255"/>
      <c r="I157" s="253"/>
      <c r="J157" s="293"/>
      <c r="K157" s="257"/>
    </row>
    <row r="158" spans="2:11">
      <c r="B158" s="333"/>
      <c r="C158" s="276">
        <v>3.2</v>
      </c>
      <c r="D158" s="259" t="s">
        <v>175</v>
      </c>
      <c r="E158" s="253" t="s">
        <v>180</v>
      </c>
      <c r="F158" s="291"/>
      <c r="G158" s="293"/>
      <c r="H158" s="255"/>
      <c r="I158" s="253"/>
      <c r="J158" s="293"/>
      <c r="K158" s="257"/>
    </row>
    <row r="159" spans="2:11">
      <c r="B159" s="333"/>
      <c r="C159" s="294"/>
      <c r="D159" s="277" t="s">
        <v>163</v>
      </c>
      <c r="E159" s="253" t="s">
        <v>44</v>
      </c>
      <c r="F159" s="291"/>
      <c r="G159" s="293"/>
      <c r="H159" s="295">
        <v>2.5000000000000001E-3</v>
      </c>
      <c r="I159" s="253" t="s">
        <v>51</v>
      </c>
      <c r="J159" s="293"/>
      <c r="K159" s="257"/>
    </row>
    <row r="160" spans="2:11">
      <c r="B160" s="333"/>
      <c r="C160" s="294"/>
      <c r="D160" s="277" t="s">
        <v>165</v>
      </c>
      <c r="E160" s="253" t="s">
        <v>44</v>
      </c>
      <c r="F160" s="291"/>
      <c r="G160" s="293"/>
      <c r="H160" s="295">
        <v>2.5000000000000001E-3</v>
      </c>
      <c r="I160" s="253" t="s">
        <v>51</v>
      </c>
      <c r="J160" s="293"/>
      <c r="K160" s="257"/>
    </row>
    <row r="161" spans="2:11">
      <c r="B161" s="333"/>
      <c r="C161" s="294"/>
      <c r="D161" s="277" t="s">
        <v>166</v>
      </c>
      <c r="E161" s="253" t="s">
        <v>44</v>
      </c>
      <c r="F161" s="291"/>
      <c r="G161" s="293"/>
      <c r="H161" s="295">
        <v>2.5000000000000001E-3</v>
      </c>
      <c r="I161" s="253" t="s">
        <v>51</v>
      </c>
      <c r="J161" s="293"/>
      <c r="K161" s="257"/>
    </row>
    <row r="162" spans="2:11">
      <c r="B162" s="333"/>
      <c r="C162" s="294"/>
      <c r="D162" s="277" t="s">
        <v>167</v>
      </c>
      <c r="E162" s="253" t="s">
        <v>44</v>
      </c>
      <c r="F162" s="291"/>
      <c r="G162" s="293"/>
      <c r="H162" s="295">
        <v>2.5000000000000001E-3</v>
      </c>
      <c r="I162" s="253" t="s">
        <v>51</v>
      </c>
      <c r="J162" s="293"/>
      <c r="K162" s="257"/>
    </row>
    <row r="163" spans="2:11">
      <c r="B163" s="333"/>
      <c r="C163" s="294"/>
      <c r="D163" s="277" t="s">
        <v>168</v>
      </c>
      <c r="E163" s="253" t="s">
        <v>44</v>
      </c>
      <c r="F163" s="291"/>
      <c r="G163" s="293"/>
      <c r="H163" s="295">
        <v>2.5000000000000001E-3</v>
      </c>
      <c r="I163" s="253" t="s">
        <v>51</v>
      </c>
      <c r="J163" s="293"/>
      <c r="K163" s="257"/>
    </row>
    <row r="164" spans="2:11">
      <c r="B164" s="333"/>
      <c r="C164" s="294">
        <v>3.2</v>
      </c>
      <c r="D164" s="259" t="s">
        <v>181</v>
      </c>
      <c r="E164" s="253" t="s">
        <v>58</v>
      </c>
      <c r="F164" s="253"/>
      <c r="G164" s="254" t="s">
        <v>170</v>
      </c>
      <c r="H164" s="260">
        <v>0</v>
      </c>
      <c r="I164" s="253" t="s">
        <v>51</v>
      </c>
      <c r="J164" s="293"/>
      <c r="K164" s="257"/>
    </row>
    <row r="165" spans="2:11" ht="67.25" customHeight="1">
      <c r="B165" s="333"/>
      <c r="C165" s="296">
        <v>4</v>
      </c>
      <c r="D165" s="288" t="s">
        <v>182</v>
      </c>
      <c r="E165" s="253"/>
      <c r="F165" s="281" t="s">
        <v>183</v>
      </c>
      <c r="G165" s="293"/>
      <c r="H165" s="295"/>
      <c r="I165" s="253"/>
      <c r="J165" s="293"/>
      <c r="K165" s="257"/>
    </row>
    <row r="166" spans="2:11" ht="79.5" customHeight="1">
      <c r="B166" s="333"/>
      <c r="C166" s="276">
        <v>4.0999999999999996</v>
      </c>
      <c r="D166" s="297" t="s">
        <v>184</v>
      </c>
      <c r="E166" s="253"/>
      <c r="F166" s="253"/>
      <c r="G166" s="254"/>
      <c r="H166" s="255"/>
      <c r="I166" s="253"/>
      <c r="J166" s="336" t="s">
        <v>185</v>
      </c>
      <c r="K166" s="257"/>
    </row>
    <row r="167" spans="2:11" ht="21.5" customHeight="1">
      <c r="B167" s="333"/>
      <c r="C167" s="276"/>
      <c r="D167" s="298" t="s">
        <v>186</v>
      </c>
      <c r="E167" s="253" t="s">
        <v>44</v>
      </c>
      <c r="F167" s="253"/>
      <c r="G167" s="254"/>
      <c r="H167" s="255">
        <v>7</v>
      </c>
      <c r="I167" s="253" t="s">
        <v>187</v>
      </c>
      <c r="J167" s="337"/>
      <c r="K167" s="257"/>
    </row>
    <row r="168" spans="2:11" ht="21.5" customHeight="1">
      <c r="B168" s="333"/>
      <c r="C168" s="276"/>
      <c r="D168" s="298" t="s">
        <v>188</v>
      </c>
      <c r="E168" s="253" t="s">
        <v>44</v>
      </c>
      <c r="F168" s="253"/>
      <c r="G168" s="254"/>
      <c r="H168" s="255">
        <v>0</v>
      </c>
      <c r="I168" s="253" t="s">
        <v>187</v>
      </c>
      <c r="J168" s="337"/>
      <c r="K168" s="257"/>
    </row>
    <row r="169" spans="2:11" ht="23" customHeight="1">
      <c r="B169" s="333"/>
      <c r="C169" s="276">
        <v>4.2</v>
      </c>
      <c r="D169" s="297" t="s">
        <v>189</v>
      </c>
      <c r="E169" s="253"/>
      <c r="F169" s="253"/>
      <c r="G169" s="254"/>
      <c r="H169" s="255"/>
      <c r="I169" s="253" t="s">
        <v>190</v>
      </c>
      <c r="J169" s="337"/>
      <c r="K169" s="257"/>
    </row>
    <row r="170" spans="2:11" ht="23" customHeight="1">
      <c r="B170" s="333"/>
      <c r="C170" s="276"/>
      <c r="D170" s="298" t="s">
        <v>191</v>
      </c>
      <c r="E170" s="253" t="s">
        <v>44</v>
      </c>
      <c r="F170" s="253"/>
      <c r="G170" s="254"/>
      <c r="H170" s="255">
        <v>12</v>
      </c>
      <c r="I170" s="253" t="s">
        <v>190</v>
      </c>
      <c r="J170" s="337"/>
      <c r="K170" s="257"/>
    </row>
    <row r="171" spans="2:11" ht="23" customHeight="1">
      <c r="B171" s="333"/>
      <c r="C171" s="276"/>
      <c r="D171" s="298" t="s">
        <v>192</v>
      </c>
      <c r="E171" s="253" t="s">
        <v>44</v>
      </c>
      <c r="F171" s="253"/>
      <c r="G171" s="254"/>
      <c r="H171" s="255">
        <v>0</v>
      </c>
      <c r="I171" s="253" t="s">
        <v>190</v>
      </c>
      <c r="J171" s="337"/>
      <c r="K171" s="257"/>
    </row>
    <row r="172" spans="2:11" ht="23" customHeight="1">
      <c r="B172" s="333"/>
      <c r="C172" s="276">
        <v>4.3</v>
      </c>
      <c r="D172" s="297" t="s">
        <v>193</v>
      </c>
      <c r="E172" s="253" t="s">
        <v>44</v>
      </c>
      <c r="F172" s="253"/>
      <c r="G172" s="254"/>
      <c r="H172" s="260">
        <v>0.6</v>
      </c>
      <c r="I172" s="253" t="s">
        <v>51</v>
      </c>
      <c r="J172" s="338"/>
      <c r="K172" s="257"/>
    </row>
    <row r="173" spans="2:11" ht="23" customHeight="1">
      <c r="B173" s="333"/>
      <c r="C173" s="276">
        <v>4.4000000000000004</v>
      </c>
      <c r="D173" s="297" t="s">
        <v>194</v>
      </c>
      <c r="E173" s="253" t="s">
        <v>195</v>
      </c>
      <c r="F173" s="300"/>
      <c r="G173" s="301"/>
      <c r="H173" s="260">
        <v>0</v>
      </c>
      <c r="I173" s="253" t="s">
        <v>51</v>
      </c>
      <c r="J173" s="299"/>
      <c r="K173" s="257"/>
    </row>
    <row r="174" spans="2:11" ht="23" customHeight="1">
      <c r="B174" s="333"/>
      <c r="C174" s="276">
        <v>4.5</v>
      </c>
      <c r="D174" s="259" t="s">
        <v>181</v>
      </c>
      <c r="E174" s="253" t="s">
        <v>58</v>
      </c>
      <c r="F174" s="253"/>
      <c r="G174" s="254" t="s">
        <v>170</v>
      </c>
      <c r="H174" s="260">
        <v>0</v>
      </c>
      <c r="I174" s="253" t="s">
        <v>51</v>
      </c>
      <c r="J174" s="299"/>
      <c r="K174" s="257"/>
    </row>
    <row r="175" spans="2:11" ht="57" customHeight="1">
      <c r="B175" s="333"/>
      <c r="C175" s="251">
        <v>5</v>
      </c>
      <c r="D175" s="252" t="s">
        <v>196</v>
      </c>
      <c r="E175" s="253" t="s">
        <v>44</v>
      </c>
      <c r="F175" s="281" t="s">
        <v>160</v>
      </c>
      <c r="G175" s="254"/>
      <c r="H175" s="255">
        <v>1.5</v>
      </c>
      <c r="I175" s="256" t="s">
        <v>197</v>
      </c>
      <c r="J175" s="254" t="s">
        <v>198</v>
      </c>
      <c r="K175" s="257"/>
    </row>
    <row r="176" spans="2:11">
      <c r="B176" s="333"/>
      <c r="C176" s="251"/>
      <c r="D176" s="259" t="s">
        <v>181</v>
      </c>
      <c r="E176" s="253" t="s">
        <v>58</v>
      </c>
      <c r="F176" s="253"/>
      <c r="G176" s="254" t="s">
        <v>170</v>
      </c>
      <c r="H176" s="260">
        <v>0</v>
      </c>
      <c r="I176" s="253" t="s">
        <v>51</v>
      </c>
      <c r="J176" s="254"/>
      <c r="K176" s="257"/>
    </row>
    <row r="177" spans="2:11" ht="75" customHeight="1">
      <c r="B177" s="333"/>
      <c r="C177" s="251">
        <v>6</v>
      </c>
      <c r="D177" s="252" t="s">
        <v>199</v>
      </c>
      <c r="E177" s="253"/>
      <c r="F177" s="281" t="s">
        <v>160</v>
      </c>
      <c r="G177" s="254"/>
      <c r="H177" s="255"/>
      <c r="I177" s="256"/>
      <c r="J177" s="257"/>
      <c r="K177" s="257"/>
    </row>
    <row r="178" spans="2:11" ht="26.5" customHeight="1">
      <c r="B178" s="333"/>
      <c r="C178" s="258">
        <v>6.1</v>
      </c>
      <c r="D178" s="259" t="s">
        <v>200</v>
      </c>
      <c r="E178" s="253" t="s">
        <v>44</v>
      </c>
      <c r="F178" s="253"/>
      <c r="G178" s="254"/>
      <c r="H178" s="255">
        <v>2000</v>
      </c>
      <c r="I178" s="256" t="s">
        <v>201</v>
      </c>
      <c r="J178" s="257"/>
      <c r="K178" s="257"/>
    </row>
    <row r="179" spans="2:11" ht="26.5" customHeight="1">
      <c r="B179" s="333"/>
      <c r="C179" s="258">
        <v>6.2</v>
      </c>
      <c r="D179" s="259" t="s">
        <v>202</v>
      </c>
      <c r="E179" s="253" t="s">
        <v>44</v>
      </c>
      <c r="F179" s="253"/>
      <c r="G179" s="254"/>
      <c r="H179" s="255">
        <v>300</v>
      </c>
      <c r="I179" s="256" t="s">
        <v>203</v>
      </c>
      <c r="J179" s="257"/>
      <c r="K179" s="257"/>
    </row>
    <row r="180" spans="2:11" ht="26.5" customHeight="1">
      <c r="B180" s="333"/>
      <c r="C180" s="258">
        <v>6.3</v>
      </c>
      <c r="D180" s="259" t="s">
        <v>204</v>
      </c>
      <c r="E180" s="253"/>
      <c r="F180" s="253"/>
      <c r="G180" s="254"/>
      <c r="H180" s="255"/>
      <c r="I180" s="256" t="s">
        <v>51</v>
      </c>
      <c r="J180" s="257" t="s">
        <v>205</v>
      </c>
      <c r="K180" s="257"/>
    </row>
    <row r="181" spans="2:11" ht="26.5" customHeight="1">
      <c r="B181" s="333"/>
      <c r="C181" s="258"/>
      <c r="D181" s="298" t="s">
        <v>163</v>
      </c>
      <c r="E181" s="253" t="s">
        <v>44</v>
      </c>
      <c r="F181" s="253"/>
      <c r="G181" s="254"/>
      <c r="H181" s="260">
        <v>0</v>
      </c>
      <c r="I181" s="256" t="s">
        <v>51</v>
      </c>
      <c r="J181" s="257"/>
      <c r="K181" s="257"/>
    </row>
    <row r="182" spans="2:11" ht="26.5" customHeight="1">
      <c r="B182" s="333"/>
      <c r="C182" s="258"/>
      <c r="D182" s="298" t="s">
        <v>165</v>
      </c>
      <c r="E182" s="253" t="s">
        <v>44</v>
      </c>
      <c r="F182" s="253"/>
      <c r="G182" s="254"/>
      <c r="H182" s="260">
        <v>0.05</v>
      </c>
      <c r="I182" s="256" t="s">
        <v>51</v>
      </c>
      <c r="J182" s="257"/>
      <c r="K182" s="257"/>
    </row>
    <row r="183" spans="2:11" ht="26.5" customHeight="1">
      <c r="B183" s="333"/>
      <c r="C183" s="258"/>
      <c r="D183" s="298" t="s">
        <v>166</v>
      </c>
      <c r="E183" s="253" t="s">
        <v>44</v>
      </c>
      <c r="F183" s="253"/>
      <c r="G183" s="254"/>
      <c r="H183" s="260">
        <v>0.1</v>
      </c>
      <c r="I183" s="256" t="s">
        <v>51</v>
      </c>
      <c r="J183" s="257"/>
      <c r="K183" s="257"/>
    </row>
    <row r="184" spans="2:11" ht="26.5" customHeight="1">
      <c r="B184" s="333"/>
      <c r="C184" s="258"/>
      <c r="D184" s="298" t="s">
        <v>167</v>
      </c>
      <c r="E184" s="253" t="s">
        <v>44</v>
      </c>
      <c r="F184" s="253"/>
      <c r="G184" s="254"/>
      <c r="H184" s="260">
        <v>0.15</v>
      </c>
      <c r="I184" s="256" t="s">
        <v>51</v>
      </c>
      <c r="J184" s="257"/>
      <c r="K184" s="257"/>
    </row>
    <row r="185" spans="2:11" ht="26.5" customHeight="1">
      <c r="B185" s="333"/>
      <c r="C185" s="258"/>
      <c r="D185" s="298" t="s">
        <v>168</v>
      </c>
      <c r="E185" s="253" t="s">
        <v>44</v>
      </c>
      <c r="F185" s="253"/>
      <c r="G185" s="254"/>
      <c r="H185" s="260">
        <v>0.2</v>
      </c>
      <c r="I185" s="256" t="s">
        <v>51</v>
      </c>
      <c r="J185" s="257"/>
      <c r="K185" s="257"/>
    </row>
    <row r="186" spans="2:11" ht="26.5" customHeight="1">
      <c r="B186" s="333"/>
      <c r="C186" s="258">
        <v>6.4</v>
      </c>
      <c r="D186" s="259" t="s">
        <v>181</v>
      </c>
      <c r="E186" s="253" t="s">
        <v>58</v>
      </c>
      <c r="F186" s="253"/>
      <c r="G186" s="254" t="s">
        <v>170</v>
      </c>
      <c r="H186" s="260">
        <v>0</v>
      </c>
      <c r="I186" s="253" t="s">
        <v>51</v>
      </c>
      <c r="J186" s="257"/>
      <c r="K186" s="257"/>
    </row>
    <row r="187" spans="2:11" ht="51" customHeight="1">
      <c r="B187" s="333"/>
      <c r="C187" s="258">
        <v>7</v>
      </c>
      <c r="D187" s="252" t="s">
        <v>206</v>
      </c>
      <c r="E187" s="253"/>
      <c r="F187" s="281" t="s">
        <v>160</v>
      </c>
      <c r="G187" s="254"/>
      <c r="H187" s="260"/>
      <c r="I187" s="253"/>
      <c r="J187" s="257"/>
      <c r="K187" s="257"/>
    </row>
    <row r="188" spans="2:11" ht="57.65" customHeight="1">
      <c r="B188" s="333"/>
      <c r="C188" s="276">
        <v>7.1</v>
      </c>
      <c r="D188" s="259" t="s">
        <v>175</v>
      </c>
      <c r="E188" s="253" t="s">
        <v>44</v>
      </c>
      <c r="F188" s="253"/>
      <c r="G188" s="254"/>
      <c r="H188" s="260">
        <v>0</v>
      </c>
      <c r="I188" s="256" t="s">
        <v>51</v>
      </c>
      <c r="J188" s="257" t="s">
        <v>207</v>
      </c>
      <c r="K188" s="257"/>
    </row>
    <row r="189" spans="2:11" ht="57.65" customHeight="1">
      <c r="B189" s="333"/>
      <c r="C189" s="276">
        <v>7.2</v>
      </c>
      <c r="D189" s="259" t="s">
        <v>174</v>
      </c>
      <c r="E189" s="253" t="s">
        <v>44</v>
      </c>
      <c r="F189" s="253"/>
      <c r="G189" s="254"/>
      <c r="H189" s="302">
        <f ca="1">参数输入表!H117</f>
        <v>27083.100836986847</v>
      </c>
      <c r="I189" s="256" t="s">
        <v>111</v>
      </c>
      <c r="J189" s="257"/>
      <c r="K189" s="257"/>
    </row>
    <row r="190" spans="2:11" ht="29.5" customHeight="1">
      <c r="B190" s="333"/>
      <c r="C190" s="276">
        <v>7.3</v>
      </c>
      <c r="D190" s="259" t="s">
        <v>181</v>
      </c>
      <c r="E190" s="253" t="s">
        <v>58</v>
      </c>
      <c r="F190" s="253"/>
      <c r="G190" s="254" t="s">
        <v>170</v>
      </c>
      <c r="H190" s="260">
        <v>0</v>
      </c>
      <c r="I190" s="253" t="s">
        <v>51</v>
      </c>
      <c r="J190" s="257"/>
      <c r="K190" s="257"/>
    </row>
    <row r="191" spans="2:11" ht="59.5" customHeight="1">
      <c r="B191" s="333"/>
      <c r="C191" s="251">
        <v>8</v>
      </c>
      <c r="D191" s="252" t="s">
        <v>208</v>
      </c>
      <c r="E191" s="253" t="s">
        <v>44</v>
      </c>
      <c r="F191" s="281" t="s">
        <v>160</v>
      </c>
      <c r="G191" s="254"/>
      <c r="H191" s="255">
        <v>0</v>
      </c>
      <c r="I191" s="256" t="s">
        <v>209</v>
      </c>
      <c r="J191" s="254"/>
      <c r="K191" s="257"/>
    </row>
    <row r="192" spans="2:11" ht="27.5" customHeight="1">
      <c r="B192" s="333"/>
      <c r="C192" s="276">
        <v>8.1</v>
      </c>
      <c r="D192" s="259" t="s">
        <v>181</v>
      </c>
      <c r="E192" s="253" t="s">
        <v>58</v>
      </c>
      <c r="F192" s="253"/>
      <c r="G192" s="254" t="s">
        <v>170</v>
      </c>
      <c r="H192" s="260">
        <v>0</v>
      </c>
      <c r="I192" s="253" t="s">
        <v>51</v>
      </c>
      <c r="J192" s="254"/>
      <c r="K192" s="257"/>
    </row>
    <row r="193" spans="2:11" ht="27.5" customHeight="1">
      <c r="B193" s="333"/>
      <c r="C193" s="251">
        <v>9</v>
      </c>
      <c r="D193" s="252" t="s">
        <v>210</v>
      </c>
      <c r="E193" s="253"/>
      <c r="F193" s="253" t="s">
        <v>211</v>
      </c>
      <c r="G193" s="254"/>
      <c r="H193" s="255"/>
      <c r="I193" s="256"/>
      <c r="J193" s="254"/>
      <c r="K193" s="257"/>
    </row>
    <row r="194" spans="2:11" ht="27.5" customHeight="1">
      <c r="B194" s="333"/>
      <c r="C194" s="276">
        <v>9.1</v>
      </c>
      <c r="D194" s="303" t="s">
        <v>212</v>
      </c>
      <c r="E194" s="253"/>
      <c r="F194" s="253"/>
      <c r="G194" s="254"/>
      <c r="H194" s="255"/>
      <c r="I194" s="256"/>
      <c r="J194" s="254"/>
      <c r="K194" s="257"/>
    </row>
    <row r="195" spans="2:11" ht="61.5" customHeight="1">
      <c r="B195" s="333"/>
      <c r="C195" s="276"/>
      <c r="D195" s="298" t="s">
        <v>213</v>
      </c>
      <c r="E195" s="304" t="s">
        <v>71</v>
      </c>
      <c r="F195" s="253"/>
      <c r="G195" s="254" t="s">
        <v>214</v>
      </c>
      <c r="H195" s="255"/>
      <c r="I195" s="256" t="s">
        <v>111</v>
      </c>
      <c r="J195" s="254"/>
      <c r="K195" s="257"/>
    </row>
    <row r="196" spans="2:11" ht="24.5" customHeight="1">
      <c r="B196" s="333"/>
      <c r="C196" s="305" t="s">
        <v>215</v>
      </c>
      <c r="D196" s="298" t="s">
        <v>216</v>
      </c>
      <c r="E196" s="253" t="s">
        <v>58</v>
      </c>
      <c r="F196" s="253"/>
      <c r="G196" s="306" t="s">
        <v>217</v>
      </c>
      <c r="H196" s="255"/>
      <c r="I196" s="256"/>
      <c r="J196" s="257" t="s">
        <v>218</v>
      </c>
      <c r="K196" s="257"/>
    </row>
    <row r="197" spans="2:11">
      <c r="B197" s="333"/>
      <c r="C197" s="305" t="s">
        <v>219</v>
      </c>
      <c r="D197" s="298" t="s">
        <v>220</v>
      </c>
      <c r="E197" s="253" t="s">
        <v>44</v>
      </c>
      <c r="F197" s="253"/>
      <c r="G197" s="306"/>
      <c r="H197" s="255">
        <v>20</v>
      </c>
      <c r="I197" s="256" t="s">
        <v>55</v>
      </c>
      <c r="J197" s="257"/>
      <c r="K197" s="257"/>
    </row>
    <row r="198" spans="2:11">
      <c r="B198" s="333"/>
      <c r="C198" s="305" t="s">
        <v>221</v>
      </c>
      <c r="D198" s="298" t="s">
        <v>222</v>
      </c>
      <c r="E198" s="253" t="s">
        <v>44</v>
      </c>
      <c r="F198" s="253"/>
      <c r="G198" s="306"/>
      <c r="H198" s="260">
        <v>0.05</v>
      </c>
      <c r="I198" s="253" t="s">
        <v>51</v>
      </c>
      <c r="J198" s="257"/>
      <c r="K198" s="257"/>
    </row>
    <row r="199" spans="2:11">
      <c r="B199" s="333"/>
      <c r="C199" s="276">
        <v>9.1999999999999993</v>
      </c>
      <c r="D199" s="303" t="s">
        <v>223</v>
      </c>
      <c r="E199" s="253"/>
      <c r="F199" s="253"/>
      <c r="G199" s="306"/>
      <c r="H199" s="260"/>
      <c r="I199" s="253"/>
      <c r="J199" s="257"/>
      <c r="K199" s="257"/>
    </row>
    <row r="200" spans="2:11">
      <c r="B200" s="333"/>
      <c r="C200" s="276" t="s">
        <v>224</v>
      </c>
      <c r="D200" s="298" t="s">
        <v>225</v>
      </c>
      <c r="E200" s="253" t="s">
        <v>44</v>
      </c>
      <c r="F200" s="253"/>
      <c r="G200" s="306"/>
      <c r="H200" s="255">
        <v>0</v>
      </c>
      <c r="I200" s="253" t="s">
        <v>111</v>
      </c>
      <c r="J200" s="257"/>
      <c r="K200" s="257"/>
    </row>
    <row r="201" spans="2:11">
      <c r="B201" s="333"/>
      <c r="C201" s="276" t="s">
        <v>226</v>
      </c>
      <c r="D201" s="298" t="s">
        <v>227</v>
      </c>
      <c r="E201" s="253" t="s">
        <v>58</v>
      </c>
      <c r="F201" s="253"/>
      <c r="G201" s="306" t="s">
        <v>217</v>
      </c>
      <c r="H201" s="255"/>
      <c r="I201" s="256"/>
      <c r="J201" s="257"/>
      <c r="K201" s="257"/>
    </row>
    <row r="202" spans="2:11">
      <c r="B202" s="333"/>
      <c r="C202" s="276" t="s">
        <v>228</v>
      </c>
      <c r="D202" s="298" t="s">
        <v>229</v>
      </c>
      <c r="E202" s="253" t="s">
        <v>44</v>
      </c>
      <c r="F202" s="253"/>
      <c r="G202" s="306"/>
      <c r="H202" s="255">
        <v>10</v>
      </c>
      <c r="I202" s="256" t="s">
        <v>55</v>
      </c>
      <c r="J202" s="257"/>
      <c r="K202" s="257"/>
    </row>
    <row r="203" spans="2:11">
      <c r="B203" s="333"/>
      <c r="C203" s="276" t="s">
        <v>230</v>
      </c>
      <c r="D203" s="298" t="s">
        <v>231</v>
      </c>
      <c r="E203" s="253" t="s">
        <v>44</v>
      </c>
      <c r="F203" s="253"/>
      <c r="G203" s="306"/>
      <c r="H203" s="260">
        <v>0</v>
      </c>
      <c r="I203" s="253" t="s">
        <v>51</v>
      </c>
      <c r="J203" s="306"/>
      <c r="K203" s="257"/>
    </row>
    <row r="204" spans="2:11" ht="61.25" customHeight="1">
      <c r="B204" s="333"/>
      <c r="C204" s="251">
        <v>10</v>
      </c>
      <c r="D204" s="252" t="s">
        <v>232</v>
      </c>
      <c r="E204" s="253"/>
      <c r="F204" s="281" t="s">
        <v>160</v>
      </c>
      <c r="G204" s="306"/>
      <c r="H204" s="260"/>
      <c r="I204" s="253"/>
      <c r="J204" s="306" t="s">
        <v>233</v>
      </c>
      <c r="K204" s="257"/>
    </row>
    <row r="205" spans="2:11">
      <c r="B205" s="333"/>
      <c r="C205" s="276">
        <v>10.1</v>
      </c>
      <c r="D205" s="298" t="s">
        <v>234</v>
      </c>
      <c r="E205" s="304"/>
      <c r="F205" s="304"/>
      <c r="G205" s="306"/>
      <c r="H205" s="255"/>
      <c r="I205" s="253"/>
      <c r="J205" s="306"/>
      <c r="K205" s="257"/>
    </row>
    <row r="206" spans="2:11">
      <c r="B206" s="333"/>
      <c r="C206" s="276"/>
      <c r="D206" s="307" t="s">
        <v>77</v>
      </c>
      <c r="E206" s="253" t="s">
        <v>44</v>
      </c>
      <c r="F206" s="253"/>
      <c r="G206" s="306"/>
      <c r="H206" s="255"/>
      <c r="I206" s="253" t="s">
        <v>111</v>
      </c>
      <c r="J206" s="306"/>
      <c r="K206" s="257"/>
    </row>
    <row r="207" spans="2:11">
      <c r="B207" s="333"/>
      <c r="C207" s="276"/>
      <c r="D207" s="307" t="s">
        <v>78</v>
      </c>
      <c r="E207" s="253" t="s">
        <v>44</v>
      </c>
      <c r="F207" s="253"/>
      <c r="G207" s="306"/>
      <c r="H207" s="255"/>
      <c r="I207" s="253" t="s">
        <v>111</v>
      </c>
      <c r="J207" s="306"/>
      <c r="K207" s="257"/>
    </row>
    <row r="208" spans="2:11">
      <c r="B208" s="333"/>
      <c r="C208" s="276"/>
      <c r="D208" s="307" t="s">
        <v>79</v>
      </c>
      <c r="E208" s="253" t="s">
        <v>44</v>
      </c>
      <c r="F208" s="253"/>
      <c r="G208" s="306"/>
      <c r="H208" s="255"/>
      <c r="I208" s="253" t="s">
        <v>111</v>
      </c>
      <c r="J208" s="306"/>
      <c r="K208" s="257"/>
    </row>
    <row r="209" spans="2:11">
      <c r="B209" s="333"/>
      <c r="C209" s="276"/>
      <c r="D209" s="307" t="s">
        <v>80</v>
      </c>
      <c r="E209" s="253" t="s">
        <v>44</v>
      </c>
      <c r="F209" s="253"/>
      <c r="G209" s="306"/>
      <c r="H209" s="255"/>
      <c r="I209" s="253" t="s">
        <v>111</v>
      </c>
      <c r="J209" s="306"/>
      <c r="K209" s="257"/>
    </row>
    <row r="210" spans="2:11">
      <c r="B210" s="333"/>
      <c r="C210" s="276"/>
      <c r="D210" s="307" t="s">
        <v>81</v>
      </c>
      <c r="E210" s="253" t="s">
        <v>44</v>
      </c>
      <c r="F210" s="253"/>
      <c r="G210" s="306"/>
      <c r="H210" s="255"/>
      <c r="I210" s="253" t="s">
        <v>111</v>
      </c>
      <c r="J210" s="306"/>
      <c r="K210" s="257"/>
    </row>
    <row r="211" spans="2:11">
      <c r="B211" s="333"/>
      <c r="C211" s="276"/>
      <c r="D211" s="307" t="s">
        <v>82</v>
      </c>
      <c r="E211" s="253" t="s">
        <v>44</v>
      </c>
      <c r="F211" s="253"/>
      <c r="G211" s="306"/>
      <c r="H211" s="255"/>
      <c r="I211" s="253" t="s">
        <v>111</v>
      </c>
      <c r="J211" s="306"/>
      <c r="K211" s="257"/>
    </row>
    <row r="212" spans="2:11">
      <c r="B212" s="333"/>
      <c r="C212" s="276"/>
      <c r="D212" s="307" t="s">
        <v>83</v>
      </c>
      <c r="E212" s="253" t="s">
        <v>44</v>
      </c>
      <c r="F212" s="253"/>
      <c r="G212" s="306"/>
      <c r="H212" s="255"/>
      <c r="I212" s="253" t="s">
        <v>111</v>
      </c>
      <c r="J212" s="306"/>
      <c r="K212" s="257"/>
    </row>
    <row r="213" spans="2:11">
      <c r="B213" s="333"/>
      <c r="C213" s="276"/>
      <c r="D213" s="307" t="s">
        <v>84</v>
      </c>
      <c r="E213" s="253" t="s">
        <v>44</v>
      </c>
      <c r="F213" s="253"/>
      <c r="G213" s="306"/>
      <c r="H213" s="255"/>
      <c r="I213" s="253" t="s">
        <v>111</v>
      </c>
      <c r="J213" s="306"/>
      <c r="K213" s="257"/>
    </row>
    <row r="214" spans="2:11">
      <c r="B214" s="333"/>
      <c r="C214" s="276"/>
      <c r="D214" s="307" t="s">
        <v>85</v>
      </c>
      <c r="E214" s="253" t="s">
        <v>44</v>
      </c>
      <c r="F214" s="253"/>
      <c r="G214" s="306"/>
      <c r="H214" s="255"/>
      <c r="I214" s="253" t="s">
        <v>111</v>
      </c>
      <c r="J214" s="306"/>
      <c r="K214" s="257"/>
    </row>
    <row r="215" spans="2:11">
      <c r="B215" s="333"/>
      <c r="C215" s="276"/>
      <c r="D215" s="307" t="s">
        <v>86</v>
      </c>
      <c r="E215" s="253" t="s">
        <v>44</v>
      </c>
      <c r="F215" s="253"/>
      <c r="G215" s="306"/>
      <c r="H215" s="255"/>
      <c r="I215" s="253" t="s">
        <v>111</v>
      </c>
      <c r="J215" s="306"/>
      <c r="K215" s="257"/>
    </row>
    <row r="216" spans="2:11">
      <c r="B216" s="333"/>
      <c r="C216" s="276"/>
      <c r="D216" s="307" t="s">
        <v>87</v>
      </c>
      <c r="E216" s="253" t="s">
        <v>44</v>
      </c>
      <c r="F216" s="253"/>
      <c r="G216" s="306"/>
      <c r="H216" s="255"/>
      <c r="I216" s="253" t="s">
        <v>111</v>
      </c>
      <c r="J216" s="306"/>
      <c r="K216" s="257"/>
    </row>
    <row r="217" spans="2:11">
      <c r="B217" s="333"/>
      <c r="C217" s="276"/>
      <c r="D217" s="307" t="s">
        <v>88</v>
      </c>
      <c r="E217" s="253" t="s">
        <v>44</v>
      </c>
      <c r="F217" s="253"/>
      <c r="G217" s="306"/>
      <c r="H217" s="255"/>
      <c r="I217" s="253" t="s">
        <v>111</v>
      </c>
      <c r="J217" s="306"/>
      <c r="K217" s="257"/>
    </row>
    <row r="218" spans="2:11">
      <c r="B218" s="333"/>
      <c r="C218" s="276"/>
      <c r="D218" s="307" t="s">
        <v>89</v>
      </c>
      <c r="E218" s="253" t="s">
        <v>44</v>
      </c>
      <c r="F218" s="253"/>
      <c r="G218" s="306"/>
      <c r="H218" s="255"/>
      <c r="I218" s="253" t="s">
        <v>111</v>
      </c>
      <c r="J218" s="306"/>
      <c r="K218" s="257"/>
    </row>
    <row r="219" spans="2:11">
      <c r="B219" s="333"/>
      <c r="C219" s="276"/>
      <c r="D219" s="307" t="s">
        <v>90</v>
      </c>
      <c r="E219" s="253" t="s">
        <v>44</v>
      </c>
      <c r="F219" s="253"/>
      <c r="G219" s="306"/>
      <c r="H219" s="255"/>
      <c r="I219" s="253" t="s">
        <v>111</v>
      </c>
      <c r="J219" s="306"/>
      <c r="K219" s="257"/>
    </row>
    <row r="220" spans="2:11">
      <c r="B220" s="333"/>
      <c r="C220" s="276"/>
      <c r="D220" s="307" t="s">
        <v>91</v>
      </c>
      <c r="E220" s="253" t="s">
        <v>44</v>
      </c>
      <c r="F220" s="253"/>
      <c r="G220" s="306"/>
      <c r="H220" s="255"/>
      <c r="I220" s="253" t="s">
        <v>111</v>
      </c>
      <c r="J220" s="306"/>
      <c r="K220" s="257"/>
    </row>
    <row r="221" spans="2:11">
      <c r="B221" s="333"/>
      <c r="C221" s="276"/>
      <c r="D221" s="307" t="s">
        <v>92</v>
      </c>
      <c r="E221" s="253" t="s">
        <v>44</v>
      </c>
      <c r="F221" s="253"/>
      <c r="G221" s="306"/>
      <c r="H221" s="255"/>
      <c r="I221" s="253" t="s">
        <v>111</v>
      </c>
      <c r="J221" s="306"/>
      <c r="K221" s="257"/>
    </row>
    <row r="222" spans="2:11">
      <c r="B222" s="333"/>
      <c r="C222" s="276"/>
      <c r="D222" s="307" t="s">
        <v>93</v>
      </c>
      <c r="E222" s="253" t="s">
        <v>44</v>
      </c>
      <c r="F222" s="253"/>
      <c r="G222" s="306"/>
      <c r="H222" s="255"/>
      <c r="I222" s="253" t="s">
        <v>111</v>
      </c>
      <c r="J222" s="306"/>
      <c r="K222" s="257"/>
    </row>
    <row r="223" spans="2:11">
      <c r="B223" s="333"/>
      <c r="C223" s="276"/>
      <c r="D223" s="307" t="s">
        <v>94</v>
      </c>
      <c r="E223" s="253" t="s">
        <v>44</v>
      </c>
      <c r="F223" s="253"/>
      <c r="G223" s="306"/>
      <c r="H223" s="255"/>
      <c r="I223" s="253" t="s">
        <v>111</v>
      </c>
      <c r="J223" s="306"/>
      <c r="K223" s="257"/>
    </row>
    <row r="224" spans="2:11">
      <c r="B224" s="333"/>
      <c r="C224" s="276"/>
      <c r="D224" s="307" t="s">
        <v>95</v>
      </c>
      <c r="E224" s="253" t="s">
        <v>44</v>
      </c>
      <c r="F224" s="253"/>
      <c r="G224" s="306"/>
      <c r="H224" s="255"/>
      <c r="I224" s="253" t="s">
        <v>111</v>
      </c>
      <c r="J224" s="306"/>
      <c r="K224" s="257"/>
    </row>
    <row r="225" spans="2:11">
      <c r="B225" s="333"/>
      <c r="C225" s="276"/>
      <c r="D225" s="307" t="s">
        <v>96</v>
      </c>
      <c r="E225" s="253" t="s">
        <v>44</v>
      </c>
      <c r="F225" s="253"/>
      <c r="G225" s="306"/>
      <c r="H225" s="255"/>
      <c r="I225" s="253" t="s">
        <v>111</v>
      </c>
      <c r="J225" s="306"/>
      <c r="K225" s="257"/>
    </row>
    <row r="226" spans="2:11">
      <c r="B226" s="333"/>
      <c r="C226" s="276"/>
      <c r="D226" s="307" t="s">
        <v>97</v>
      </c>
      <c r="E226" s="253" t="s">
        <v>44</v>
      </c>
      <c r="F226" s="253"/>
      <c r="G226" s="306"/>
      <c r="H226" s="255"/>
      <c r="I226" s="253" t="s">
        <v>111</v>
      </c>
      <c r="J226" s="306"/>
      <c r="K226" s="257"/>
    </row>
    <row r="227" spans="2:11">
      <c r="B227" s="333"/>
      <c r="C227" s="276"/>
      <c r="D227" s="307" t="s">
        <v>98</v>
      </c>
      <c r="E227" s="253" t="s">
        <v>44</v>
      </c>
      <c r="F227" s="253"/>
      <c r="G227" s="306"/>
      <c r="H227" s="255"/>
      <c r="I227" s="253" t="s">
        <v>111</v>
      </c>
      <c r="J227" s="306"/>
      <c r="K227" s="257"/>
    </row>
    <row r="228" spans="2:11">
      <c r="B228" s="333"/>
      <c r="C228" s="276"/>
      <c r="D228" s="307" t="s">
        <v>99</v>
      </c>
      <c r="E228" s="253" t="s">
        <v>44</v>
      </c>
      <c r="F228" s="253"/>
      <c r="G228" s="306"/>
      <c r="H228" s="255"/>
      <c r="I228" s="253" t="s">
        <v>111</v>
      </c>
      <c r="J228" s="306"/>
      <c r="K228" s="257"/>
    </row>
    <row r="229" spans="2:11">
      <c r="B229" s="333"/>
      <c r="C229" s="276"/>
      <c r="D229" s="307" t="s">
        <v>100</v>
      </c>
      <c r="E229" s="253" t="s">
        <v>44</v>
      </c>
      <c r="F229" s="253"/>
      <c r="G229" s="306"/>
      <c r="H229" s="255"/>
      <c r="I229" s="253" t="s">
        <v>111</v>
      </c>
      <c r="J229" s="306"/>
      <c r="K229" s="257"/>
    </row>
    <row r="230" spans="2:11">
      <c r="B230" s="333"/>
      <c r="C230" s="276"/>
      <c r="D230" s="307" t="s">
        <v>101</v>
      </c>
      <c r="E230" s="253" t="s">
        <v>44</v>
      </c>
      <c r="F230" s="253"/>
      <c r="G230" s="306"/>
      <c r="H230" s="255"/>
      <c r="I230" s="253" t="s">
        <v>111</v>
      </c>
      <c r="J230" s="306"/>
      <c r="K230" s="257"/>
    </row>
    <row r="231" spans="2:11">
      <c r="B231" s="333"/>
      <c r="C231" s="276">
        <v>10.199999999999999</v>
      </c>
      <c r="D231" s="298" t="s">
        <v>235</v>
      </c>
      <c r="E231" s="253" t="s">
        <v>58</v>
      </c>
      <c r="F231" s="253"/>
      <c r="G231" s="306" t="s">
        <v>236</v>
      </c>
      <c r="H231" s="260"/>
      <c r="I231" s="253"/>
      <c r="J231" s="306"/>
      <c r="K231" s="257"/>
    </row>
    <row r="232" spans="2:11">
      <c r="B232" s="333"/>
      <c r="C232" s="276">
        <v>10.3</v>
      </c>
      <c r="D232" s="298" t="s">
        <v>237</v>
      </c>
      <c r="E232" s="253" t="s">
        <v>44</v>
      </c>
      <c r="F232" s="253"/>
      <c r="G232" s="306"/>
      <c r="H232" s="255">
        <v>5</v>
      </c>
      <c r="I232" s="253" t="s">
        <v>55</v>
      </c>
      <c r="J232" s="306"/>
      <c r="K232" s="257"/>
    </row>
    <row r="233" spans="2:11">
      <c r="B233" s="250"/>
      <c r="C233" s="276">
        <v>10.4</v>
      </c>
      <c r="D233" s="298" t="s">
        <v>181</v>
      </c>
      <c r="E233" s="253" t="s">
        <v>58</v>
      </c>
      <c r="F233" s="253"/>
      <c r="G233" s="254" t="s">
        <v>170</v>
      </c>
      <c r="H233" s="260">
        <v>0.09</v>
      </c>
      <c r="I233" s="253" t="s">
        <v>51</v>
      </c>
      <c r="J233" s="306"/>
      <c r="K233" s="257"/>
    </row>
    <row r="234" spans="2:11" ht="60">
      <c r="B234" s="250"/>
      <c r="C234" s="251">
        <v>11</v>
      </c>
      <c r="D234" s="252" t="s">
        <v>238</v>
      </c>
      <c r="E234" s="253"/>
      <c r="F234" s="281" t="s">
        <v>160</v>
      </c>
      <c r="G234" s="306"/>
      <c r="H234" s="255"/>
      <c r="I234" s="253"/>
      <c r="J234" s="306"/>
      <c r="K234" s="257"/>
    </row>
    <row r="235" spans="2:11">
      <c r="B235" s="250"/>
      <c r="C235" s="276">
        <v>11.1</v>
      </c>
      <c r="D235" s="259" t="s">
        <v>239</v>
      </c>
      <c r="E235" s="253"/>
      <c r="F235" s="253"/>
      <c r="G235" s="306"/>
      <c r="H235" s="255"/>
      <c r="I235" s="253"/>
      <c r="J235" s="306"/>
      <c r="K235" s="257"/>
    </row>
    <row r="236" spans="2:11">
      <c r="B236" s="250"/>
      <c r="C236" s="276"/>
      <c r="D236" s="298" t="s">
        <v>77</v>
      </c>
      <c r="E236" s="253" t="s">
        <v>44</v>
      </c>
      <c r="F236" s="253"/>
      <c r="G236" s="306"/>
      <c r="H236" s="255">
        <v>0</v>
      </c>
      <c r="I236" s="253" t="s">
        <v>111</v>
      </c>
      <c r="J236" s="306"/>
      <c r="K236" s="257"/>
    </row>
    <row r="237" spans="2:11">
      <c r="B237" s="250"/>
      <c r="C237" s="276"/>
      <c r="D237" s="298" t="s">
        <v>78</v>
      </c>
      <c r="E237" s="253" t="s">
        <v>44</v>
      </c>
      <c r="F237" s="253"/>
      <c r="G237" s="306"/>
      <c r="H237" s="255">
        <v>0</v>
      </c>
      <c r="I237" s="253" t="s">
        <v>111</v>
      </c>
      <c r="J237" s="306"/>
      <c r="K237" s="257"/>
    </row>
    <row r="238" spans="2:11">
      <c r="B238" s="250"/>
      <c r="C238" s="276"/>
      <c r="D238" s="298" t="s">
        <v>79</v>
      </c>
      <c r="E238" s="253" t="s">
        <v>44</v>
      </c>
      <c r="F238" s="253"/>
      <c r="G238" s="306"/>
      <c r="H238" s="255">
        <v>0</v>
      </c>
      <c r="I238" s="253" t="s">
        <v>111</v>
      </c>
      <c r="J238" s="306"/>
      <c r="K238" s="257"/>
    </row>
    <row r="239" spans="2:11">
      <c r="B239" s="250"/>
      <c r="C239" s="276"/>
      <c r="D239" s="298" t="s">
        <v>80</v>
      </c>
      <c r="E239" s="253" t="s">
        <v>44</v>
      </c>
      <c r="F239" s="253"/>
      <c r="G239" s="306"/>
      <c r="H239" s="255">
        <v>0</v>
      </c>
      <c r="I239" s="253" t="s">
        <v>111</v>
      </c>
      <c r="J239" s="306"/>
      <c r="K239" s="257"/>
    </row>
    <row r="240" spans="2:11">
      <c r="B240" s="250"/>
      <c r="C240" s="276"/>
      <c r="D240" s="298" t="s">
        <v>81</v>
      </c>
      <c r="E240" s="253" t="s">
        <v>44</v>
      </c>
      <c r="F240" s="253"/>
      <c r="G240" s="306"/>
      <c r="H240" s="255">
        <v>0</v>
      </c>
      <c r="I240" s="253" t="s">
        <v>111</v>
      </c>
      <c r="J240" s="306"/>
      <c r="K240" s="257"/>
    </row>
    <row r="241" spans="2:11">
      <c r="B241" s="250"/>
      <c r="C241" s="276"/>
      <c r="D241" s="298" t="s">
        <v>82</v>
      </c>
      <c r="E241" s="253" t="s">
        <v>44</v>
      </c>
      <c r="F241" s="253"/>
      <c r="G241" s="306"/>
      <c r="H241" s="255">
        <v>0</v>
      </c>
      <c r="I241" s="253" t="s">
        <v>111</v>
      </c>
      <c r="J241" s="306"/>
      <c r="K241" s="257"/>
    </row>
    <row r="242" spans="2:11">
      <c r="B242" s="250"/>
      <c r="C242" s="276"/>
      <c r="D242" s="298" t="s">
        <v>83</v>
      </c>
      <c r="E242" s="253" t="s">
        <v>44</v>
      </c>
      <c r="F242" s="253"/>
      <c r="G242" s="306"/>
      <c r="H242" s="255">
        <v>0</v>
      </c>
      <c r="I242" s="253" t="s">
        <v>111</v>
      </c>
      <c r="J242" s="306"/>
      <c r="K242" s="257"/>
    </row>
    <row r="243" spans="2:11">
      <c r="B243" s="250"/>
      <c r="C243" s="276"/>
      <c r="D243" s="298" t="s">
        <v>84</v>
      </c>
      <c r="E243" s="253" t="s">
        <v>44</v>
      </c>
      <c r="F243" s="253"/>
      <c r="G243" s="306"/>
      <c r="H243" s="255">
        <v>0</v>
      </c>
      <c r="I243" s="253" t="s">
        <v>111</v>
      </c>
      <c r="J243" s="306"/>
      <c r="K243" s="257"/>
    </row>
    <row r="244" spans="2:11">
      <c r="B244" s="250"/>
      <c r="C244" s="276"/>
      <c r="D244" s="298" t="s">
        <v>85</v>
      </c>
      <c r="E244" s="253" t="s">
        <v>44</v>
      </c>
      <c r="F244" s="253"/>
      <c r="G244" s="306"/>
      <c r="H244" s="255">
        <v>0</v>
      </c>
      <c r="I244" s="253" t="s">
        <v>111</v>
      </c>
      <c r="J244" s="306"/>
      <c r="K244" s="257"/>
    </row>
    <row r="245" spans="2:11">
      <c r="B245" s="250"/>
      <c r="C245" s="276"/>
      <c r="D245" s="298" t="s">
        <v>86</v>
      </c>
      <c r="E245" s="253" t="s">
        <v>44</v>
      </c>
      <c r="F245" s="253"/>
      <c r="G245" s="306"/>
      <c r="H245" s="255">
        <v>0</v>
      </c>
      <c r="I245" s="253" t="s">
        <v>111</v>
      </c>
      <c r="J245" s="306"/>
      <c r="K245" s="257"/>
    </row>
    <row r="246" spans="2:11">
      <c r="B246" s="250"/>
      <c r="C246" s="276"/>
      <c r="D246" s="298" t="s">
        <v>87</v>
      </c>
      <c r="E246" s="253" t="s">
        <v>44</v>
      </c>
      <c r="F246" s="253"/>
      <c r="G246" s="306"/>
      <c r="H246" s="255">
        <v>480</v>
      </c>
      <c r="I246" s="253" t="s">
        <v>111</v>
      </c>
      <c r="J246" s="306"/>
      <c r="K246" s="257"/>
    </row>
    <row r="247" spans="2:11">
      <c r="B247" s="250"/>
      <c r="C247" s="276"/>
      <c r="D247" s="298" t="s">
        <v>88</v>
      </c>
      <c r="E247" s="253" t="s">
        <v>44</v>
      </c>
      <c r="F247" s="253"/>
      <c r="G247" s="306"/>
      <c r="H247" s="255">
        <v>0</v>
      </c>
      <c r="I247" s="253" t="s">
        <v>111</v>
      </c>
      <c r="J247" s="306"/>
      <c r="K247" s="257"/>
    </row>
    <row r="248" spans="2:11">
      <c r="B248" s="250"/>
      <c r="C248" s="276"/>
      <c r="D248" s="298" t="s">
        <v>89</v>
      </c>
      <c r="E248" s="253" t="s">
        <v>44</v>
      </c>
      <c r="F248" s="253"/>
      <c r="G248" s="306"/>
      <c r="H248" s="255">
        <v>0</v>
      </c>
      <c r="I248" s="253" t="s">
        <v>111</v>
      </c>
      <c r="J248" s="306"/>
      <c r="K248" s="257"/>
    </row>
    <row r="249" spans="2:11">
      <c r="B249" s="250"/>
      <c r="C249" s="276"/>
      <c r="D249" s="298" t="s">
        <v>90</v>
      </c>
      <c r="E249" s="253" t="s">
        <v>44</v>
      </c>
      <c r="F249" s="253"/>
      <c r="G249" s="306"/>
      <c r="H249" s="255">
        <v>0</v>
      </c>
      <c r="I249" s="253" t="s">
        <v>111</v>
      </c>
      <c r="J249" s="306"/>
      <c r="K249" s="257"/>
    </row>
    <row r="250" spans="2:11">
      <c r="B250" s="250"/>
      <c r="C250" s="276"/>
      <c r="D250" s="298" t="s">
        <v>91</v>
      </c>
      <c r="E250" s="253" t="s">
        <v>44</v>
      </c>
      <c r="F250" s="253"/>
      <c r="G250" s="306"/>
      <c r="H250" s="255">
        <v>0</v>
      </c>
      <c r="I250" s="253" t="s">
        <v>111</v>
      </c>
      <c r="J250" s="306"/>
      <c r="K250" s="257"/>
    </row>
    <row r="251" spans="2:11">
      <c r="B251" s="250"/>
      <c r="C251" s="276"/>
      <c r="D251" s="298" t="s">
        <v>92</v>
      </c>
      <c r="E251" s="253" t="s">
        <v>44</v>
      </c>
      <c r="F251" s="253"/>
      <c r="G251" s="306"/>
      <c r="H251" s="255">
        <v>0</v>
      </c>
      <c r="I251" s="253" t="s">
        <v>111</v>
      </c>
      <c r="J251" s="306"/>
      <c r="K251" s="257"/>
    </row>
    <row r="252" spans="2:11">
      <c r="B252" s="250"/>
      <c r="C252" s="276"/>
      <c r="D252" s="298" t="s">
        <v>93</v>
      </c>
      <c r="E252" s="253" t="s">
        <v>44</v>
      </c>
      <c r="F252" s="253"/>
      <c r="G252" s="306"/>
      <c r="H252" s="255">
        <v>0</v>
      </c>
      <c r="I252" s="253" t="s">
        <v>111</v>
      </c>
      <c r="J252" s="306"/>
      <c r="K252" s="257"/>
    </row>
    <row r="253" spans="2:11">
      <c r="B253" s="250"/>
      <c r="C253" s="276"/>
      <c r="D253" s="298" t="s">
        <v>94</v>
      </c>
      <c r="E253" s="253" t="s">
        <v>44</v>
      </c>
      <c r="F253" s="253"/>
      <c r="G253" s="306"/>
      <c r="H253" s="255">
        <v>0</v>
      </c>
      <c r="I253" s="253" t="s">
        <v>111</v>
      </c>
      <c r="J253" s="306"/>
      <c r="K253" s="257"/>
    </row>
    <row r="254" spans="2:11">
      <c r="B254" s="250"/>
      <c r="C254" s="276"/>
      <c r="D254" s="298" t="s">
        <v>95</v>
      </c>
      <c r="E254" s="253" t="s">
        <v>44</v>
      </c>
      <c r="F254" s="253"/>
      <c r="G254" s="306"/>
      <c r="H254" s="255">
        <v>0</v>
      </c>
      <c r="I254" s="253" t="s">
        <v>111</v>
      </c>
      <c r="J254" s="306"/>
      <c r="K254" s="257"/>
    </row>
    <row r="255" spans="2:11">
      <c r="B255" s="250"/>
      <c r="C255" s="276"/>
      <c r="D255" s="298" t="s">
        <v>96</v>
      </c>
      <c r="E255" s="253" t="s">
        <v>44</v>
      </c>
      <c r="F255" s="253"/>
      <c r="G255" s="306"/>
      <c r="H255" s="255">
        <v>0</v>
      </c>
      <c r="I255" s="253" t="s">
        <v>111</v>
      </c>
      <c r="J255" s="306"/>
      <c r="K255" s="257"/>
    </row>
    <row r="256" spans="2:11">
      <c r="B256" s="250"/>
      <c r="C256" s="276"/>
      <c r="D256" s="298" t="s">
        <v>97</v>
      </c>
      <c r="E256" s="253" t="s">
        <v>44</v>
      </c>
      <c r="F256" s="253"/>
      <c r="G256" s="306"/>
      <c r="H256" s="255">
        <v>0</v>
      </c>
      <c r="I256" s="253" t="s">
        <v>111</v>
      </c>
      <c r="J256" s="306"/>
      <c r="K256" s="257"/>
    </row>
    <row r="257" spans="2:11">
      <c r="B257" s="250"/>
      <c r="C257" s="276"/>
      <c r="D257" s="298" t="s">
        <v>98</v>
      </c>
      <c r="E257" s="253" t="s">
        <v>44</v>
      </c>
      <c r="F257" s="253"/>
      <c r="G257" s="306"/>
      <c r="H257" s="255">
        <v>0</v>
      </c>
      <c r="I257" s="253" t="s">
        <v>111</v>
      </c>
      <c r="J257" s="306"/>
      <c r="K257" s="257"/>
    </row>
    <row r="258" spans="2:11">
      <c r="B258" s="250"/>
      <c r="C258" s="276"/>
      <c r="D258" s="298" t="s">
        <v>99</v>
      </c>
      <c r="E258" s="253" t="s">
        <v>44</v>
      </c>
      <c r="F258" s="253"/>
      <c r="G258" s="306"/>
      <c r="H258" s="255">
        <v>0</v>
      </c>
      <c r="I258" s="253" t="s">
        <v>111</v>
      </c>
      <c r="J258" s="306"/>
      <c r="K258" s="257"/>
    </row>
    <row r="259" spans="2:11">
      <c r="B259" s="250"/>
      <c r="C259" s="276"/>
      <c r="D259" s="298" t="s">
        <v>100</v>
      </c>
      <c r="E259" s="253" t="s">
        <v>44</v>
      </c>
      <c r="F259" s="253"/>
      <c r="G259" s="306"/>
      <c r="H259" s="255">
        <v>0</v>
      </c>
      <c r="I259" s="253" t="s">
        <v>111</v>
      </c>
      <c r="J259" s="306"/>
      <c r="K259" s="257"/>
    </row>
    <row r="260" spans="2:11">
      <c r="B260" s="250"/>
      <c r="C260" s="276"/>
      <c r="D260" s="298" t="s">
        <v>101</v>
      </c>
      <c r="E260" s="253" t="s">
        <v>44</v>
      </c>
      <c r="F260" s="253"/>
      <c r="G260" s="306"/>
      <c r="H260" s="255">
        <v>0</v>
      </c>
      <c r="I260" s="253" t="s">
        <v>111</v>
      </c>
      <c r="J260" s="306"/>
      <c r="K260" s="257"/>
    </row>
    <row r="261" spans="2:11">
      <c r="B261" s="250"/>
      <c r="C261" s="276">
        <v>11.2</v>
      </c>
      <c r="D261" s="259" t="s">
        <v>240</v>
      </c>
      <c r="E261" s="253" t="s">
        <v>58</v>
      </c>
      <c r="F261" s="253"/>
      <c r="G261" s="306" t="s">
        <v>236</v>
      </c>
      <c r="H261" s="255"/>
      <c r="I261" s="253"/>
      <c r="J261" s="306"/>
      <c r="K261" s="257"/>
    </row>
    <row r="262" spans="2:11">
      <c r="B262" s="250"/>
      <c r="C262" s="276">
        <v>11.3</v>
      </c>
      <c r="D262" s="259" t="s">
        <v>241</v>
      </c>
      <c r="E262" s="253" t="s">
        <v>44</v>
      </c>
      <c r="F262" s="253"/>
      <c r="G262" s="306"/>
      <c r="H262" s="255">
        <v>10</v>
      </c>
      <c r="I262" s="253" t="s">
        <v>55</v>
      </c>
      <c r="J262" s="306"/>
      <c r="K262" s="257"/>
    </row>
    <row r="263" spans="2:11">
      <c r="B263" s="250"/>
      <c r="C263" s="276">
        <v>11.4</v>
      </c>
      <c r="D263" s="259" t="s">
        <v>242</v>
      </c>
      <c r="E263" s="253"/>
      <c r="F263" s="253"/>
      <c r="G263" s="306"/>
      <c r="H263" s="260">
        <v>0.05</v>
      </c>
      <c r="I263" s="253" t="s">
        <v>51</v>
      </c>
      <c r="J263" s="306"/>
      <c r="K263" s="257"/>
    </row>
    <row r="264" spans="2:11">
      <c r="B264" s="250"/>
      <c r="C264" s="276">
        <v>11.5</v>
      </c>
      <c r="D264" s="259" t="s">
        <v>181</v>
      </c>
      <c r="E264" s="253" t="s">
        <v>58</v>
      </c>
      <c r="F264" s="253"/>
      <c r="G264" s="254" t="s">
        <v>170</v>
      </c>
      <c r="H264" s="260">
        <v>0.13</v>
      </c>
      <c r="I264" s="253" t="s">
        <v>51</v>
      </c>
      <c r="J264" s="306"/>
      <c r="K264" s="257"/>
    </row>
    <row r="265" spans="2:11" ht="69.5" customHeight="1">
      <c r="B265" s="250"/>
      <c r="C265" s="276">
        <v>11.6</v>
      </c>
      <c r="D265" s="259" t="s">
        <v>243</v>
      </c>
      <c r="E265" s="253" t="s">
        <v>71</v>
      </c>
      <c r="F265" s="304"/>
      <c r="G265" s="254" t="s">
        <v>244</v>
      </c>
      <c r="H265" s="302">
        <f>H246/(1+H264)*H264</f>
        <v>55.221238938053098</v>
      </c>
      <c r="I265" s="253" t="s">
        <v>111</v>
      </c>
      <c r="J265" s="308" t="s">
        <v>245</v>
      </c>
      <c r="K265" s="257"/>
    </row>
    <row r="266" spans="2:11" ht="34.75" customHeight="1">
      <c r="B266" s="250"/>
      <c r="C266" s="251">
        <v>12</v>
      </c>
      <c r="D266" s="252" t="s">
        <v>246</v>
      </c>
      <c r="E266" s="304"/>
      <c r="F266" s="281" t="s">
        <v>246</v>
      </c>
      <c r="G266" s="254"/>
      <c r="H266" s="302"/>
      <c r="I266" s="253"/>
      <c r="J266" s="306"/>
      <c r="K266" s="257"/>
    </row>
    <row r="267" spans="2:11" ht="24" customHeight="1">
      <c r="B267" s="250"/>
      <c r="C267" s="276">
        <v>12.1</v>
      </c>
      <c r="D267" s="259" t="s">
        <v>247</v>
      </c>
      <c r="E267" s="253"/>
      <c r="F267" s="304"/>
      <c r="G267" s="254"/>
      <c r="H267" s="255"/>
      <c r="I267" s="253"/>
      <c r="J267" s="306" t="s">
        <v>248</v>
      </c>
      <c r="K267" s="257"/>
    </row>
    <row r="268" spans="2:11" ht="23" customHeight="1">
      <c r="B268" s="250"/>
      <c r="C268" s="276"/>
      <c r="D268" s="298" t="s">
        <v>77</v>
      </c>
      <c r="E268" s="253" t="s">
        <v>44</v>
      </c>
      <c r="F268" s="304"/>
      <c r="G268" s="254"/>
      <c r="H268" s="255">
        <v>0</v>
      </c>
      <c r="I268" s="253" t="s">
        <v>111</v>
      </c>
      <c r="J268" s="306"/>
      <c r="K268" s="257"/>
    </row>
    <row r="269" spans="2:11" ht="23" customHeight="1">
      <c r="B269" s="250"/>
      <c r="C269" s="276"/>
      <c r="D269" s="298" t="s">
        <v>106</v>
      </c>
      <c r="E269" s="253" t="s">
        <v>44</v>
      </c>
      <c r="F269" s="304"/>
      <c r="G269" s="254"/>
      <c r="H269" s="255">
        <v>0</v>
      </c>
      <c r="I269" s="253" t="s">
        <v>111</v>
      </c>
      <c r="J269" s="306"/>
      <c r="K269" s="257"/>
    </row>
    <row r="270" spans="2:11" ht="23" customHeight="1">
      <c r="B270" s="250"/>
      <c r="C270" s="276"/>
      <c r="D270" s="298" t="s">
        <v>101</v>
      </c>
      <c r="E270" s="253" t="s">
        <v>44</v>
      </c>
      <c r="F270" s="304"/>
      <c r="G270" s="254"/>
      <c r="H270" s="255">
        <v>0</v>
      </c>
      <c r="I270" s="253" t="s">
        <v>111</v>
      </c>
      <c r="J270" s="306"/>
      <c r="K270" s="257"/>
    </row>
    <row r="271" spans="2:11" ht="22.5" customHeight="1">
      <c r="B271" s="250"/>
      <c r="C271" s="276">
        <v>12.2</v>
      </c>
      <c r="D271" s="259" t="s">
        <v>181</v>
      </c>
      <c r="E271" s="253" t="s">
        <v>58</v>
      </c>
      <c r="F271" s="253"/>
      <c r="G271" s="254" t="s">
        <v>170</v>
      </c>
      <c r="H271" s="260">
        <v>0</v>
      </c>
      <c r="I271" s="253" t="s">
        <v>51</v>
      </c>
      <c r="J271" s="306"/>
      <c r="K271" s="257"/>
    </row>
    <row r="272" spans="2:11" ht="61.25" customHeight="1">
      <c r="B272" s="332" t="s">
        <v>249</v>
      </c>
      <c r="C272" s="251"/>
      <c r="D272" s="288" t="s">
        <v>250</v>
      </c>
      <c r="E272" s="304"/>
      <c r="F272" s="281" t="s">
        <v>250</v>
      </c>
      <c r="G272" s="254"/>
      <c r="H272" s="255"/>
      <c r="I272" s="253"/>
      <c r="J272" s="306"/>
      <c r="K272" s="257"/>
    </row>
    <row r="273" spans="2:11" ht="61.25" customHeight="1">
      <c r="B273" s="333"/>
      <c r="C273" s="251">
        <v>1</v>
      </c>
      <c r="D273" s="288" t="s">
        <v>251</v>
      </c>
      <c r="E273" s="304" t="s">
        <v>71</v>
      </c>
      <c r="F273" s="281" t="s">
        <v>250</v>
      </c>
      <c r="G273" s="254" t="s">
        <v>252</v>
      </c>
      <c r="H273" s="255"/>
      <c r="I273" s="253"/>
      <c r="J273" s="306"/>
      <c r="K273" s="257"/>
    </row>
    <row r="274" spans="2:11" ht="61.25" customHeight="1">
      <c r="B274" s="333"/>
      <c r="C274" s="251">
        <v>1.1000000000000001</v>
      </c>
      <c r="D274" s="288" t="s">
        <v>253</v>
      </c>
      <c r="E274" s="304"/>
      <c r="F274" s="281"/>
      <c r="G274" s="254"/>
      <c r="H274" s="255"/>
      <c r="I274" s="253"/>
      <c r="J274" s="306"/>
      <c r="K274" s="257"/>
    </row>
    <row r="275" spans="2:11" ht="41" customHeight="1">
      <c r="B275" s="333"/>
      <c r="C275" s="276">
        <v>1.1000000000000001</v>
      </c>
      <c r="D275" s="297" t="s">
        <v>102</v>
      </c>
      <c r="E275" s="304" t="s">
        <v>254</v>
      </c>
      <c r="F275" s="304"/>
      <c r="G275" s="263"/>
      <c r="H275" s="255"/>
      <c r="I275" s="256"/>
      <c r="J275" s="257"/>
      <c r="K275" s="257"/>
    </row>
    <row r="276" spans="2:11" ht="20" customHeight="1">
      <c r="B276" s="333"/>
      <c r="C276" s="276"/>
      <c r="D276" s="298" t="s">
        <v>74</v>
      </c>
      <c r="E276" s="304" t="s">
        <v>254</v>
      </c>
      <c r="F276" s="253"/>
      <c r="G276" s="263"/>
      <c r="H276" s="260"/>
      <c r="I276" s="256"/>
      <c r="J276" s="257"/>
      <c r="K276" s="257"/>
    </row>
    <row r="277" spans="2:11" ht="20" customHeight="1">
      <c r="B277" s="333"/>
      <c r="C277" s="276"/>
      <c r="D277" s="298" t="s">
        <v>75</v>
      </c>
      <c r="E277" s="304" t="s">
        <v>254</v>
      </c>
      <c r="F277" s="253"/>
      <c r="G277" s="263"/>
      <c r="H277" s="292"/>
      <c r="I277" s="256"/>
      <c r="J277" s="257"/>
      <c r="K277" s="257"/>
    </row>
    <row r="278" spans="2:11" ht="20" customHeight="1">
      <c r="B278" s="333"/>
      <c r="C278" s="276"/>
      <c r="D278" s="298" t="s">
        <v>76</v>
      </c>
      <c r="E278" s="304" t="s">
        <v>254</v>
      </c>
      <c r="F278" s="253"/>
      <c r="G278" s="263"/>
      <c r="H278" s="260"/>
      <c r="I278" s="256"/>
      <c r="J278" s="257"/>
      <c r="K278" s="257"/>
    </row>
    <row r="279" spans="2:11">
      <c r="B279" s="333"/>
      <c r="C279" s="276">
        <v>1.2</v>
      </c>
      <c r="D279" s="297" t="s">
        <v>104</v>
      </c>
      <c r="E279" s="304" t="s">
        <v>254</v>
      </c>
      <c r="F279" s="253"/>
      <c r="G279" s="263"/>
      <c r="H279" s="255"/>
      <c r="I279" s="256"/>
      <c r="J279" s="254"/>
      <c r="K279" s="257"/>
    </row>
    <row r="280" spans="2:11">
      <c r="B280" s="333"/>
      <c r="C280" s="276"/>
      <c r="D280" s="298" t="s">
        <v>77</v>
      </c>
      <c r="E280" s="304" t="s">
        <v>254</v>
      </c>
      <c r="F280" s="253"/>
      <c r="G280" s="263"/>
      <c r="H280" s="255"/>
      <c r="I280" s="256"/>
      <c r="J280" s="254"/>
      <c r="K280" s="257"/>
    </row>
    <row r="281" spans="2:11">
      <c r="B281" s="333"/>
      <c r="C281" s="276"/>
      <c r="D281" s="307" t="s">
        <v>106</v>
      </c>
      <c r="E281" s="304" t="s">
        <v>254</v>
      </c>
      <c r="F281" s="253"/>
      <c r="G281" s="263"/>
      <c r="H281" s="255"/>
      <c r="I281" s="256"/>
      <c r="J281" s="254"/>
      <c r="K281" s="257"/>
    </row>
    <row r="282" spans="2:11">
      <c r="B282" s="333"/>
      <c r="C282" s="276"/>
      <c r="D282" s="298" t="s">
        <v>101</v>
      </c>
      <c r="E282" s="304" t="s">
        <v>254</v>
      </c>
      <c r="F282" s="253"/>
      <c r="G282" s="263"/>
      <c r="H282" s="255"/>
      <c r="I282" s="256"/>
      <c r="J282" s="254"/>
      <c r="K282" s="257"/>
    </row>
    <row r="283" spans="2:11" ht="28">
      <c r="B283" s="333"/>
      <c r="C283" s="276">
        <v>1.3</v>
      </c>
      <c r="D283" s="297" t="s">
        <v>255</v>
      </c>
      <c r="E283" s="253"/>
      <c r="F283" s="253"/>
      <c r="G283" s="263"/>
      <c r="H283" s="255"/>
      <c r="I283" s="256"/>
      <c r="J283" s="254" t="s">
        <v>256</v>
      </c>
      <c r="K283" s="257"/>
    </row>
    <row r="284" spans="2:11">
      <c r="B284" s="333"/>
      <c r="C284" s="276"/>
      <c r="D284" s="298" t="s">
        <v>77</v>
      </c>
      <c r="E284" s="253" t="s">
        <v>44</v>
      </c>
      <c r="F284" s="253"/>
      <c r="G284" s="263"/>
      <c r="H284" s="255">
        <v>0</v>
      </c>
      <c r="I284" s="256" t="s">
        <v>105</v>
      </c>
      <c r="J284" s="254"/>
      <c r="K284" s="257"/>
    </row>
    <row r="285" spans="2:11">
      <c r="B285" s="333"/>
      <c r="C285" s="276"/>
      <c r="D285" s="307" t="s">
        <v>106</v>
      </c>
      <c r="E285" s="253" t="s">
        <v>44</v>
      </c>
      <c r="F285" s="253"/>
      <c r="G285" s="263"/>
      <c r="H285" s="255">
        <v>0</v>
      </c>
      <c r="I285" s="256" t="s">
        <v>105</v>
      </c>
      <c r="J285" s="254"/>
      <c r="K285" s="257"/>
    </row>
    <row r="286" spans="2:11">
      <c r="B286" s="333"/>
      <c r="C286" s="276"/>
      <c r="D286" s="298" t="s">
        <v>101</v>
      </c>
      <c r="E286" s="253" t="s">
        <v>44</v>
      </c>
      <c r="F286" s="253"/>
      <c r="G286" s="263"/>
      <c r="H286" s="255">
        <v>0</v>
      </c>
      <c r="I286" s="256" t="s">
        <v>105</v>
      </c>
      <c r="J286" s="254"/>
      <c r="K286" s="257"/>
    </row>
    <row r="287" spans="2:11" ht="28">
      <c r="B287" s="333"/>
      <c r="C287" s="276">
        <v>1.4</v>
      </c>
      <c r="D287" s="297" t="s">
        <v>257</v>
      </c>
      <c r="E287" s="253"/>
      <c r="F287" s="253"/>
      <c r="G287" s="263"/>
      <c r="H287" s="255"/>
      <c r="I287" s="256"/>
      <c r="J287" s="254" t="s">
        <v>256</v>
      </c>
      <c r="K287" s="257"/>
    </row>
    <row r="288" spans="2:11">
      <c r="B288" s="333"/>
      <c r="C288" s="251"/>
      <c r="D288" s="298" t="s">
        <v>77</v>
      </c>
      <c r="E288" s="253" t="s">
        <v>44</v>
      </c>
      <c r="F288" s="253"/>
      <c r="G288" s="263"/>
      <c r="H288" s="255">
        <v>0</v>
      </c>
      <c r="I288" s="256" t="s">
        <v>105</v>
      </c>
      <c r="J288" s="254"/>
      <c r="K288" s="257"/>
    </row>
    <row r="289" spans="2:11">
      <c r="B289" s="333"/>
      <c r="C289" s="251"/>
      <c r="D289" s="307" t="s">
        <v>106</v>
      </c>
      <c r="E289" s="253" t="s">
        <v>44</v>
      </c>
      <c r="F289" s="253"/>
      <c r="G289" s="263"/>
      <c r="H289" s="255">
        <v>0</v>
      </c>
      <c r="I289" s="256" t="s">
        <v>105</v>
      </c>
      <c r="J289" s="254"/>
      <c r="K289" s="257"/>
    </row>
    <row r="290" spans="2:11">
      <c r="B290" s="333"/>
      <c r="C290" s="251"/>
      <c r="D290" s="298" t="s">
        <v>101</v>
      </c>
      <c r="E290" s="253" t="s">
        <v>44</v>
      </c>
      <c r="F290" s="253"/>
      <c r="G290" s="263"/>
      <c r="H290" s="255">
        <v>0</v>
      </c>
      <c r="I290" s="256" t="s">
        <v>105</v>
      </c>
      <c r="J290" s="254"/>
      <c r="K290" s="257"/>
    </row>
    <row r="291" spans="2:11" ht="28">
      <c r="B291" s="333"/>
      <c r="C291" s="276">
        <v>1.5</v>
      </c>
      <c r="D291" s="297" t="s">
        <v>181</v>
      </c>
      <c r="E291" s="253" t="s">
        <v>58</v>
      </c>
      <c r="F291" s="253"/>
      <c r="G291" s="254" t="s">
        <v>110</v>
      </c>
      <c r="H291" s="260">
        <v>0.13</v>
      </c>
      <c r="I291" s="256" t="s">
        <v>51</v>
      </c>
      <c r="J291" s="254"/>
      <c r="K291" s="257"/>
    </row>
    <row r="292" spans="2:11">
      <c r="B292" s="333"/>
      <c r="C292" s="276"/>
      <c r="D292" s="297"/>
      <c r="E292" s="253"/>
      <c r="F292" s="253"/>
      <c r="G292" s="254"/>
      <c r="H292" s="260"/>
      <c r="I292" s="256"/>
      <c r="J292" s="254"/>
      <c r="K292" s="257"/>
    </row>
    <row r="293" spans="2:11" ht="41" customHeight="1">
      <c r="B293" s="333"/>
      <c r="C293" s="276">
        <v>1.2</v>
      </c>
      <c r="D293" s="288" t="s">
        <v>258</v>
      </c>
      <c r="E293" s="304" t="s">
        <v>254</v>
      </c>
      <c r="F293" s="304"/>
      <c r="G293" s="263"/>
      <c r="H293" s="255"/>
      <c r="I293" s="256"/>
      <c r="J293" s="257"/>
      <c r="K293" s="257"/>
    </row>
    <row r="294" spans="2:11" ht="20" customHeight="1">
      <c r="B294" s="333"/>
      <c r="C294" s="276"/>
      <c r="D294" s="259" t="s">
        <v>259</v>
      </c>
      <c r="E294" s="304" t="s">
        <v>254</v>
      </c>
      <c r="F294" s="253"/>
      <c r="G294" s="263"/>
      <c r="H294" s="260"/>
      <c r="I294" s="256"/>
      <c r="J294" s="257"/>
      <c r="K294" s="257"/>
    </row>
    <row r="295" spans="2:11" ht="20" customHeight="1">
      <c r="B295" s="333"/>
      <c r="C295" s="276"/>
      <c r="D295" s="259" t="s">
        <v>108</v>
      </c>
      <c r="E295" s="304" t="s">
        <v>254</v>
      </c>
      <c r="F295" s="253"/>
      <c r="G295" s="263"/>
      <c r="H295" s="292"/>
      <c r="I295" s="256"/>
      <c r="J295" s="257"/>
      <c r="K295" s="257"/>
    </row>
    <row r="296" spans="2:11" ht="20" customHeight="1">
      <c r="B296" s="333"/>
      <c r="C296" s="276"/>
      <c r="D296" s="259" t="s">
        <v>181</v>
      </c>
      <c r="E296" s="253" t="s">
        <v>44</v>
      </c>
      <c r="F296" s="253"/>
      <c r="G296" s="263"/>
      <c r="H296" s="260">
        <v>0.13</v>
      </c>
      <c r="I296" s="256" t="s">
        <v>51</v>
      </c>
      <c r="J296" s="257"/>
      <c r="K296" s="257"/>
    </row>
    <row r="297" spans="2:11" ht="51.65" customHeight="1">
      <c r="B297" s="333"/>
      <c r="C297" s="251">
        <v>2</v>
      </c>
      <c r="D297" s="288" t="s">
        <v>260</v>
      </c>
      <c r="E297" s="253"/>
      <c r="F297" s="281" t="s">
        <v>260</v>
      </c>
      <c r="G297" s="254" t="s">
        <v>261</v>
      </c>
      <c r="H297" s="255"/>
      <c r="I297" s="256"/>
      <c r="J297" s="254"/>
      <c r="K297" s="257"/>
    </row>
    <row r="298" spans="2:11" ht="18.5" customHeight="1">
      <c r="B298" s="333"/>
      <c r="C298" s="276">
        <v>2.1</v>
      </c>
      <c r="D298" s="259" t="s">
        <v>262</v>
      </c>
      <c r="E298" s="253" t="s">
        <v>44</v>
      </c>
      <c r="F298" s="253"/>
      <c r="G298" s="254"/>
      <c r="H298" s="255">
        <v>0</v>
      </c>
      <c r="I298" s="256" t="s">
        <v>63</v>
      </c>
      <c r="J298" s="254"/>
      <c r="K298" s="257"/>
    </row>
    <row r="299" spans="2:11" ht="18.5" customHeight="1">
      <c r="B299" s="333"/>
      <c r="C299" s="276">
        <v>2.2000000000000002</v>
      </c>
      <c r="D299" s="259" t="s">
        <v>263</v>
      </c>
      <c r="E299" s="253" t="s">
        <v>44</v>
      </c>
      <c r="F299" s="253"/>
      <c r="G299" s="254"/>
      <c r="H299" s="255">
        <v>0</v>
      </c>
      <c r="I299" s="256" t="s">
        <v>197</v>
      </c>
      <c r="J299" s="254"/>
      <c r="K299" s="257"/>
    </row>
    <row r="300" spans="2:11" ht="18.5" customHeight="1">
      <c r="B300" s="333"/>
      <c r="C300" s="276">
        <v>2.2999999999999998</v>
      </c>
      <c r="D300" s="259" t="s">
        <v>181</v>
      </c>
      <c r="E300" s="253" t="s">
        <v>58</v>
      </c>
      <c r="F300" s="253"/>
      <c r="G300" s="254" t="s">
        <v>110</v>
      </c>
      <c r="H300" s="260">
        <v>0.13</v>
      </c>
      <c r="I300" s="256" t="s">
        <v>51</v>
      </c>
      <c r="J300" s="254"/>
      <c r="K300" s="257"/>
    </row>
    <row r="301" spans="2:11" ht="18.5" customHeight="1">
      <c r="B301" s="333"/>
      <c r="C301" s="251">
        <v>3</v>
      </c>
      <c r="D301" s="288" t="s">
        <v>264</v>
      </c>
      <c r="E301" s="253"/>
      <c r="F301" s="291"/>
      <c r="G301" s="254"/>
      <c r="H301" s="260"/>
      <c r="I301" s="256"/>
      <c r="J301" s="254"/>
      <c r="K301" s="257"/>
    </row>
    <row r="302" spans="2:11" ht="39.65" customHeight="1">
      <c r="B302" s="333"/>
      <c r="C302" s="251">
        <v>3.1</v>
      </c>
      <c r="D302" s="288" t="s">
        <v>265</v>
      </c>
      <c r="E302" s="253" t="s">
        <v>44</v>
      </c>
      <c r="F302" s="281" t="s">
        <v>264</v>
      </c>
      <c r="G302" s="254"/>
      <c r="H302" s="260"/>
      <c r="I302" s="256"/>
      <c r="J302" s="254"/>
      <c r="K302" s="257"/>
    </row>
    <row r="303" spans="2:11" ht="18.5" customHeight="1">
      <c r="B303" s="333"/>
      <c r="C303" s="276" t="s">
        <v>266</v>
      </c>
      <c r="D303" s="259" t="s">
        <v>267</v>
      </c>
      <c r="E303" s="253" t="s">
        <v>44</v>
      </c>
      <c r="F303" s="253"/>
      <c r="G303" s="254"/>
      <c r="H303" s="255">
        <v>0</v>
      </c>
      <c r="I303" s="256" t="s">
        <v>111</v>
      </c>
      <c r="J303" s="254"/>
      <c r="K303" s="257"/>
    </row>
    <row r="304" spans="2:11" ht="18.5" customHeight="1">
      <c r="B304" s="333"/>
      <c r="C304" s="276" t="s">
        <v>268</v>
      </c>
      <c r="D304" s="259" t="s">
        <v>269</v>
      </c>
      <c r="E304" s="253"/>
      <c r="F304" s="253"/>
      <c r="G304" s="254"/>
      <c r="H304" s="260"/>
      <c r="I304" s="256"/>
      <c r="J304" s="254"/>
      <c r="K304" s="257"/>
    </row>
    <row r="305" spans="2:11" ht="18.5" customHeight="1">
      <c r="B305" s="333"/>
      <c r="C305" s="276"/>
      <c r="D305" s="298" t="s">
        <v>77</v>
      </c>
      <c r="E305" s="253" t="s">
        <v>44</v>
      </c>
      <c r="F305" s="253"/>
      <c r="G305" s="254"/>
      <c r="H305" s="255">
        <v>0</v>
      </c>
      <c r="I305" s="256" t="s">
        <v>111</v>
      </c>
      <c r="J305" s="254"/>
      <c r="K305" s="257"/>
    </row>
    <row r="306" spans="2:11" ht="18.5" customHeight="1">
      <c r="B306" s="333"/>
      <c r="C306" s="276"/>
      <c r="D306" s="298" t="s">
        <v>78</v>
      </c>
      <c r="E306" s="253" t="s">
        <v>44</v>
      </c>
      <c r="F306" s="253"/>
      <c r="G306" s="254"/>
      <c r="H306" s="255">
        <v>0</v>
      </c>
      <c r="I306" s="256" t="s">
        <v>111</v>
      </c>
      <c r="J306" s="254"/>
      <c r="K306" s="257"/>
    </row>
    <row r="307" spans="2:11" ht="18.5" customHeight="1">
      <c r="B307" s="333"/>
      <c r="C307" s="276"/>
      <c r="D307" s="298" t="s">
        <v>79</v>
      </c>
      <c r="E307" s="253" t="s">
        <v>44</v>
      </c>
      <c r="F307" s="253"/>
      <c r="G307" s="254"/>
      <c r="H307" s="255">
        <v>0</v>
      </c>
      <c r="I307" s="256" t="s">
        <v>111</v>
      </c>
      <c r="J307" s="254"/>
      <c r="K307" s="257"/>
    </row>
    <row r="308" spans="2:11" ht="18.5" customHeight="1">
      <c r="B308" s="333"/>
      <c r="C308" s="276"/>
      <c r="D308" s="298" t="s">
        <v>80</v>
      </c>
      <c r="E308" s="253" t="s">
        <v>44</v>
      </c>
      <c r="F308" s="253"/>
      <c r="G308" s="254"/>
      <c r="H308" s="255">
        <v>0</v>
      </c>
      <c r="I308" s="256" t="s">
        <v>111</v>
      </c>
      <c r="J308" s="254"/>
      <c r="K308" s="257"/>
    </row>
    <row r="309" spans="2:11" ht="18.5" customHeight="1">
      <c r="B309" s="333"/>
      <c r="C309" s="276"/>
      <c r="D309" s="298" t="s">
        <v>81</v>
      </c>
      <c r="E309" s="253" t="s">
        <v>44</v>
      </c>
      <c r="F309" s="253"/>
      <c r="G309" s="254"/>
      <c r="H309" s="255">
        <v>0</v>
      </c>
      <c r="I309" s="256" t="s">
        <v>111</v>
      </c>
      <c r="J309" s="254"/>
      <c r="K309" s="257"/>
    </row>
    <row r="310" spans="2:11" ht="18.5" customHeight="1">
      <c r="B310" s="333"/>
      <c r="C310" s="276"/>
      <c r="D310" s="298" t="s">
        <v>82</v>
      </c>
      <c r="E310" s="253" t="s">
        <v>44</v>
      </c>
      <c r="F310" s="253"/>
      <c r="G310" s="254"/>
      <c r="H310" s="255">
        <v>0</v>
      </c>
      <c r="I310" s="256" t="s">
        <v>111</v>
      </c>
      <c r="J310" s="254"/>
      <c r="K310" s="257"/>
    </row>
    <row r="311" spans="2:11" ht="18.5" customHeight="1">
      <c r="B311" s="333"/>
      <c r="C311" s="276"/>
      <c r="D311" s="298" t="s">
        <v>83</v>
      </c>
      <c r="E311" s="253" t="s">
        <v>44</v>
      </c>
      <c r="F311" s="253"/>
      <c r="G311" s="254"/>
      <c r="H311" s="255">
        <v>0</v>
      </c>
      <c r="I311" s="256" t="s">
        <v>111</v>
      </c>
      <c r="J311" s="254"/>
      <c r="K311" s="257"/>
    </row>
    <row r="312" spans="2:11" ht="18.5" customHeight="1">
      <c r="B312" s="333"/>
      <c r="C312" s="276"/>
      <c r="D312" s="298" t="s">
        <v>84</v>
      </c>
      <c r="E312" s="253" t="s">
        <v>44</v>
      </c>
      <c r="F312" s="253"/>
      <c r="G312" s="254"/>
      <c r="H312" s="255">
        <v>0</v>
      </c>
      <c r="I312" s="256" t="s">
        <v>111</v>
      </c>
      <c r="J312" s="254"/>
      <c r="K312" s="257"/>
    </row>
    <row r="313" spans="2:11" ht="18.5" customHeight="1">
      <c r="B313" s="333"/>
      <c r="C313" s="276"/>
      <c r="D313" s="298" t="s">
        <v>85</v>
      </c>
      <c r="E313" s="253" t="s">
        <v>44</v>
      </c>
      <c r="F313" s="253"/>
      <c r="G313" s="254"/>
      <c r="H313" s="255">
        <v>0</v>
      </c>
      <c r="I313" s="256" t="s">
        <v>111</v>
      </c>
      <c r="J313" s="254"/>
      <c r="K313" s="257"/>
    </row>
    <row r="314" spans="2:11" ht="18.5" customHeight="1">
      <c r="B314" s="333"/>
      <c r="C314" s="276"/>
      <c r="D314" s="298" t="s">
        <v>86</v>
      </c>
      <c r="E314" s="253" t="s">
        <v>44</v>
      </c>
      <c r="F314" s="253"/>
      <c r="G314" s="254"/>
      <c r="H314" s="255">
        <v>0</v>
      </c>
      <c r="I314" s="256" t="s">
        <v>111</v>
      </c>
      <c r="J314" s="254"/>
      <c r="K314" s="257"/>
    </row>
    <row r="315" spans="2:11" ht="18.5" customHeight="1">
      <c r="B315" s="333"/>
      <c r="C315" s="276"/>
      <c r="D315" s="298" t="s">
        <v>87</v>
      </c>
      <c r="E315" s="253" t="s">
        <v>44</v>
      </c>
      <c r="F315" s="253"/>
      <c r="G315" s="254"/>
      <c r="H315" s="255">
        <v>0</v>
      </c>
      <c r="I315" s="256" t="s">
        <v>111</v>
      </c>
      <c r="J315" s="254"/>
      <c r="K315" s="257"/>
    </row>
    <row r="316" spans="2:11" ht="18.5" customHeight="1">
      <c r="B316" s="333"/>
      <c r="C316" s="276"/>
      <c r="D316" s="298" t="s">
        <v>88</v>
      </c>
      <c r="E316" s="253" t="s">
        <v>44</v>
      </c>
      <c r="F316" s="253"/>
      <c r="G316" s="254"/>
      <c r="H316" s="255">
        <v>0</v>
      </c>
      <c r="I316" s="256" t="s">
        <v>111</v>
      </c>
      <c r="J316" s="254"/>
      <c r="K316" s="257"/>
    </row>
    <row r="317" spans="2:11" ht="18.5" customHeight="1">
      <c r="B317" s="333"/>
      <c r="C317" s="276"/>
      <c r="D317" s="298" t="s">
        <v>89</v>
      </c>
      <c r="E317" s="253" t="s">
        <v>44</v>
      </c>
      <c r="F317" s="253"/>
      <c r="G317" s="254"/>
      <c r="H317" s="255">
        <v>0</v>
      </c>
      <c r="I317" s="256" t="s">
        <v>111</v>
      </c>
      <c r="J317" s="254"/>
      <c r="K317" s="257"/>
    </row>
    <row r="318" spans="2:11" ht="18.5" customHeight="1">
      <c r="B318" s="333"/>
      <c r="C318" s="276"/>
      <c r="D318" s="298" t="s">
        <v>90</v>
      </c>
      <c r="E318" s="253" t="s">
        <v>44</v>
      </c>
      <c r="F318" s="253"/>
      <c r="G318" s="254"/>
      <c r="H318" s="255">
        <v>0</v>
      </c>
      <c r="I318" s="256" t="s">
        <v>111</v>
      </c>
      <c r="J318" s="254"/>
      <c r="K318" s="257"/>
    </row>
    <row r="319" spans="2:11" ht="18.5" customHeight="1">
      <c r="B319" s="333"/>
      <c r="C319" s="276"/>
      <c r="D319" s="298" t="s">
        <v>91</v>
      </c>
      <c r="E319" s="253" t="s">
        <v>44</v>
      </c>
      <c r="F319" s="253"/>
      <c r="G319" s="254"/>
      <c r="H319" s="255">
        <v>0</v>
      </c>
      <c r="I319" s="256" t="s">
        <v>111</v>
      </c>
      <c r="J319" s="254"/>
      <c r="K319" s="257"/>
    </row>
    <row r="320" spans="2:11" ht="18.5" customHeight="1">
      <c r="B320" s="333"/>
      <c r="C320" s="276"/>
      <c r="D320" s="298" t="s">
        <v>92</v>
      </c>
      <c r="E320" s="253" t="s">
        <v>44</v>
      </c>
      <c r="F320" s="253"/>
      <c r="G320" s="254"/>
      <c r="H320" s="255">
        <v>0</v>
      </c>
      <c r="I320" s="256" t="s">
        <v>111</v>
      </c>
      <c r="J320" s="254"/>
      <c r="K320" s="257"/>
    </row>
    <row r="321" spans="2:11" ht="18.5" customHeight="1">
      <c r="B321" s="333"/>
      <c r="C321" s="276"/>
      <c r="D321" s="298" t="s">
        <v>93</v>
      </c>
      <c r="E321" s="253" t="s">
        <v>44</v>
      </c>
      <c r="F321" s="253"/>
      <c r="G321" s="254"/>
      <c r="H321" s="255">
        <v>0</v>
      </c>
      <c r="I321" s="256" t="s">
        <v>111</v>
      </c>
      <c r="J321" s="254"/>
      <c r="K321" s="257"/>
    </row>
    <row r="322" spans="2:11" ht="18.5" customHeight="1">
      <c r="B322" s="333"/>
      <c r="C322" s="276"/>
      <c r="D322" s="298" t="s">
        <v>94</v>
      </c>
      <c r="E322" s="253" t="s">
        <v>44</v>
      </c>
      <c r="F322" s="253"/>
      <c r="G322" s="254"/>
      <c r="H322" s="255">
        <v>0</v>
      </c>
      <c r="I322" s="256" t="s">
        <v>111</v>
      </c>
      <c r="J322" s="254"/>
      <c r="K322" s="257"/>
    </row>
    <row r="323" spans="2:11" ht="18.5" customHeight="1">
      <c r="B323" s="333"/>
      <c r="C323" s="276"/>
      <c r="D323" s="298" t="s">
        <v>95</v>
      </c>
      <c r="E323" s="253" t="s">
        <v>44</v>
      </c>
      <c r="F323" s="253"/>
      <c r="G323" s="254"/>
      <c r="H323" s="255">
        <v>0</v>
      </c>
      <c r="I323" s="256" t="s">
        <v>111</v>
      </c>
      <c r="J323" s="254"/>
      <c r="K323" s="257"/>
    </row>
    <row r="324" spans="2:11" ht="18.5" customHeight="1">
      <c r="B324" s="333"/>
      <c r="C324" s="276"/>
      <c r="D324" s="298" t="s">
        <v>96</v>
      </c>
      <c r="E324" s="253" t="s">
        <v>44</v>
      </c>
      <c r="F324" s="253"/>
      <c r="G324" s="254"/>
      <c r="H324" s="255">
        <v>0</v>
      </c>
      <c r="I324" s="256" t="s">
        <v>111</v>
      </c>
      <c r="J324" s="254"/>
      <c r="K324" s="257"/>
    </row>
    <row r="325" spans="2:11" ht="18.5" customHeight="1">
      <c r="B325" s="333"/>
      <c r="C325" s="276"/>
      <c r="D325" s="298" t="s">
        <v>97</v>
      </c>
      <c r="E325" s="253" t="s">
        <v>44</v>
      </c>
      <c r="F325" s="253"/>
      <c r="G325" s="254"/>
      <c r="H325" s="255">
        <v>0</v>
      </c>
      <c r="I325" s="256" t="s">
        <v>111</v>
      </c>
      <c r="J325" s="254"/>
      <c r="K325" s="257"/>
    </row>
    <row r="326" spans="2:11" ht="18.5" customHeight="1">
      <c r="B326" s="333"/>
      <c r="C326" s="276"/>
      <c r="D326" s="298" t="s">
        <v>98</v>
      </c>
      <c r="E326" s="253" t="s">
        <v>44</v>
      </c>
      <c r="F326" s="253"/>
      <c r="G326" s="254"/>
      <c r="H326" s="255">
        <v>0</v>
      </c>
      <c r="I326" s="256" t="s">
        <v>111</v>
      </c>
      <c r="J326" s="254"/>
      <c r="K326" s="257"/>
    </row>
    <row r="327" spans="2:11" ht="18.5" customHeight="1">
      <c r="B327" s="333"/>
      <c r="C327" s="276"/>
      <c r="D327" s="298" t="s">
        <v>99</v>
      </c>
      <c r="E327" s="253" t="s">
        <v>44</v>
      </c>
      <c r="F327" s="253"/>
      <c r="G327" s="254"/>
      <c r="H327" s="255">
        <v>0</v>
      </c>
      <c r="I327" s="256" t="s">
        <v>111</v>
      </c>
      <c r="J327" s="254"/>
      <c r="K327" s="257"/>
    </row>
    <row r="328" spans="2:11" ht="18.5" customHeight="1">
      <c r="B328" s="333"/>
      <c r="C328" s="276"/>
      <c r="D328" s="298" t="s">
        <v>100</v>
      </c>
      <c r="E328" s="253" t="s">
        <v>44</v>
      </c>
      <c r="F328" s="253"/>
      <c r="G328" s="254"/>
      <c r="H328" s="255">
        <v>0</v>
      </c>
      <c r="I328" s="256" t="s">
        <v>111</v>
      </c>
      <c r="J328" s="254"/>
      <c r="K328" s="257"/>
    </row>
    <row r="329" spans="2:11" ht="18.5" customHeight="1">
      <c r="B329" s="333"/>
      <c r="C329" s="276"/>
      <c r="D329" s="298" t="s">
        <v>101</v>
      </c>
      <c r="E329" s="253" t="s">
        <v>44</v>
      </c>
      <c r="F329" s="253"/>
      <c r="G329" s="254"/>
      <c r="H329" s="255">
        <v>0</v>
      </c>
      <c r="I329" s="256" t="s">
        <v>111</v>
      </c>
      <c r="J329" s="254"/>
      <c r="K329" s="257"/>
    </row>
    <row r="330" spans="2:11" ht="23" customHeight="1">
      <c r="B330" s="334" t="s">
        <v>270</v>
      </c>
      <c r="C330" s="251">
        <v>1</v>
      </c>
      <c r="D330" s="252" t="s">
        <v>271</v>
      </c>
      <c r="E330" s="253" t="s">
        <v>58</v>
      </c>
      <c r="F330" s="253"/>
      <c r="G330" s="263" t="s">
        <v>272</v>
      </c>
      <c r="H330" s="255"/>
      <c r="I330" s="253"/>
      <c r="J330" s="257"/>
      <c r="K330" s="257"/>
    </row>
    <row r="331" spans="2:11" ht="23" customHeight="1">
      <c r="B331" s="334"/>
      <c r="C331" s="251"/>
      <c r="D331" s="259" t="s">
        <v>273</v>
      </c>
      <c r="E331" s="253" t="s">
        <v>274</v>
      </c>
      <c r="F331" s="253"/>
      <c r="G331" s="263"/>
      <c r="H331" s="255">
        <v>0</v>
      </c>
      <c r="I331" s="253" t="s">
        <v>51</v>
      </c>
      <c r="J331" s="257" t="s">
        <v>275</v>
      </c>
      <c r="K331" s="257"/>
    </row>
    <row r="332" spans="2:11" ht="23" customHeight="1">
      <c r="B332" s="334"/>
      <c r="C332" s="251"/>
      <c r="D332" s="259" t="s">
        <v>276</v>
      </c>
      <c r="E332" s="253" t="s">
        <v>277</v>
      </c>
      <c r="F332" s="253"/>
      <c r="G332" s="263"/>
      <c r="H332" s="260" t="s">
        <v>278</v>
      </c>
      <c r="I332" s="253" t="s">
        <v>51</v>
      </c>
      <c r="J332" s="257"/>
      <c r="K332" s="257"/>
    </row>
    <row r="333" spans="2:11" ht="84">
      <c r="B333" s="334"/>
      <c r="C333" s="251">
        <v>2</v>
      </c>
      <c r="D333" s="288" t="s">
        <v>279</v>
      </c>
      <c r="E333" s="309" t="s">
        <v>280</v>
      </c>
      <c r="F333" s="309"/>
      <c r="G333" s="263" t="s">
        <v>281</v>
      </c>
      <c r="H333" s="260" t="s">
        <v>282</v>
      </c>
      <c r="I333" s="256"/>
      <c r="J333" s="254" t="s">
        <v>283</v>
      </c>
      <c r="K333" s="257"/>
    </row>
    <row r="334" spans="2:11">
      <c r="B334" s="334"/>
      <c r="C334" s="251"/>
      <c r="D334" s="259" t="s">
        <v>273</v>
      </c>
      <c r="E334" s="253" t="s">
        <v>274</v>
      </c>
      <c r="F334" s="253"/>
      <c r="G334" s="263" t="s">
        <v>284</v>
      </c>
      <c r="H334" s="260">
        <v>0.25</v>
      </c>
      <c r="I334" s="256" t="s">
        <v>51</v>
      </c>
      <c r="J334" s="254"/>
      <c r="K334" s="257"/>
    </row>
    <row r="335" spans="2:11" ht="28">
      <c r="B335" s="334"/>
      <c r="C335" s="251"/>
      <c r="D335" s="259" t="s">
        <v>285</v>
      </c>
      <c r="E335" s="253" t="s">
        <v>274</v>
      </c>
      <c r="F335" s="253"/>
      <c r="G335" s="263" t="s">
        <v>285</v>
      </c>
      <c r="H335" s="260">
        <v>0.25</v>
      </c>
      <c r="I335" s="256" t="s">
        <v>51</v>
      </c>
      <c r="J335" s="254" t="s">
        <v>286</v>
      </c>
      <c r="K335" s="257"/>
    </row>
    <row r="336" spans="2:11">
      <c r="B336" s="334"/>
      <c r="C336" s="251"/>
      <c r="D336" s="259" t="s">
        <v>287</v>
      </c>
      <c r="E336" s="253" t="s">
        <v>274</v>
      </c>
      <c r="F336" s="253"/>
      <c r="G336" s="263" t="s">
        <v>288</v>
      </c>
      <c r="H336" s="260">
        <v>0.15</v>
      </c>
      <c r="I336" s="256" t="s">
        <v>51</v>
      </c>
      <c r="J336" s="254" t="s">
        <v>289</v>
      </c>
      <c r="K336" s="257"/>
    </row>
    <row r="337" spans="2:11" ht="42">
      <c r="B337" s="334"/>
      <c r="C337" s="251">
        <v>3</v>
      </c>
      <c r="D337" s="288" t="s">
        <v>290</v>
      </c>
      <c r="E337" s="253" t="s">
        <v>58</v>
      </c>
      <c r="F337" s="253"/>
      <c r="G337" s="263"/>
      <c r="H337" s="255"/>
      <c r="I337" s="256" t="s">
        <v>51</v>
      </c>
      <c r="J337" s="254" t="s">
        <v>291</v>
      </c>
      <c r="K337" s="257"/>
    </row>
    <row r="338" spans="2:11">
      <c r="B338" s="334"/>
      <c r="C338" s="251"/>
      <c r="D338" s="259" t="s">
        <v>292</v>
      </c>
      <c r="E338" s="253" t="s">
        <v>274</v>
      </c>
      <c r="F338" s="253"/>
      <c r="G338" s="310">
        <v>7.0000000000000007E-2</v>
      </c>
      <c r="H338" s="260">
        <v>7.0000000000000007E-2</v>
      </c>
      <c r="I338" s="256" t="s">
        <v>51</v>
      </c>
      <c r="J338" s="254"/>
      <c r="K338" s="257"/>
    </row>
    <row r="339" spans="2:11">
      <c r="B339" s="334"/>
      <c r="C339" s="251"/>
      <c r="D339" s="259" t="s">
        <v>293</v>
      </c>
      <c r="E339" s="253" t="s">
        <v>274</v>
      </c>
      <c r="F339" s="253"/>
      <c r="G339" s="310">
        <v>0.05</v>
      </c>
      <c r="H339" s="260">
        <v>0.05</v>
      </c>
      <c r="I339" s="256" t="s">
        <v>51</v>
      </c>
      <c r="J339" s="254"/>
      <c r="K339" s="257"/>
    </row>
    <row r="340" spans="2:11">
      <c r="B340" s="334"/>
      <c r="C340" s="251"/>
      <c r="D340" s="259" t="s">
        <v>294</v>
      </c>
      <c r="E340" s="253" t="s">
        <v>274</v>
      </c>
      <c r="F340" s="253"/>
      <c r="G340" s="310">
        <v>0.01</v>
      </c>
      <c r="H340" s="260">
        <v>0.01</v>
      </c>
      <c r="I340" s="256" t="s">
        <v>51</v>
      </c>
      <c r="J340" s="254"/>
      <c r="K340" s="257"/>
    </row>
    <row r="341" spans="2:11" ht="30">
      <c r="B341" s="334"/>
      <c r="C341" s="251">
        <v>4</v>
      </c>
      <c r="D341" s="288" t="s">
        <v>295</v>
      </c>
      <c r="E341" s="253" t="s">
        <v>58</v>
      </c>
      <c r="F341" s="253"/>
      <c r="G341" s="263"/>
      <c r="H341" s="255"/>
      <c r="I341" s="256" t="s">
        <v>51</v>
      </c>
      <c r="J341" s="263" t="s">
        <v>296</v>
      </c>
      <c r="K341" s="257"/>
    </row>
    <row r="342" spans="2:11">
      <c r="B342" s="334"/>
      <c r="C342" s="251"/>
      <c r="D342" s="259" t="s">
        <v>297</v>
      </c>
      <c r="E342" s="253" t="s">
        <v>274</v>
      </c>
      <c r="F342" s="253"/>
      <c r="G342" s="310">
        <v>0.03</v>
      </c>
      <c r="H342" s="260">
        <v>0.03</v>
      </c>
      <c r="I342" s="256" t="s">
        <v>51</v>
      </c>
      <c r="J342" s="257"/>
      <c r="K342" s="257"/>
    </row>
    <row r="343" spans="2:11">
      <c r="B343" s="334"/>
      <c r="C343" s="251"/>
      <c r="D343" s="259" t="s">
        <v>298</v>
      </c>
      <c r="E343" s="253" t="s">
        <v>274</v>
      </c>
      <c r="F343" s="253"/>
      <c r="G343" s="310">
        <v>0.02</v>
      </c>
      <c r="H343" s="260">
        <v>0.02</v>
      </c>
      <c r="I343" s="256" t="s">
        <v>51</v>
      </c>
      <c r="J343" s="257"/>
      <c r="K343" s="257"/>
    </row>
    <row r="344" spans="2:11">
      <c r="B344" s="334"/>
      <c r="C344" s="251">
        <v>5</v>
      </c>
      <c r="D344" s="288" t="s">
        <v>299</v>
      </c>
      <c r="E344" s="253"/>
      <c r="F344" s="253"/>
      <c r="G344" s="254"/>
      <c r="H344" s="255"/>
      <c r="I344" s="256"/>
      <c r="J344" s="254"/>
      <c r="K344" s="257"/>
    </row>
    <row r="345" spans="2:11">
      <c r="B345" s="334"/>
      <c r="C345" s="276">
        <v>5.0999999999999996</v>
      </c>
      <c r="D345" s="259" t="s">
        <v>300</v>
      </c>
      <c r="E345" s="253" t="s">
        <v>44</v>
      </c>
      <c r="F345" s="253"/>
      <c r="G345" s="254"/>
      <c r="H345" s="255">
        <v>0</v>
      </c>
      <c r="I345" s="256" t="s">
        <v>301</v>
      </c>
      <c r="J345" s="254"/>
      <c r="K345" s="257"/>
    </row>
    <row r="346" spans="2:11">
      <c r="B346" s="334"/>
      <c r="C346" s="276">
        <v>5.2</v>
      </c>
      <c r="D346" s="259" t="s">
        <v>302</v>
      </c>
      <c r="E346" s="253" t="s">
        <v>44</v>
      </c>
      <c r="F346" s="253"/>
      <c r="G346" s="254"/>
      <c r="H346" s="255">
        <v>0</v>
      </c>
      <c r="I346" s="256" t="s">
        <v>303</v>
      </c>
      <c r="J346" s="254"/>
      <c r="K346" s="257"/>
    </row>
    <row r="347" spans="2:11">
      <c r="B347" s="311"/>
      <c r="D347" s="312"/>
    </row>
    <row r="348" spans="2:11">
      <c r="B348" s="311"/>
      <c r="D348" s="312"/>
    </row>
    <row r="349" spans="2:11">
      <c r="B349" s="311"/>
      <c r="D349" s="312"/>
    </row>
    <row r="350" spans="2:11" ht="15">
      <c r="B350" s="243"/>
      <c r="C350" s="313"/>
      <c r="E350" s="313"/>
      <c r="F350" s="313"/>
      <c r="G350" s="243"/>
      <c r="H350" s="313"/>
      <c r="I350" s="313"/>
      <c r="J350" s="243"/>
      <c r="K350" s="243"/>
    </row>
    <row r="351" spans="2:11" ht="15">
      <c r="B351" s="248" t="s">
        <v>33</v>
      </c>
      <c r="C351" s="248" t="s">
        <v>14</v>
      </c>
      <c r="D351" s="248" t="s">
        <v>34</v>
      </c>
      <c r="E351" s="248" t="s">
        <v>35</v>
      </c>
      <c r="F351" s="248"/>
      <c r="G351" s="248"/>
      <c r="H351" s="248" t="s">
        <v>38</v>
      </c>
      <c r="I351" s="248"/>
      <c r="J351" s="243"/>
      <c r="K351" s="243"/>
    </row>
    <row r="352" spans="2:11" ht="15">
      <c r="B352" s="335" t="s">
        <v>304</v>
      </c>
      <c r="C352" s="314">
        <v>1</v>
      </c>
      <c r="D352" s="252" t="s">
        <v>305</v>
      </c>
      <c r="E352" s="253" t="s">
        <v>58</v>
      </c>
      <c r="F352" s="253"/>
      <c r="G352" s="315"/>
      <c r="H352" s="314"/>
      <c r="I352" s="314"/>
      <c r="J352" s="243"/>
      <c r="K352" s="243"/>
    </row>
    <row r="353" spans="2:11" ht="15">
      <c r="B353" s="335"/>
      <c r="C353" s="314"/>
      <c r="D353" s="259" t="s">
        <v>19</v>
      </c>
      <c r="E353" s="253" t="s">
        <v>58</v>
      </c>
      <c r="F353" s="253"/>
      <c r="G353" s="315"/>
      <c r="H353" s="316">
        <v>0.13</v>
      </c>
      <c r="I353" s="314"/>
      <c r="J353" s="243"/>
      <c r="K353" s="243"/>
    </row>
    <row r="354" spans="2:11" ht="15">
      <c r="B354" s="335"/>
      <c r="C354" s="314"/>
      <c r="D354" s="259" t="s">
        <v>20</v>
      </c>
      <c r="E354" s="253" t="s">
        <v>58</v>
      </c>
      <c r="F354" s="253"/>
      <c r="G354" s="315"/>
      <c r="H354" s="316">
        <v>0.09</v>
      </c>
      <c r="I354" s="314"/>
      <c r="J354" s="243"/>
      <c r="K354" s="243"/>
    </row>
    <row r="355" spans="2:11" ht="15">
      <c r="B355" s="335"/>
      <c r="C355" s="314"/>
      <c r="D355" s="259" t="s">
        <v>21</v>
      </c>
      <c r="E355" s="253" t="s">
        <v>58</v>
      </c>
      <c r="F355" s="253"/>
      <c r="G355" s="315"/>
      <c r="H355" s="316">
        <v>0.06</v>
      </c>
      <c r="I355" s="314"/>
      <c r="J355" s="243"/>
      <c r="K355" s="243"/>
    </row>
    <row r="356" spans="2:11" ht="15">
      <c r="B356" s="335"/>
      <c r="C356" s="314"/>
      <c r="D356" s="259" t="s">
        <v>22</v>
      </c>
      <c r="E356" s="253" t="s">
        <v>58</v>
      </c>
      <c r="F356" s="253"/>
      <c r="G356" s="315"/>
      <c r="H356" s="316">
        <v>0</v>
      </c>
      <c r="I356" s="314"/>
      <c r="J356" s="243"/>
      <c r="K356" s="243"/>
    </row>
    <row r="357" spans="2:11" ht="15">
      <c r="B357" s="335"/>
      <c r="C357" s="314"/>
      <c r="D357" s="259" t="s">
        <v>23</v>
      </c>
      <c r="E357" s="253" t="s">
        <v>58</v>
      </c>
      <c r="F357" s="253"/>
      <c r="G357" s="315"/>
      <c r="H357" s="316">
        <v>0.13</v>
      </c>
      <c r="I357" s="314"/>
      <c r="J357" s="243"/>
      <c r="K357" s="243"/>
    </row>
    <row r="358" spans="2:11" ht="15">
      <c r="B358" s="335"/>
      <c r="C358" s="314"/>
      <c r="D358" s="259" t="s">
        <v>24</v>
      </c>
      <c r="E358" s="253" t="s">
        <v>58</v>
      </c>
      <c r="F358" s="253"/>
      <c r="G358" s="315"/>
      <c r="H358" s="316">
        <v>0.09</v>
      </c>
      <c r="I358" s="314"/>
      <c r="J358" s="243"/>
      <c r="K358" s="243"/>
    </row>
    <row r="359" spans="2:11" ht="15">
      <c r="B359" s="335"/>
      <c r="C359" s="314"/>
      <c r="D359" s="259" t="s">
        <v>25</v>
      </c>
      <c r="E359" s="253" t="s">
        <v>58</v>
      </c>
      <c r="F359" s="253"/>
      <c r="G359" s="315"/>
      <c r="H359" s="316">
        <v>0</v>
      </c>
      <c r="I359" s="314"/>
      <c r="J359" s="243"/>
      <c r="K359" s="243"/>
    </row>
    <row r="360" spans="2:11" ht="15">
      <c r="B360" s="335"/>
      <c r="C360" s="314"/>
      <c r="D360" s="259" t="s">
        <v>27</v>
      </c>
      <c r="E360" s="253" t="s">
        <v>58</v>
      </c>
      <c r="F360" s="253"/>
      <c r="G360" s="315"/>
      <c r="H360" s="316">
        <v>0</v>
      </c>
      <c r="I360" s="314"/>
      <c r="J360" s="243"/>
      <c r="K360" s="243"/>
    </row>
    <row r="361" spans="2:11" ht="15">
      <c r="B361" s="335"/>
      <c r="C361" s="314">
        <v>2</v>
      </c>
      <c r="D361" s="252" t="s">
        <v>306</v>
      </c>
      <c r="E361" s="253" t="s">
        <v>58</v>
      </c>
      <c r="F361" s="253"/>
      <c r="G361" s="315"/>
      <c r="H361" s="314"/>
      <c r="I361" s="314"/>
      <c r="J361" s="243"/>
      <c r="K361" s="243"/>
    </row>
    <row r="362" spans="2:11" ht="15">
      <c r="B362" s="335"/>
      <c r="C362" s="314"/>
      <c r="D362" s="259" t="s">
        <v>307</v>
      </c>
      <c r="E362" s="253" t="s">
        <v>58</v>
      </c>
      <c r="F362" s="253"/>
      <c r="G362" s="315"/>
      <c r="H362" s="316">
        <v>0.13</v>
      </c>
      <c r="I362" s="314"/>
      <c r="J362" s="243"/>
      <c r="K362" s="243"/>
    </row>
    <row r="363" spans="2:11" ht="15">
      <c r="B363" s="243"/>
      <c r="C363" s="313"/>
      <c r="E363" s="313"/>
      <c r="F363" s="313"/>
      <c r="G363" s="243"/>
      <c r="H363" s="313"/>
      <c r="I363" s="313"/>
      <c r="J363" s="243"/>
      <c r="K363" s="243"/>
    </row>
    <row r="364" spans="2:11" ht="15">
      <c r="B364" s="243"/>
      <c r="C364" s="313"/>
      <c r="E364" s="313"/>
      <c r="F364" s="313"/>
      <c r="G364" s="243"/>
      <c r="H364" s="313"/>
      <c r="I364" s="313"/>
      <c r="J364" s="243"/>
      <c r="K364" s="243"/>
    </row>
    <row r="365" spans="2:11" ht="17.5">
      <c r="B365" s="243"/>
      <c r="C365" s="313"/>
      <c r="D365" s="317" t="s">
        <v>308</v>
      </c>
      <c r="E365" s="313"/>
      <c r="F365" s="313"/>
      <c r="G365" s="243"/>
      <c r="H365" s="313"/>
      <c r="I365" s="313"/>
      <c r="J365" s="243"/>
      <c r="K365" s="243"/>
    </row>
    <row r="366" spans="2:11" ht="17.5">
      <c r="B366" s="243"/>
      <c r="C366" s="313"/>
      <c r="D366" s="317" t="s">
        <v>309</v>
      </c>
      <c r="E366" s="313"/>
      <c r="F366" s="313"/>
      <c r="G366" s="243"/>
      <c r="H366" s="313"/>
      <c r="I366" s="313"/>
      <c r="J366" s="243"/>
      <c r="K366" s="243"/>
    </row>
    <row r="367" spans="2:11" ht="15">
      <c r="B367" s="243"/>
      <c r="C367" s="313"/>
      <c r="E367" s="313"/>
      <c r="F367" s="313"/>
      <c r="G367" s="243"/>
      <c r="H367" s="313"/>
      <c r="I367" s="313"/>
      <c r="J367" s="243"/>
      <c r="K367" s="243"/>
    </row>
    <row r="368" spans="2:11" ht="15">
      <c r="B368" s="243"/>
      <c r="C368" s="313"/>
      <c r="E368" s="313"/>
      <c r="F368" s="313"/>
      <c r="G368" s="243"/>
      <c r="H368" s="313"/>
      <c r="I368" s="313"/>
      <c r="J368" s="243"/>
      <c r="K368" s="243"/>
    </row>
    <row r="369" spans="2:11" ht="15">
      <c r="B369" s="243"/>
      <c r="C369" s="313"/>
      <c r="E369" s="313"/>
      <c r="F369" s="313"/>
      <c r="G369" s="243"/>
      <c r="H369" s="313"/>
      <c r="I369" s="313"/>
      <c r="J369" s="243"/>
      <c r="K369" s="243"/>
    </row>
  </sheetData>
  <mergeCells count="9">
    <mergeCell ref="B272:B329"/>
    <mergeCell ref="B330:B346"/>
    <mergeCell ref="B352:B362"/>
    <mergeCell ref="J166:J172"/>
    <mergeCell ref="B4:B12"/>
    <mergeCell ref="B13:B105"/>
    <mergeCell ref="B106:B121"/>
    <mergeCell ref="B122:B135"/>
    <mergeCell ref="B139:B232"/>
  </mergeCells>
  <phoneticPr fontId="51"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F103"/>
  <sheetViews>
    <sheetView showGridLines="0" topLeftCell="A72" zoomScale="70" zoomScaleNormal="70" workbookViewId="0">
      <selection activeCell="H70" sqref="H70"/>
    </sheetView>
  </sheetViews>
  <sheetFormatPr defaultColWidth="8.81640625" defaultRowHeight="16.5"/>
  <cols>
    <col min="1" max="1" width="2.81640625" style="74" customWidth="1"/>
    <col min="2" max="2" width="8.81640625" style="74"/>
    <col min="3" max="3" width="31.81640625" style="74" customWidth="1"/>
    <col min="4" max="4" width="18.453125" style="74" customWidth="1"/>
    <col min="5" max="5" width="8.81640625" style="74"/>
    <col min="6" max="6" width="11.81640625" style="74" customWidth="1"/>
    <col min="7" max="7" width="13.1796875" style="74" customWidth="1"/>
    <col min="8" max="9" width="13" style="74" customWidth="1"/>
    <col min="10" max="16" width="11.81640625" style="74" customWidth="1"/>
    <col min="17" max="22" width="11.6328125" style="74" customWidth="1"/>
    <col min="23" max="32" width="11.81640625" style="74" customWidth="1"/>
    <col min="33" max="16384" width="8.81640625" style="74"/>
  </cols>
  <sheetData>
    <row r="2" spans="2:32">
      <c r="B2" s="224" t="s">
        <v>310</v>
      </c>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6"/>
    </row>
    <row r="3" spans="2:32">
      <c r="B3" s="345" t="s">
        <v>14</v>
      </c>
      <c r="C3" s="227" t="s">
        <v>43</v>
      </c>
      <c r="D3" s="227" t="s">
        <v>311</v>
      </c>
      <c r="E3" s="344" t="s">
        <v>39</v>
      </c>
      <c r="F3" s="342" t="s">
        <v>43</v>
      </c>
      <c r="G3" s="342"/>
      <c r="H3" s="343" t="s">
        <v>54</v>
      </c>
      <c r="I3" s="343"/>
      <c r="J3" s="343"/>
      <c r="K3" s="343"/>
      <c r="L3" s="343"/>
      <c r="M3" s="343"/>
      <c r="N3" s="343"/>
      <c r="O3" s="343"/>
      <c r="P3" s="343"/>
      <c r="Q3" s="343"/>
      <c r="R3" s="343"/>
      <c r="S3" s="343"/>
      <c r="T3" s="343"/>
      <c r="U3" s="343"/>
      <c r="V3" s="343"/>
      <c r="W3" s="343"/>
      <c r="X3" s="343"/>
      <c r="Y3" s="343"/>
      <c r="Z3" s="343"/>
      <c r="AA3" s="343"/>
      <c r="AB3" s="343"/>
      <c r="AC3" s="343"/>
      <c r="AD3" s="343"/>
      <c r="AE3" s="343"/>
      <c r="AF3" s="343"/>
    </row>
    <row r="4" spans="2:32">
      <c r="B4" s="346"/>
      <c r="C4" s="227"/>
      <c r="D4" s="227"/>
      <c r="E4" s="344"/>
      <c r="F4" s="51">
        <v>1</v>
      </c>
      <c r="G4" s="51">
        <v>2</v>
      </c>
      <c r="H4" s="52">
        <v>1</v>
      </c>
      <c r="I4" s="52">
        <v>2</v>
      </c>
      <c r="J4" s="52">
        <v>3</v>
      </c>
      <c r="K4" s="52">
        <v>4</v>
      </c>
      <c r="L4" s="52">
        <v>5</v>
      </c>
      <c r="M4" s="52">
        <v>6</v>
      </c>
      <c r="N4" s="52">
        <v>7</v>
      </c>
      <c r="O4" s="52">
        <v>8</v>
      </c>
      <c r="P4" s="52">
        <v>9</v>
      </c>
      <c r="Q4" s="52">
        <v>10</v>
      </c>
      <c r="R4" s="52">
        <v>11</v>
      </c>
      <c r="S4" s="52">
        <v>12</v>
      </c>
      <c r="T4" s="52">
        <v>13</v>
      </c>
      <c r="U4" s="52">
        <v>14</v>
      </c>
      <c r="V4" s="52">
        <v>15</v>
      </c>
      <c r="W4" s="52">
        <v>16</v>
      </c>
      <c r="X4" s="52">
        <v>17</v>
      </c>
      <c r="Y4" s="52">
        <v>18</v>
      </c>
      <c r="Z4" s="52">
        <v>19</v>
      </c>
      <c r="AA4" s="52">
        <v>20</v>
      </c>
      <c r="AB4" s="52">
        <v>21</v>
      </c>
      <c r="AC4" s="52">
        <v>22</v>
      </c>
      <c r="AD4" s="52">
        <v>23</v>
      </c>
      <c r="AE4" s="52">
        <v>24</v>
      </c>
      <c r="AF4" s="52">
        <v>25</v>
      </c>
    </row>
    <row r="5" spans="2:32">
      <c r="B5" s="347"/>
      <c r="C5" s="227" t="s">
        <v>50</v>
      </c>
      <c r="D5" s="228">
        <f>SUM(F5:M5)</f>
        <v>1</v>
      </c>
      <c r="E5" s="344"/>
      <c r="F5" s="229">
        <f>参数输入表!H7</f>
        <v>1</v>
      </c>
      <c r="G5" s="229">
        <f>参数输入表!H8</f>
        <v>0</v>
      </c>
      <c r="H5" s="229"/>
      <c r="I5" s="230"/>
      <c r="J5" s="230"/>
      <c r="K5" s="230"/>
      <c r="L5" s="230"/>
      <c r="M5" s="230"/>
      <c r="N5" s="88"/>
      <c r="O5" s="88"/>
      <c r="P5" s="88"/>
      <c r="Q5" s="88"/>
      <c r="R5" s="88"/>
      <c r="S5" s="88"/>
      <c r="T5" s="88"/>
      <c r="U5" s="88"/>
      <c r="V5" s="88"/>
      <c r="W5" s="88"/>
      <c r="X5" s="88"/>
      <c r="Y5" s="88"/>
      <c r="Z5" s="88"/>
      <c r="AA5" s="88"/>
      <c r="AB5" s="88"/>
      <c r="AC5" s="88"/>
      <c r="AD5" s="88"/>
      <c r="AE5" s="88"/>
      <c r="AF5" s="88"/>
    </row>
    <row r="6" spans="2:32">
      <c r="B6" s="53">
        <v>1</v>
      </c>
      <c r="C6" s="70" t="s">
        <v>312</v>
      </c>
      <c r="D6" s="231">
        <f ca="1">D7+D8+D9</f>
        <v>27323.100836986847</v>
      </c>
      <c r="E6" s="56" t="s">
        <v>111</v>
      </c>
      <c r="F6" s="231">
        <f ca="1">SUM(F7:F9)</f>
        <v>27083.100836986847</v>
      </c>
      <c r="G6" s="231">
        <f>SUM(G7:G9)</f>
        <v>0</v>
      </c>
      <c r="H6" s="231">
        <f t="shared" ref="H6" si="0">SUM(H7:H9)</f>
        <v>240</v>
      </c>
      <c r="I6" s="232"/>
      <c r="J6" s="232"/>
      <c r="K6" s="232"/>
      <c r="L6" s="232"/>
      <c r="M6" s="232"/>
      <c r="N6" s="88"/>
      <c r="O6" s="88"/>
      <c r="P6" s="88"/>
      <c r="Q6" s="88"/>
      <c r="R6" s="88"/>
      <c r="S6" s="88"/>
      <c r="T6" s="88"/>
      <c r="U6" s="88"/>
      <c r="V6" s="88"/>
      <c r="W6" s="88"/>
      <c r="X6" s="88"/>
      <c r="Y6" s="88"/>
      <c r="Z6" s="88"/>
      <c r="AA6" s="88"/>
      <c r="AB6" s="88"/>
      <c r="AC6" s="88"/>
      <c r="AD6" s="88"/>
      <c r="AE6" s="88"/>
      <c r="AF6" s="88"/>
    </row>
    <row r="7" spans="2:32">
      <c r="B7" s="56">
        <v>1.1000000000000001</v>
      </c>
      <c r="C7" s="182" t="s">
        <v>114</v>
      </c>
      <c r="D7" s="233">
        <f>SUM(F7:AF7)</f>
        <v>26700</v>
      </c>
      <c r="E7" s="56" t="s">
        <v>111</v>
      </c>
      <c r="F7" s="233">
        <f>参数输入表!$H$114*F5</f>
        <v>26700</v>
      </c>
      <c r="G7" s="233">
        <f>参数输入表!$H$114*G5</f>
        <v>0</v>
      </c>
      <c r="H7" s="233">
        <v>0</v>
      </c>
      <c r="I7" s="232"/>
      <c r="J7" s="232"/>
      <c r="K7" s="232"/>
      <c r="L7" s="232"/>
      <c r="M7" s="232"/>
      <c r="N7" s="88"/>
      <c r="O7" s="88"/>
      <c r="P7" s="88"/>
      <c r="Q7" s="88"/>
      <c r="R7" s="88"/>
      <c r="S7" s="88"/>
      <c r="T7" s="88"/>
      <c r="U7" s="88"/>
      <c r="V7" s="88"/>
      <c r="W7" s="88"/>
      <c r="X7" s="88"/>
      <c r="Y7" s="88"/>
      <c r="Z7" s="88"/>
      <c r="AA7" s="88"/>
      <c r="AB7" s="88"/>
      <c r="AC7" s="88"/>
      <c r="AD7" s="88"/>
      <c r="AE7" s="88"/>
      <c r="AF7" s="88"/>
    </row>
    <row r="8" spans="2:32">
      <c r="B8" s="56">
        <v>1.2</v>
      </c>
      <c r="C8" s="182" t="s">
        <v>27</v>
      </c>
      <c r="D8" s="233">
        <f ca="1">SUM(F8:AF8)</f>
        <v>383.1008369868473</v>
      </c>
      <c r="E8" s="56" t="s">
        <v>111</v>
      </c>
      <c r="F8" s="233">
        <f ca="1">F17</f>
        <v>383.1008369868473</v>
      </c>
      <c r="G8" s="233">
        <f>G17</f>
        <v>0</v>
      </c>
      <c r="H8" s="233">
        <f>H17</f>
        <v>0</v>
      </c>
      <c r="I8" s="232"/>
      <c r="J8" s="232"/>
      <c r="K8" s="232"/>
      <c r="L8" s="232"/>
      <c r="M8" s="232"/>
      <c r="N8" s="88"/>
      <c r="O8" s="88"/>
      <c r="P8" s="88"/>
      <c r="Q8" s="88"/>
      <c r="R8" s="88"/>
      <c r="S8" s="88"/>
      <c r="T8" s="88"/>
      <c r="U8" s="88"/>
      <c r="V8" s="88"/>
      <c r="W8" s="88"/>
      <c r="X8" s="88"/>
      <c r="Y8" s="88"/>
      <c r="Z8" s="88"/>
      <c r="AA8" s="88"/>
      <c r="AB8" s="88"/>
      <c r="AC8" s="88"/>
      <c r="AD8" s="88"/>
      <c r="AE8" s="88"/>
      <c r="AF8" s="88"/>
    </row>
    <row r="9" spans="2:32">
      <c r="B9" s="56">
        <v>1.3</v>
      </c>
      <c r="C9" s="182" t="s">
        <v>29</v>
      </c>
      <c r="D9" s="233">
        <f>SUM(F9:AF9)</f>
        <v>240</v>
      </c>
      <c r="E9" s="56" t="s">
        <v>111</v>
      </c>
      <c r="F9" s="233">
        <v>0</v>
      </c>
      <c r="G9" s="233">
        <v>0</v>
      </c>
      <c r="H9" s="233">
        <f>参数输入表!H118</f>
        <v>240</v>
      </c>
      <c r="I9" s="232"/>
      <c r="J9" s="232"/>
      <c r="K9" s="232"/>
      <c r="L9" s="232"/>
      <c r="M9" s="232"/>
      <c r="N9" s="88"/>
      <c r="O9" s="88"/>
      <c r="P9" s="88"/>
      <c r="Q9" s="88"/>
      <c r="R9" s="88"/>
      <c r="S9" s="88"/>
      <c r="T9" s="88"/>
      <c r="U9" s="88"/>
      <c r="V9" s="88"/>
      <c r="W9" s="88"/>
      <c r="X9" s="88"/>
      <c r="Y9" s="88"/>
      <c r="Z9" s="88"/>
      <c r="AA9" s="88"/>
      <c r="AB9" s="88"/>
      <c r="AC9" s="88"/>
      <c r="AD9" s="88"/>
      <c r="AE9" s="88"/>
      <c r="AF9" s="88"/>
    </row>
    <row r="10" spans="2:32">
      <c r="B10" s="53">
        <v>2</v>
      </c>
      <c r="C10" s="70" t="s">
        <v>313</v>
      </c>
      <c r="D10" s="70"/>
      <c r="E10" s="53"/>
      <c r="F10" s="233"/>
      <c r="G10" s="233"/>
      <c r="H10" s="233"/>
      <c r="I10" s="53"/>
      <c r="J10" s="53"/>
      <c r="K10" s="53"/>
      <c r="L10" s="53"/>
      <c r="M10" s="53"/>
      <c r="N10" s="88"/>
      <c r="O10" s="88"/>
      <c r="P10" s="88"/>
      <c r="Q10" s="88"/>
      <c r="R10" s="88"/>
      <c r="S10" s="88"/>
      <c r="T10" s="88"/>
      <c r="U10" s="88"/>
      <c r="V10" s="88"/>
      <c r="W10" s="88"/>
      <c r="X10" s="88"/>
      <c r="Y10" s="88"/>
      <c r="Z10" s="88"/>
      <c r="AA10" s="88"/>
      <c r="AB10" s="88"/>
      <c r="AC10" s="88"/>
      <c r="AD10" s="88"/>
      <c r="AE10" s="88"/>
      <c r="AF10" s="88"/>
    </row>
    <row r="11" spans="2:32">
      <c r="B11" s="53">
        <v>2.1</v>
      </c>
      <c r="C11" s="70" t="s">
        <v>132</v>
      </c>
      <c r="D11" s="231">
        <f ca="1">SUM(F11:AF11)</f>
        <v>5488.6201673973701</v>
      </c>
      <c r="E11" s="56" t="s">
        <v>111</v>
      </c>
      <c r="F11" s="231">
        <f ca="1">F6*参数输入表!$H$122</f>
        <v>5416.6201673973701</v>
      </c>
      <c r="G11" s="231">
        <f>G6*参数输入表!$H$122</f>
        <v>0</v>
      </c>
      <c r="H11" s="231">
        <f>H6*参数输入表!$H$130</f>
        <v>72</v>
      </c>
      <c r="I11" s="232"/>
      <c r="J11" s="232"/>
      <c r="K11" s="232"/>
      <c r="L11" s="232"/>
      <c r="M11" s="232"/>
      <c r="N11" s="88"/>
      <c r="O11" s="88"/>
      <c r="P11" s="88"/>
      <c r="Q11" s="88"/>
      <c r="R11" s="88"/>
      <c r="S11" s="88"/>
      <c r="T11" s="88"/>
      <c r="U11" s="88"/>
      <c r="V11" s="88"/>
      <c r="W11" s="88"/>
      <c r="X11" s="88"/>
      <c r="Y11" s="88"/>
      <c r="Z11" s="88"/>
      <c r="AA11" s="88"/>
      <c r="AB11" s="88"/>
      <c r="AC11" s="88"/>
      <c r="AD11" s="88"/>
      <c r="AE11" s="88"/>
      <c r="AF11" s="88"/>
    </row>
    <row r="12" spans="2:32">
      <c r="B12" s="56" t="s">
        <v>314</v>
      </c>
      <c r="C12" s="182" t="s">
        <v>315</v>
      </c>
      <c r="D12" s="233">
        <f ca="1">SUM(F12:AF12)</f>
        <v>5416.6201673973701</v>
      </c>
      <c r="E12" s="56" t="s">
        <v>111</v>
      </c>
      <c r="F12" s="233">
        <f ca="1">F11-F13-F14</f>
        <v>5416.6201673973701</v>
      </c>
      <c r="G12" s="233">
        <f>G11-G13-G14</f>
        <v>0</v>
      </c>
      <c r="H12" s="233">
        <v>0</v>
      </c>
      <c r="I12" s="234"/>
      <c r="J12" s="234"/>
      <c r="K12" s="234"/>
      <c r="L12" s="234"/>
      <c r="M12" s="234"/>
      <c r="N12" s="88"/>
      <c r="O12" s="88"/>
      <c r="P12" s="88"/>
      <c r="Q12" s="88"/>
      <c r="R12" s="88"/>
      <c r="S12" s="88"/>
      <c r="T12" s="88"/>
      <c r="U12" s="88"/>
      <c r="V12" s="88"/>
      <c r="W12" s="88"/>
      <c r="X12" s="88"/>
      <c r="Y12" s="88"/>
      <c r="Z12" s="88"/>
      <c r="AA12" s="88"/>
      <c r="AB12" s="88"/>
      <c r="AC12" s="88"/>
      <c r="AD12" s="88"/>
      <c r="AE12" s="88"/>
      <c r="AF12" s="88"/>
    </row>
    <row r="13" spans="2:32">
      <c r="B13" s="56" t="s">
        <v>316</v>
      </c>
      <c r="C13" s="182" t="s">
        <v>317</v>
      </c>
      <c r="D13" s="233">
        <f>SUM(F13:AF13)</f>
        <v>0</v>
      </c>
      <c r="E13" s="56" t="s">
        <v>111</v>
      </c>
      <c r="F13" s="233">
        <v>0</v>
      </c>
      <c r="G13" s="233">
        <v>0</v>
      </c>
      <c r="H13" s="233">
        <v>0</v>
      </c>
      <c r="I13" s="234"/>
      <c r="J13" s="234"/>
      <c r="K13" s="234"/>
      <c r="L13" s="234"/>
      <c r="M13" s="234"/>
      <c r="N13" s="88"/>
      <c r="O13" s="88"/>
      <c r="P13" s="88"/>
      <c r="Q13" s="88"/>
      <c r="R13" s="88"/>
      <c r="S13" s="88"/>
      <c r="T13" s="88"/>
      <c r="U13" s="88"/>
      <c r="V13" s="88"/>
      <c r="W13" s="88"/>
      <c r="X13" s="88"/>
      <c r="Y13" s="88"/>
      <c r="Z13" s="88"/>
      <c r="AA13" s="88"/>
      <c r="AB13" s="88"/>
      <c r="AC13" s="88"/>
      <c r="AD13" s="88"/>
      <c r="AE13" s="88"/>
      <c r="AF13" s="88"/>
    </row>
    <row r="14" spans="2:32">
      <c r="B14" s="56" t="s">
        <v>318</v>
      </c>
      <c r="C14" s="182" t="s">
        <v>319</v>
      </c>
      <c r="D14" s="233">
        <f>SUM(F14:AF14)</f>
        <v>72</v>
      </c>
      <c r="E14" s="56"/>
      <c r="F14" s="233">
        <v>0</v>
      </c>
      <c r="G14" s="233">
        <v>0</v>
      </c>
      <c r="H14" s="233">
        <f>H9*参数输入表!H130</f>
        <v>72</v>
      </c>
      <c r="I14" s="234"/>
      <c r="J14" s="234"/>
      <c r="K14" s="234"/>
      <c r="L14" s="234"/>
      <c r="M14" s="234"/>
      <c r="N14" s="88"/>
      <c r="O14" s="88"/>
      <c r="P14" s="88"/>
      <c r="Q14" s="88"/>
      <c r="R14" s="88"/>
      <c r="S14" s="88"/>
      <c r="T14" s="88"/>
      <c r="U14" s="88"/>
      <c r="V14" s="88"/>
      <c r="W14" s="88"/>
      <c r="X14" s="88"/>
      <c r="Y14" s="88"/>
      <c r="Z14" s="88"/>
      <c r="AA14" s="88"/>
      <c r="AB14" s="88"/>
      <c r="AC14" s="88"/>
      <c r="AD14" s="88"/>
      <c r="AE14" s="88"/>
      <c r="AF14" s="88"/>
    </row>
    <row r="15" spans="2:32">
      <c r="B15" s="53">
        <v>2.2000000000000002</v>
      </c>
      <c r="C15" s="70" t="s">
        <v>320</v>
      </c>
      <c r="D15" s="231">
        <f t="shared" ref="D15" ca="1" si="1">SUM(F15:M15)</f>
        <v>21834.480669589477</v>
      </c>
      <c r="E15" s="56" t="s">
        <v>111</v>
      </c>
      <c r="F15" s="231">
        <f ca="1">SUM(F16:F18)</f>
        <v>21666.480669589477</v>
      </c>
      <c r="G15" s="231">
        <f t="shared" ref="G15:H15" si="2">SUM(G16:G18)</f>
        <v>0</v>
      </c>
      <c r="H15" s="231">
        <f t="shared" si="2"/>
        <v>168</v>
      </c>
      <c r="I15" s="232"/>
      <c r="J15" s="232"/>
      <c r="K15" s="232"/>
      <c r="L15" s="232"/>
      <c r="M15" s="232"/>
      <c r="N15" s="88"/>
      <c r="O15" s="88"/>
      <c r="P15" s="88"/>
      <c r="Q15" s="88"/>
      <c r="R15" s="88"/>
      <c r="S15" s="88"/>
      <c r="T15" s="88"/>
      <c r="U15" s="88"/>
      <c r="V15" s="88"/>
      <c r="W15" s="88"/>
      <c r="X15" s="88"/>
      <c r="Y15" s="88"/>
      <c r="Z15" s="88"/>
      <c r="AA15" s="88"/>
      <c r="AB15" s="88"/>
      <c r="AC15" s="88"/>
      <c r="AD15" s="88"/>
      <c r="AE15" s="88"/>
      <c r="AF15" s="88"/>
    </row>
    <row r="16" spans="2:32">
      <c r="B16" s="56" t="s">
        <v>321</v>
      </c>
      <c r="C16" s="182" t="s">
        <v>315</v>
      </c>
      <c r="D16" s="233">
        <f ca="1">SUM(F16:AF16)</f>
        <v>21283.37983260263</v>
      </c>
      <c r="E16" s="56" t="s">
        <v>111</v>
      </c>
      <c r="F16" s="233">
        <f ca="1">F7-F12</f>
        <v>21283.37983260263</v>
      </c>
      <c r="G16" s="233">
        <f>G7-G12</f>
        <v>0</v>
      </c>
      <c r="H16" s="233">
        <f t="shared" ref="H16" si="3">H7-H12</f>
        <v>0</v>
      </c>
      <c r="I16" s="234"/>
      <c r="J16" s="234"/>
      <c r="K16" s="234"/>
      <c r="L16" s="234"/>
      <c r="M16" s="234"/>
      <c r="N16" s="88"/>
      <c r="O16" s="88"/>
      <c r="P16" s="88"/>
      <c r="Q16" s="88"/>
      <c r="R16" s="88"/>
      <c r="S16" s="88"/>
      <c r="T16" s="88"/>
      <c r="U16" s="88"/>
      <c r="V16" s="88"/>
      <c r="W16" s="88"/>
      <c r="X16" s="88"/>
      <c r="Y16" s="88"/>
      <c r="Z16" s="88"/>
      <c r="AA16" s="88"/>
      <c r="AB16" s="88"/>
      <c r="AC16" s="88"/>
      <c r="AD16" s="88"/>
      <c r="AE16" s="88"/>
      <c r="AF16" s="88"/>
    </row>
    <row r="17" spans="2:32">
      <c r="B17" s="56" t="s">
        <v>316</v>
      </c>
      <c r="C17" s="182" t="s">
        <v>317</v>
      </c>
      <c r="D17" s="233">
        <f ca="1">SUM(F17:AF17)</f>
        <v>383.1008369868473</v>
      </c>
      <c r="E17" s="56" t="s">
        <v>111</v>
      </c>
      <c r="F17" s="233">
        <f ca="1">F16/2*参数输入表!$H$125</f>
        <v>383.1008369868473</v>
      </c>
      <c r="G17" s="233">
        <f>IF(G5=0,0,(G16/2+F15)*参数输入表!$H$125)</f>
        <v>0</v>
      </c>
      <c r="H17" s="233">
        <v>0</v>
      </c>
      <c r="I17" s="234"/>
      <c r="J17" s="234"/>
      <c r="K17" s="234"/>
      <c r="L17" s="234"/>
      <c r="M17" s="234"/>
      <c r="N17" s="88"/>
      <c r="O17" s="88"/>
      <c r="P17" s="88"/>
      <c r="Q17" s="88"/>
      <c r="R17" s="88"/>
      <c r="S17" s="88"/>
      <c r="T17" s="88"/>
      <c r="U17" s="88"/>
      <c r="V17" s="88"/>
      <c r="W17" s="88"/>
      <c r="X17" s="88"/>
      <c r="Y17" s="88"/>
      <c r="Z17" s="88"/>
      <c r="AA17" s="88"/>
      <c r="AB17" s="88"/>
      <c r="AC17" s="88"/>
      <c r="AD17" s="88"/>
      <c r="AE17" s="88"/>
      <c r="AF17" s="88"/>
    </row>
    <row r="18" spans="2:32">
      <c r="B18" s="56" t="s">
        <v>318</v>
      </c>
      <c r="C18" s="182" t="s">
        <v>319</v>
      </c>
      <c r="D18" s="233">
        <f>SUM(F18:AF18)</f>
        <v>168</v>
      </c>
      <c r="E18" s="56" t="s">
        <v>111</v>
      </c>
      <c r="F18" s="233">
        <v>0</v>
      </c>
      <c r="G18" s="233">
        <v>0</v>
      </c>
      <c r="H18" s="233">
        <f>H9-H14</f>
        <v>168</v>
      </c>
      <c r="I18" s="234"/>
      <c r="J18" s="234"/>
      <c r="K18" s="234"/>
      <c r="L18" s="234"/>
      <c r="M18" s="234"/>
      <c r="N18" s="88"/>
      <c r="O18" s="88"/>
      <c r="P18" s="88"/>
      <c r="Q18" s="88"/>
      <c r="R18" s="88"/>
      <c r="S18" s="88"/>
      <c r="T18" s="88"/>
      <c r="U18" s="88"/>
      <c r="V18" s="88"/>
      <c r="W18" s="88"/>
      <c r="X18" s="88"/>
      <c r="Y18" s="88"/>
      <c r="Z18" s="88"/>
      <c r="AA18" s="88"/>
      <c r="AB18" s="88"/>
      <c r="AC18" s="88"/>
      <c r="AD18" s="88"/>
      <c r="AE18" s="88"/>
      <c r="AF18" s="88"/>
    </row>
    <row r="19" spans="2:32">
      <c r="B19" s="122"/>
      <c r="C19" s="235"/>
      <c r="D19" s="236"/>
      <c r="E19" s="122"/>
      <c r="F19" s="236"/>
      <c r="G19" s="236"/>
      <c r="H19" s="236"/>
      <c r="I19" s="237"/>
      <c r="J19" s="237"/>
      <c r="K19" s="237"/>
      <c r="L19" s="237"/>
      <c r="M19" s="237"/>
    </row>
    <row r="20" spans="2:32" hidden="1">
      <c r="B20" s="224" t="s">
        <v>322</v>
      </c>
      <c r="C20" s="225"/>
      <c r="D20" s="225"/>
      <c r="E20" s="225"/>
      <c r="F20" s="225"/>
      <c r="G20" s="225"/>
      <c r="H20" s="225"/>
      <c r="I20" s="225"/>
      <c r="J20" s="225"/>
      <c r="K20" s="225"/>
      <c r="L20" s="225"/>
      <c r="M20" s="225"/>
      <c r="N20" s="225"/>
      <c r="O20" s="225"/>
      <c r="P20" s="225"/>
      <c r="Q20" s="225"/>
      <c r="R20" s="225"/>
      <c r="S20" s="225"/>
      <c r="T20" s="225"/>
      <c r="U20" s="225"/>
      <c r="V20" s="225"/>
      <c r="W20" s="225"/>
      <c r="X20" s="225"/>
      <c r="Y20" s="225"/>
      <c r="Z20" s="225"/>
      <c r="AA20" s="225"/>
      <c r="AB20" s="225"/>
      <c r="AC20" s="225"/>
      <c r="AD20" s="225"/>
      <c r="AE20" s="225"/>
      <c r="AF20" s="226"/>
    </row>
    <row r="21" spans="2:32" hidden="1">
      <c r="B21" s="344" t="s">
        <v>14</v>
      </c>
      <c r="C21" s="344" t="s">
        <v>323</v>
      </c>
      <c r="D21" s="344" t="s">
        <v>311</v>
      </c>
      <c r="E21" s="344" t="s">
        <v>39</v>
      </c>
      <c r="F21" s="342" t="s">
        <v>43</v>
      </c>
      <c r="G21" s="342"/>
      <c r="H21" s="343" t="s">
        <v>54</v>
      </c>
      <c r="I21" s="343"/>
      <c r="J21" s="343"/>
      <c r="K21" s="343"/>
      <c r="L21" s="343"/>
      <c r="M21" s="343"/>
      <c r="N21" s="343"/>
      <c r="O21" s="343"/>
      <c r="P21" s="343"/>
      <c r="Q21" s="343"/>
      <c r="R21" s="343"/>
      <c r="S21" s="343"/>
      <c r="T21" s="343"/>
      <c r="U21" s="343"/>
      <c r="V21" s="343"/>
      <c r="W21" s="343"/>
      <c r="X21" s="343"/>
      <c r="Y21" s="343"/>
      <c r="Z21" s="343"/>
      <c r="AA21" s="343"/>
      <c r="AB21" s="343"/>
      <c r="AC21" s="343"/>
      <c r="AD21" s="343"/>
      <c r="AE21" s="343"/>
      <c r="AF21" s="343"/>
    </row>
    <row r="22" spans="2:32" hidden="1">
      <c r="B22" s="344"/>
      <c r="C22" s="344"/>
      <c r="D22" s="344"/>
      <c r="E22" s="344"/>
      <c r="F22" s="51">
        <v>1</v>
      </c>
      <c r="G22" s="51">
        <v>2</v>
      </c>
      <c r="H22" s="52">
        <v>1</v>
      </c>
      <c r="I22" s="52">
        <v>2</v>
      </c>
      <c r="J22" s="52">
        <v>3</v>
      </c>
      <c r="K22" s="52">
        <v>4</v>
      </c>
      <c r="L22" s="52">
        <v>5</v>
      </c>
      <c r="M22" s="52">
        <v>6</v>
      </c>
      <c r="N22" s="52">
        <v>7</v>
      </c>
      <c r="O22" s="52">
        <v>8</v>
      </c>
      <c r="P22" s="52">
        <v>9</v>
      </c>
      <c r="Q22" s="52">
        <v>10</v>
      </c>
      <c r="R22" s="52">
        <v>11</v>
      </c>
      <c r="S22" s="52">
        <v>12</v>
      </c>
      <c r="T22" s="52">
        <v>13</v>
      </c>
      <c r="U22" s="52">
        <v>14</v>
      </c>
      <c r="V22" s="52">
        <v>15</v>
      </c>
      <c r="W22" s="52">
        <v>16</v>
      </c>
      <c r="X22" s="52">
        <v>17</v>
      </c>
      <c r="Y22" s="52">
        <v>18</v>
      </c>
      <c r="Z22" s="52">
        <v>19</v>
      </c>
      <c r="AA22" s="52">
        <v>20</v>
      </c>
      <c r="AB22" s="52">
        <v>21</v>
      </c>
      <c r="AC22" s="52">
        <v>22</v>
      </c>
      <c r="AD22" s="52">
        <v>23</v>
      </c>
      <c r="AE22" s="52">
        <v>24</v>
      </c>
      <c r="AF22" s="52">
        <v>25</v>
      </c>
    </row>
    <row r="23" spans="2:32" hidden="1">
      <c r="B23" s="53">
        <v>1</v>
      </c>
      <c r="C23" s="70" t="s">
        <v>324</v>
      </c>
      <c r="D23" s="231">
        <f ca="1">SUM(F23:AF23)</f>
        <v>177422.19535753448</v>
      </c>
      <c r="E23" s="56" t="s">
        <v>111</v>
      </c>
      <c r="F23" s="231">
        <f ca="1">SUM(F24:F27)</f>
        <v>2571.0688249558398</v>
      </c>
      <c r="G23" s="231">
        <f t="shared" ref="G23:AF23" ca="1" si="4">SUM(G24:G27)</f>
        <v>2571.0688249558398</v>
      </c>
      <c r="H23" s="231">
        <f t="shared" ca="1" si="4"/>
        <v>2725.4621157866263</v>
      </c>
      <c r="I23" s="231">
        <f t="shared" ca="1" si="4"/>
        <v>2880.1026785277982</v>
      </c>
      <c r="J23" s="231">
        <f t="shared" ca="1" si="4"/>
        <v>3038.8509542185952</v>
      </c>
      <c r="K23" s="231">
        <f t="shared" ca="1" si="4"/>
        <v>3137.3603279350709</v>
      </c>
      <c r="L23" s="231">
        <f t="shared" ca="1" si="4"/>
        <v>3246.656772954284</v>
      </c>
      <c r="M23" s="231">
        <f t="shared" ca="1" si="4"/>
        <v>3442.3133402082894</v>
      </c>
      <c r="N23" s="231">
        <f t="shared" ca="1" si="4"/>
        <v>3540.8588360313197</v>
      </c>
      <c r="O23" s="231">
        <f t="shared" ca="1" si="4"/>
        <v>3632.6073560058207</v>
      </c>
      <c r="P23" s="231">
        <f t="shared" ca="1" si="4"/>
        <v>3739.4440953415328</v>
      </c>
      <c r="Q23" s="231">
        <f t="shared" ca="1" si="4"/>
        <v>3861.4320324475652</v>
      </c>
      <c r="R23" s="231">
        <f t="shared" ca="1" si="4"/>
        <v>3556.1993025879019</v>
      </c>
      <c r="S23" s="231">
        <f t="shared" ca="1" si="4"/>
        <v>3691.1250646608405</v>
      </c>
      <c r="T23" s="231">
        <f t="shared" ca="1" si="4"/>
        <v>3845.4768163493163</v>
      </c>
      <c r="U23" s="231">
        <f t="shared" ca="1" si="4"/>
        <v>4018.5107062606403</v>
      </c>
      <c r="V23" s="231">
        <f t="shared" ca="1" si="4"/>
        <v>4209.628502726222</v>
      </c>
      <c r="W23" s="231">
        <f t="shared" ca="1" si="4"/>
        <v>5827.7984603435261</v>
      </c>
      <c r="X23" s="231">
        <f t="shared" ca="1" si="4"/>
        <v>7430.5000610888947</v>
      </c>
      <c r="Y23" s="231">
        <f t="shared" ca="1" si="4"/>
        <v>9019.736449291715</v>
      </c>
      <c r="Z23" s="231">
        <f t="shared" ca="1" si="4"/>
        <v>10597.13438315442</v>
      </c>
      <c r="AA23" s="231">
        <f t="shared" ca="1" si="4"/>
        <v>12151.492914528224</v>
      </c>
      <c r="AB23" s="231">
        <f t="shared" ca="1" si="4"/>
        <v>13236.139340377404</v>
      </c>
      <c r="AC23" s="231">
        <f t="shared" ca="1" si="4"/>
        <v>14203.734729919212</v>
      </c>
      <c r="AD23" s="231">
        <f t="shared" ca="1" si="4"/>
        <v>15066.022825556129</v>
      </c>
      <c r="AE23" s="231">
        <f t="shared" ca="1" si="4"/>
        <v>15833.572821575928</v>
      </c>
      <c r="AF23" s="231">
        <f t="shared" ca="1" si="4"/>
        <v>16347.896819745563</v>
      </c>
    </row>
    <row r="24" spans="2:32" hidden="1">
      <c r="B24" s="56"/>
      <c r="C24" s="182" t="s">
        <v>325</v>
      </c>
      <c r="D24" s="233">
        <f t="shared" ref="D24:D28" ca="1" si="5">SUM(F24:AF24)</f>
        <v>164987.55386769437</v>
      </c>
      <c r="E24" s="56" t="s">
        <v>111</v>
      </c>
      <c r="F24" s="233">
        <f ca="1">'表9-现金流量表-财务计划'!F34</f>
        <v>0</v>
      </c>
      <c r="G24" s="233">
        <f ca="1">'表9-现金流量表-财务计划'!G34</f>
        <v>0</v>
      </c>
      <c r="H24" s="233">
        <f ca="1">'表9-现金流量表-财务计划'!H34</f>
        <v>543.73516410512275</v>
      </c>
      <c r="I24" s="233">
        <f ca="1">'表9-现金流量表-财务计划'!I34</f>
        <v>1085.9655616908967</v>
      </c>
      <c r="J24" s="233">
        <f ca="1">'表9-现金流量表-财务计划'!J34</f>
        <v>1630.5595179694947</v>
      </c>
      <c r="K24" s="233">
        <f ca="1">'表9-现金流量表-财务计划'!K34</f>
        <v>2113.1782667111261</v>
      </c>
      <c r="L24" s="233">
        <f ca="1">'表9-现金流量表-财务计划'!L34</f>
        <v>2604.8555945678822</v>
      </c>
      <c r="M24" s="233">
        <f ca="1">'表9-现金流量表-财务计划'!M34</f>
        <v>3199.9482446576826</v>
      </c>
      <c r="N24" s="233">
        <f ca="1">'表9-现金流量表-财务计划'!N34</f>
        <v>3540.8588360313197</v>
      </c>
      <c r="O24" s="233">
        <f ca="1">'表9-现金流量表-财务计划'!O34</f>
        <v>3632.6073560058207</v>
      </c>
      <c r="P24" s="233">
        <f ca="1">'表9-现金流量表-财务计划'!P34</f>
        <v>3739.4440953415328</v>
      </c>
      <c r="Q24" s="233">
        <f ca="1">'表9-现金流量表-财务计划'!Q34</f>
        <v>3861.4320324475652</v>
      </c>
      <c r="R24" s="233">
        <f ca="1">'表9-现金流量表-财务计划'!R34</f>
        <v>3556.1993025879019</v>
      </c>
      <c r="S24" s="233">
        <f ca="1">'表9-现金流量表-财务计划'!S34</f>
        <v>3691.1250646608405</v>
      </c>
      <c r="T24" s="233">
        <f ca="1">'表9-现金流量表-财务计划'!T34</f>
        <v>3845.4768163493163</v>
      </c>
      <c r="U24" s="233">
        <f ca="1">'表9-现金流量表-财务计划'!U34</f>
        <v>4018.5107062606403</v>
      </c>
      <c r="V24" s="233">
        <f ca="1">'表9-现金流量表-财务计划'!V34</f>
        <v>4209.628502726222</v>
      </c>
      <c r="W24" s="233">
        <f ca="1">'表9-现金流量表-财务计划'!W34</f>
        <v>5827.7984603435261</v>
      </c>
      <c r="X24" s="233">
        <f ca="1">'表9-现金流量表-财务计划'!X34</f>
        <v>7430.5000610888947</v>
      </c>
      <c r="Y24" s="233">
        <f ca="1">'表9-现金流量表-财务计划'!Y34</f>
        <v>9019.736449291715</v>
      </c>
      <c r="Z24" s="233">
        <f ca="1">'表9-现金流量表-财务计划'!Z34</f>
        <v>10597.13438315442</v>
      </c>
      <c r="AA24" s="233">
        <f ca="1">'表9-现金流量表-财务计划'!AA34</f>
        <v>12151.492914528224</v>
      </c>
      <c r="AB24" s="233">
        <f ca="1">'表9-现金流量表-财务计划'!AB34</f>
        <v>13236.139340377404</v>
      </c>
      <c r="AC24" s="233">
        <f ca="1">'表9-现金流量表-财务计划'!AC34</f>
        <v>14203.734729919212</v>
      </c>
      <c r="AD24" s="233">
        <f ca="1">'表9-现金流量表-财务计划'!AD34</f>
        <v>15066.022825556129</v>
      </c>
      <c r="AE24" s="233">
        <f ca="1">'表9-现金流量表-财务计划'!AE34</f>
        <v>15833.572821575928</v>
      </c>
      <c r="AF24" s="233">
        <f ca="1">'表9-现金流量表-财务计划'!AF34</f>
        <v>16347.896819745563</v>
      </c>
    </row>
    <row r="25" spans="2:32" hidden="1">
      <c r="B25" s="56"/>
      <c r="C25" s="182" t="s">
        <v>326</v>
      </c>
      <c r="D25" s="233">
        <f t="shared" si="5"/>
        <v>0</v>
      </c>
      <c r="E25" s="56" t="s">
        <v>111</v>
      </c>
      <c r="F25" s="233"/>
      <c r="G25" s="233"/>
      <c r="H25" s="233">
        <f>'表4-收入税金表'!H60</f>
        <v>0</v>
      </c>
      <c r="I25" s="233">
        <f>'表4-收入税金表'!I60</f>
        <v>0</v>
      </c>
      <c r="J25" s="233">
        <f>'表4-收入税金表'!J60</f>
        <v>0</v>
      </c>
      <c r="K25" s="233">
        <f>'表4-收入税金表'!K60</f>
        <v>0</v>
      </c>
      <c r="L25" s="233">
        <f>'表4-收入税金表'!L60</f>
        <v>0</v>
      </c>
      <c r="M25" s="233">
        <f>'表4-收入税金表'!M60</f>
        <v>0</v>
      </c>
      <c r="N25" s="233">
        <f>'表4-收入税金表'!N60</f>
        <v>0</v>
      </c>
      <c r="O25" s="233">
        <f>'表4-收入税金表'!O60</f>
        <v>0</v>
      </c>
      <c r="P25" s="233">
        <f>'表4-收入税金表'!P60</f>
        <v>0</v>
      </c>
      <c r="Q25" s="233">
        <f>'表4-收入税金表'!Q60</f>
        <v>0</v>
      </c>
      <c r="R25" s="233">
        <f>'表4-收入税金表'!R60</f>
        <v>0</v>
      </c>
      <c r="S25" s="233">
        <f>'表4-收入税金表'!S60</f>
        <v>0</v>
      </c>
      <c r="T25" s="233">
        <f>'表4-收入税金表'!T60</f>
        <v>0</v>
      </c>
      <c r="U25" s="233">
        <f>'表4-收入税金表'!U60</f>
        <v>0</v>
      </c>
      <c r="V25" s="233">
        <f>'表4-收入税金表'!V60</f>
        <v>0</v>
      </c>
      <c r="W25" s="233">
        <f>'表4-收入税金表'!W60</f>
        <v>0</v>
      </c>
      <c r="X25" s="233">
        <f>'表4-收入税金表'!X60</f>
        <v>0</v>
      </c>
      <c r="Y25" s="233">
        <f>'表4-收入税金表'!Y60</f>
        <v>0</v>
      </c>
      <c r="Z25" s="233">
        <f>'表4-收入税金表'!Z60</f>
        <v>0</v>
      </c>
      <c r="AA25" s="233">
        <f>'表4-收入税金表'!AA60</f>
        <v>0</v>
      </c>
      <c r="AB25" s="233">
        <f>'表4-收入税金表'!AB60</f>
        <v>0</v>
      </c>
      <c r="AC25" s="233">
        <f>'表4-收入税金表'!AC60</f>
        <v>0</v>
      </c>
      <c r="AD25" s="233">
        <f>'表4-收入税金表'!AD60</f>
        <v>0</v>
      </c>
      <c r="AE25" s="233">
        <f>'表4-收入税金表'!AE60</f>
        <v>0</v>
      </c>
      <c r="AF25" s="233">
        <f>'表4-收入税金表'!AF60</f>
        <v>0</v>
      </c>
    </row>
    <row r="26" spans="2:32" hidden="1">
      <c r="B26" s="56"/>
      <c r="C26" s="182" t="s">
        <v>327</v>
      </c>
      <c r="D26" s="233">
        <f t="shared" si="5"/>
        <v>0</v>
      </c>
      <c r="E26" s="56" t="s">
        <v>111</v>
      </c>
      <c r="F26" s="233"/>
      <c r="G26" s="233"/>
      <c r="H26" s="233"/>
      <c r="I26" s="233"/>
      <c r="J26" s="233"/>
      <c r="K26" s="233"/>
      <c r="L26" s="233"/>
      <c r="M26" s="233"/>
      <c r="N26" s="233"/>
      <c r="O26" s="233"/>
      <c r="P26" s="233"/>
      <c r="Q26" s="233"/>
      <c r="R26" s="233"/>
      <c r="S26" s="233"/>
      <c r="T26" s="233"/>
      <c r="U26" s="233"/>
      <c r="V26" s="233"/>
      <c r="W26" s="233"/>
      <c r="X26" s="233"/>
      <c r="Y26" s="233"/>
      <c r="Z26" s="233"/>
      <c r="AA26" s="233"/>
      <c r="AB26" s="233"/>
      <c r="AC26" s="233"/>
      <c r="AD26" s="233"/>
      <c r="AE26" s="233"/>
      <c r="AF26" s="233"/>
    </row>
    <row r="27" spans="2:32" hidden="1">
      <c r="B27" s="56"/>
      <c r="C27" s="182" t="s">
        <v>328</v>
      </c>
      <c r="D27" s="233">
        <f t="shared" ca="1" si="5"/>
        <v>12434.64148984014</v>
      </c>
      <c r="E27" s="56" t="s">
        <v>111</v>
      </c>
      <c r="F27" s="233">
        <f>'表4-收入税金表'!F45</f>
        <v>2571.0688249558398</v>
      </c>
      <c r="G27" s="233">
        <f>'表4-收入税金表'!G45</f>
        <v>2571.0688249558398</v>
      </c>
      <c r="H27" s="233">
        <f ca="1">'表4-收入税金表'!H45</f>
        <v>2181.7269516815036</v>
      </c>
      <c r="I27" s="233">
        <f ca="1">'表4-收入税金表'!I45</f>
        <v>1794.1371168369014</v>
      </c>
      <c r="J27" s="233">
        <f ca="1">'表4-收入税金表'!J45</f>
        <v>1408.2914362491006</v>
      </c>
      <c r="K27" s="233">
        <f ca="1">'表4-收入税金表'!K45</f>
        <v>1024.1820612239446</v>
      </c>
      <c r="L27" s="233">
        <f ca="1">'表4-收入税金表'!L45</f>
        <v>641.8011783864016</v>
      </c>
      <c r="M27" s="233">
        <f ca="1">'表4-收入税金表'!M45</f>
        <v>242.36509555060661</v>
      </c>
      <c r="N27" s="233">
        <f ca="1">'表4-收入税金表'!N45</f>
        <v>0</v>
      </c>
      <c r="O27" s="233">
        <f ca="1">'表4-收入税金表'!O45</f>
        <v>0</v>
      </c>
      <c r="P27" s="233">
        <f ca="1">'表4-收入税金表'!P45</f>
        <v>0</v>
      </c>
      <c r="Q27" s="233">
        <f ca="1">'表4-收入税金表'!Q45</f>
        <v>0</v>
      </c>
      <c r="R27" s="233">
        <f ca="1">'表4-收入税金表'!R45</f>
        <v>0</v>
      </c>
      <c r="S27" s="233">
        <f ca="1">'表4-收入税金表'!S45</f>
        <v>0</v>
      </c>
      <c r="T27" s="233">
        <f ca="1">'表4-收入税金表'!T45</f>
        <v>0</v>
      </c>
      <c r="U27" s="233">
        <f ca="1">'表4-收入税金表'!U45</f>
        <v>0</v>
      </c>
      <c r="V27" s="233">
        <f ca="1">'表4-收入税金表'!V45</f>
        <v>0</v>
      </c>
      <c r="W27" s="233">
        <f ca="1">'表4-收入税金表'!W45</f>
        <v>0</v>
      </c>
      <c r="X27" s="233">
        <f ca="1">'表4-收入税金表'!X45</f>
        <v>0</v>
      </c>
      <c r="Y27" s="233">
        <f ca="1">'表4-收入税金表'!Y45</f>
        <v>0</v>
      </c>
      <c r="Z27" s="233">
        <f ca="1">'表4-收入税金表'!Z45</f>
        <v>0</v>
      </c>
      <c r="AA27" s="233">
        <f ca="1">'表4-收入税金表'!AA45</f>
        <v>0</v>
      </c>
      <c r="AB27" s="233">
        <f ca="1">'表4-收入税金表'!AB45</f>
        <v>0</v>
      </c>
      <c r="AC27" s="233">
        <f ca="1">'表4-收入税金表'!AC45</f>
        <v>0</v>
      </c>
      <c r="AD27" s="233">
        <f ca="1">'表4-收入税金表'!AD45</f>
        <v>0</v>
      </c>
      <c r="AE27" s="233">
        <f ca="1">'表4-收入税金表'!AE45</f>
        <v>0</v>
      </c>
      <c r="AF27" s="233">
        <f ca="1">'表4-收入税金表'!AF45</f>
        <v>0</v>
      </c>
    </row>
    <row r="28" spans="2:32" hidden="1">
      <c r="B28" s="53">
        <v>2</v>
      </c>
      <c r="C28" s="70" t="s">
        <v>329</v>
      </c>
      <c r="D28" s="231">
        <f t="shared" ca="1" si="5"/>
        <v>25054.411412785739</v>
      </c>
      <c r="E28" s="56" t="s">
        <v>111</v>
      </c>
      <c r="F28" s="231">
        <f>SUM(F29:F34)</f>
        <v>0</v>
      </c>
      <c r="G28" s="231">
        <f t="shared" ref="G28:AF28" si="6">SUM(G29:G34)</f>
        <v>0</v>
      </c>
      <c r="H28" s="231">
        <f t="shared" ca="1" si="6"/>
        <v>345.37290477019206</v>
      </c>
      <c r="I28" s="231">
        <f t="shared" ca="1" si="6"/>
        <v>215.64796777655556</v>
      </c>
      <c r="J28" s="231">
        <f t="shared" ca="1" si="6"/>
        <v>250.12323722778694</v>
      </c>
      <c r="K28" s="231">
        <f t="shared" ca="1" si="6"/>
        <v>349.00549617338777</v>
      </c>
      <c r="L28" s="231">
        <f t="shared" ca="1" si="6"/>
        <v>376.92188472679732</v>
      </c>
      <c r="M28" s="231">
        <f t="shared" ca="1" si="6"/>
        <v>422.49729988932955</v>
      </c>
      <c r="N28" s="231">
        <f t="shared" ca="1" si="6"/>
        <v>713.05481620312685</v>
      </c>
      <c r="O28" s="231">
        <f t="shared" ca="1" si="6"/>
        <v>998.66265363193816</v>
      </c>
      <c r="P28" s="231">
        <f t="shared" ca="1" si="6"/>
        <v>1020.0901923444923</v>
      </c>
      <c r="Q28" s="231">
        <f t="shared" ca="1" si="6"/>
        <v>1041.5244297278464</v>
      </c>
      <c r="R28" s="231">
        <f t="shared" ca="1" si="6"/>
        <v>974.14203303015825</v>
      </c>
      <c r="S28" s="231">
        <f t="shared" ca="1" si="6"/>
        <v>1050.707391181412</v>
      </c>
      <c r="T28" s="231">
        <f t="shared" ca="1" si="6"/>
        <v>1068.0739923155793</v>
      </c>
      <c r="U28" s="231">
        <f t="shared" ca="1" si="6"/>
        <v>1086.252876175296</v>
      </c>
      <c r="V28" s="231">
        <f t="shared" ca="1" si="6"/>
        <v>1105.0981150954624</v>
      </c>
      <c r="W28" s="231">
        <f t="shared" ca="1" si="6"/>
        <v>1108.2170985439654</v>
      </c>
      <c r="X28" s="231">
        <f t="shared" ca="1" si="6"/>
        <v>1108.7503757807401</v>
      </c>
      <c r="Y28" s="231">
        <f t="shared" ca="1" si="6"/>
        <v>1107.3477165464892</v>
      </c>
      <c r="Z28" s="231">
        <f t="shared" ca="1" si="6"/>
        <v>1104.3852045327944</v>
      </c>
      <c r="AA28" s="231">
        <f t="shared" ca="1" si="6"/>
        <v>1112.6902450164753</v>
      </c>
      <c r="AB28" s="231">
        <f t="shared" ca="1" si="6"/>
        <v>1516.4764308148201</v>
      </c>
      <c r="AC28" s="231">
        <f t="shared" ca="1" si="6"/>
        <v>1618.9254160041937</v>
      </c>
      <c r="AD28" s="231">
        <f t="shared" ca="1" si="6"/>
        <v>1709.6963680211127</v>
      </c>
      <c r="AE28" s="231">
        <f t="shared" ca="1" si="6"/>
        <v>1789.9635392887606</v>
      </c>
      <c r="AF28" s="231">
        <f t="shared" ca="1" si="6"/>
        <v>1860.7837279670262</v>
      </c>
    </row>
    <row r="29" spans="2:32" hidden="1">
      <c r="B29" s="56"/>
      <c r="C29" s="182" t="s">
        <v>154</v>
      </c>
      <c r="D29" s="233">
        <f t="shared" ref="D29:D34" ca="1" si="7">SUM(F29:AF29)</f>
        <v>168</v>
      </c>
      <c r="E29" s="56" t="s">
        <v>111</v>
      </c>
      <c r="F29" s="233">
        <f>F64+F74</f>
        <v>0</v>
      </c>
      <c r="G29" s="233">
        <f t="shared" ref="G29:AF29" si="8">G60+G70</f>
        <v>0</v>
      </c>
      <c r="H29" s="233">
        <f t="shared" ca="1" si="8"/>
        <v>168</v>
      </c>
      <c r="I29" s="233">
        <f t="shared" ca="1" si="8"/>
        <v>0</v>
      </c>
      <c r="J29" s="233">
        <f t="shared" ca="1" si="8"/>
        <v>0</v>
      </c>
      <c r="K29" s="233">
        <f t="shared" ca="1" si="8"/>
        <v>0</v>
      </c>
      <c r="L29" s="233">
        <f t="shared" ca="1" si="8"/>
        <v>0</v>
      </c>
      <c r="M29" s="233">
        <f t="shared" ca="1" si="8"/>
        <v>0</v>
      </c>
      <c r="N29" s="233">
        <f t="shared" ca="1" si="8"/>
        <v>0</v>
      </c>
      <c r="O29" s="233">
        <f t="shared" ca="1" si="8"/>
        <v>0</v>
      </c>
      <c r="P29" s="233">
        <f t="shared" ca="1" si="8"/>
        <v>0</v>
      </c>
      <c r="Q29" s="233">
        <f t="shared" ca="1" si="8"/>
        <v>0</v>
      </c>
      <c r="R29" s="233">
        <f t="shared" ca="1" si="8"/>
        <v>0</v>
      </c>
      <c r="S29" s="233">
        <f t="shared" ca="1" si="8"/>
        <v>0</v>
      </c>
      <c r="T29" s="233">
        <f t="shared" ca="1" si="8"/>
        <v>0</v>
      </c>
      <c r="U29" s="233">
        <f t="shared" ca="1" si="8"/>
        <v>0</v>
      </c>
      <c r="V29" s="233">
        <f t="shared" ca="1" si="8"/>
        <v>0</v>
      </c>
      <c r="W29" s="233">
        <f t="shared" ca="1" si="8"/>
        <v>0</v>
      </c>
      <c r="X29" s="233">
        <f t="shared" ca="1" si="8"/>
        <v>0</v>
      </c>
      <c r="Y29" s="233">
        <f t="shared" ca="1" si="8"/>
        <v>0</v>
      </c>
      <c r="Z29" s="233">
        <f t="shared" ca="1" si="8"/>
        <v>0</v>
      </c>
      <c r="AA29" s="233">
        <f t="shared" ca="1" si="8"/>
        <v>0</v>
      </c>
      <c r="AB29" s="233">
        <f t="shared" ca="1" si="8"/>
        <v>0</v>
      </c>
      <c r="AC29" s="233">
        <f t="shared" ca="1" si="8"/>
        <v>0</v>
      </c>
      <c r="AD29" s="233">
        <f t="shared" ca="1" si="8"/>
        <v>0</v>
      </c>
      <c r="AE29" s="233">
        <f t="shared" ca="1" si="8"/>
        <v>0</v>
      </c>
      <c r="AF29" s="233">
        <f t="shared" ca="1" si="8"/>
        <v>0</v>
      </c>
    </row>
    <row r="30" spans="2:32" hidden="1">
      <c r="B30" s="56"/>
      <c r="C30" s="182" t="s">
        <v>330</v>
      </c>
      <c r="D30" s="233">
        <f t="shared" si="7"/>
        <v>0</v>
      </c>
      <c r="E30" s="56" t="s">
        <v>111</v>
      </c>
      <c r="F30" s="233"/>
      <c r="G30" s="233"/>
      <c r="H30" s="233"/>
      <c r="I30" s="233"/>
      <c r="J30" s="233"/>
      <c r="K30" s="233"/>
      <c r="L30" s="233"/>
      <c r="M30" s="233"/>
      <c r="N30" s="233"/>
      <c r="O30" s="233"/>
      <c r="P30" s="233"/>
      <c r="Q30" s="233"/>
      <c r="R30" s="233"/>
      <c r="S30" s="233"/>
      <c r="T30" s="233"/>
      <c r="U30" s="233"/>
      <c r="V30" s="233"/>
      <c r="W30" s="233"/>
      <c r="X30" s="233"/>
      <c r="Y30" s="233"/>
      <c r="Z30" s="233"/>
      <c r="AA30" s="233"/>
      <c r="AB30" s="233"/>
      <c r="AC30" s="233"/>
      <c r="AD30" s="233"/>
      <c r="AE30" s="233"/>
      <c r="AF30" s="233"/>
    </row>
    <row r="31" spans="2:32" hidden="1">
      <c r="B31" s="56"/>
      <c r="C31" s="182" t="s">
        <v>331</v>
      </c>
      <c r="D31" s="233">
        <f t="shared" si="7"/>
        <v>3360</v>
      </c>
      <c r="E31" s="56" t="s">
        <v>111</v>
      </c>
      <c r="F31" s="233"/>
      <c r="G31" s="233"/>
      <c r="H31" s="233">
        <f>'表3-成本费用表'!H52</f>
        <v>134.4</v>
      </c>
      <c r="I31" s="233">
        <f>'表3-成本费用表'!I52</f>
        <v>134.4</v>
      </c>
      <c r="J31" s="233">
        <f>'表3-成本费用表'!J52</f>
        <v>134.4</v>
      </c>
      <c r="K31" s="233">
        <f>'表3-成本费用表'!K52</f>
        <v>134.4</v>
      </c>
      <c r="L31" s="233">
        <f>'表3-成本费用表'!L52</f>
        <v>134.4</v>
      </c>
      <c r="M31" s="233">
        <f>'表3-成本费用表'!M52</f>
        <v>134.4</v>
      </c>
      <c r="N31" s="233">
        <f>'表3-成本费用表'!N52</f>
        <v>134.4</v>
      </c>
      <c r="O31" s="233">
        <f>'表3-成本费用表'!O52</f>
        <v>134.4</v>
      </c>
      <c r="P31" s="233">
        <f>'表3-成本费用表'!P52</f>
        <v>134.4</v>
      </c>
      <c r="Q31" s="233">
        <f>'表3-成本费用表'!Q52</f>
        <v>134.4</v>
      </c>
      <c r="R31" s="233">
        <f>'表3-成本费用表'!R52</f>
        <v>134.4</v>
      </c>
      <c r="S31" s="233">
        <f>'表3-成本费用表'!S52</f>
        <v>134.4</v>
      </c>
      <c r="T31" s="233">
        <f>'表3-成本费用表'!T52</f>
        <v>134.4</v>
      </c>
      <c r="U31" s="233">
        <f>'表3-成本费用表'!U52</f>
        <v>134.4</v>
      </c>
      <c r="V31" s="233">
        <f>'表3-成本费用表'!V52</f>
        <v>134.4</v>
      </c>
      <c r="W31" s="233">
        <f>'表3-成本费用表'!W52</f>
        <v>134.4</v>
      </c>
      <c r="X31" s="233">
        <f>'表3-成本费用表'!X52</f>
        <v>134.4</v>
      </c>
      <c r="Y31" s="233">
        <f>'表3-成本费用表'!Y52</f>
        <v>134.4</v>
      </c>
      <c r="Z31" s="233">
        <f>'表3-成本费用表'!Z52</f>
        <v>134.4</v>
      </c>
      <c r="AA31" s="233">
        <f>'表3-成本费用表'!AA52</f>
        <v>134.4</v>
      </c>
      <c r="AB31" s="233">
        <f>'表3-成本费用表'!AB52</f>
        <v>134.4</v>
      </c>
      <c r="AC31" s="233">
        <f>'表3-成本费用表'!AC52</f>
        <v>134.4</v>
      </c>
      <c r="AD31" s="233">
        <f>'表3-成本费用表'!AD52</f>
        <v>134.4</v>
      </c>
      <c r="AE31" s="233">
        <f>'表3-成本费用表'!AE52</f>
        <v>134.4</v>
      </c>
      <c r="AF31" s="233">
        <f>'表3-成本费用表'!AF52</f>
        <v>134.4</v>
      </c>
    </row>
    <row r="32" spans="2:32" hidden="1">
      <c r="B32" s="56"/>
      <c r="C32" s="182" t="s">
        <v>332</v>
      </c>
      <c r="D32" s="233">
        <f t="shared" ca="1" si="7"/>
        <v>13678.242333803199</v>
      </c>
      <c r="E32" s="56" t="s">
        <v>111</v>
      </c>
      <c r="F32" s="233"/>
      <c r="G32" s="233"/>
      <c r="H32" s="233">
        <f ca="1">'表6-现金流量表-资本金'!H24+'表6-现金流量表-资本金'!H25+'表6-现金流量表-资本金'!H29</f>
        <v>0</v>
      </c>
      <c r="I32" s="233">
        <f ca="1">'表6-现金流量表-资本金'!I24+'表6-现金流量表-资本金'!I25+'表6-现金流量表-资本金'!I29</f>
        <v>0</v>
      </c>
      <c r="J32" s="233">
        <f ca="1">'表6-现金流量表-资本金'!J24+'表6-现金流量表-资本金'!J25+'表6-现金流量表-资本金'!J29</f>
        <v>0</v>
      </c>
      <c r="K32" s="233">
        <f ca="1">'表6-现金流量表-资本金'!K24+'表6-现金流量表-资本金'!K25+'表6-现金流量表-资本金'!K29</f>
        <v>74.153174244711863</v>
      </c>
      <c r="L32" s="233">
        <f ca="1">'表6-现金流量表-资本金'!L24+'表6-现金流量表-资本金'!L25+'表6-现金流量表-资本金'!L29</f>
        <v>78.991106726729981</v>
      </c>
      <c r="M32" s="233">
        <f ca="1">'表6-现金流量表-资本金'!M24+'表6-现金流量表-资本金'!M25+'表6-现金流量表-资本金'!M29</f>
        <v>95.483048901395705</v>
      </c>
      <c r="N32" s="233">
        <f ca="1">'表6-现金流量表-资本金'!N24+'表6-现金流量表-资本金'!N25+'表6-现金流量表-资本金'!N29</f>
        <v>369.75746994993585</v>
      </c>
      <c r="O32" s="233">
        <f ca="1">'表6-现金流量表-资本金'!O24+'表6-现金流量表-资本金'!O25+'表6-现金流量表-资本金'!O29</f>
        <v>641.54379162216435</v>
      </c>
      <c r="P32" s="233">
        <f ca="1">'表6-现金流量表-资本金'!P24+'表6-现金流量表-资本金'!P25+'表6-现金流量表-资本金'!P29</f>
        <v>649.17642098818976</v>
      </c>
      <c r="Q32" s="233">
        <f ca="1">'表6-现金流量表-资本金'!Q24+'表6-现金流量表-资本金'!Q25+'表6-现金流量表-资本金'!Q29</f>
        <v>656.83320301987715</v>
      </c>
      <c r="R32" s="233">
        <f ca="1">'表6-现金流量表-资本金'!R24+'表6-现金流量表-资本金'!R25+'表6-现金流量表-资本金'!R29</f>
        <v>581.41991742500909</v>
      </c>
      <c r="S32" s="233">
        <f ca="1">'表6-现金流量表-资本金'!S24+'表6-现金流量表-资本金'!S25+'表6-现金流量表-资本金'!S29</f>
        <v>649.31582965859923</v>
      </c>
      <c r="T32" s="233">
        <f ca="1">'表6-现金流量表-资本金'!T24+'表6-现金流量表-资本金'!T25+'表6-现金流量表-资本金'!T29</f>
        <v>657.04441951946262</v>
      </c>
      <c r="U32" s="233">
        <f ca="1">'表6-现金流量表-资本金'!U24+'表6-现金流量表-资本金'!U25+'表6-现金流量表-资本金'!U29</f>
        <v>664.79673022375925</v>
      </c>
      <c r="V32" s="233">
        <f ca="1">'表6-现金流量表-资本金'!V24+'表6-现金流量表-资本金'!V25+'表6-现金流量表-资本金'!V29</f>
        <v>672.57265502769144</v>
      </c>
      <c r="W32" s="233">
        <f ca="1">'表6-现金流量表-资本金'!W24+'表6-现金流量表-资本金'!W25+'表6-现金流量表-资本金'!W29</f>
        <v>667.557622080295</v>
      </c>
      <c r="X32" s="233">
        <f ca="1">'表6-现金流量表-资本金'!X24+'表6-现金流量表-资本金'!X25+'表6-现金流量表-资本金'!X29</f>
        <v>662.38056836959277</v>
      </c>
      <c r="Y32" s="233">
        <f ca="1">'表6-现金流量表-资本金'!Y24+'表6-现金流量表-资本金'!Y25+'表6-现金流量表-资本金'!Y29</f>
        <v>657.22681140058774</v>
      </c>
      <c r="Z32" s="233">
        <f ca="1">'表6-现金流量表-资本金'!Z24+'表6-现金流量表-资本金'!Z25+'表6-现金流量表-资本金'!Z29</f>
        <v>652.09624633794647</v>
      </c>
      <c r="AA32" s="233">
        <f ca="1">'表6-现金流量表-资本金'!AA24+'表6-现金流量表-资本金'!AA25+'表6-现金流量表-资本金'!AA29</f>
        <v>646.9887688180836</v>
      </c>
      <c r="AB32" s="233">
        <f ca="1">'表6-现金流量表-资本金'!AB24+'表6-现金流量表-资本金'!AB25+'表6-现金流量表-资本金'!AB29</f>
        <v>930.2586850776305</v>
      </c>
      <c r="AC32" s="233">
        <f ca="1">'表6-现金流量表-资本金'!AC24+'表6-现金流量表-资本金'!AC25+'表6-现金流量表-资本金'!AC29</f>
        <v>925.19707142902598</v>
      </c>
      <c r="AD32" s="233">
        <f ca="1">'表6-现金流量表-资本金'!AD24+'表6-现金流量表-资本金'!AD25+'表6-现金流量表-资本金'!AD29</f>
        <v>920.15823504184334</v>
      </c>
      <c r="AE32" s="233">
        <f ca="1">'表6-现金流量表-资本金'!AE24+'表6-现金流量表-资本金'!AE25+'表6-现金流量表-资本金'!AE29</f>
        <v>915.14207341840256</v>
      </c>
      <c r="AF32" s="233">
        <f ca="1">'表6-现金流量表-资本金'!AF24+'表6-现金流量表-资本金'!AF25+'表6-现金流量表-资本金'!AF29</f>
        <v>910.14848452226522</v>
      </c>
    </row>
    <row r="33" spans="2:32" hidden="1">
      <c r="B33" s="56"/>
      <c r="C33" s="182" t="s">
        <v>333</v>
      </c>
      <c r="D33" s="233">
        <f t="shared" ca="1" si="7"/>
        <v>7848.1690789825398</v>
      </c>
      <c r="E33" s="56" t="s">
        <v>111</v>
      </c>
      <c r="F33" s="233"/>
      <c r="G33" s="233"/>
      <c r="H33" s="233">
        <f ca="1">'表5-利润表-资本金'!H31</f>
        <v>42.972904770192073</v>
      </c>
      <c r="I33" s="233">
        <f ca="1">'表5-利润表-资本金'!I31</f>
        <v>81.247967776555555</v>
      </c>
      <c r="J33" s="233">
        <f ca="1">'表5-利润表-资本金'!J31</f>
        <v>115.72323722778692</v>
      </c>
      <c r="K33" s="233">
        <f ca="1">'表5-利润表-资本金'!K31</f>
        <v>140.4523219286759</v>
      </c>
      <c r="L33" s="233">
        <f ca="1">'表5-利润表-资本金'!L31</f>
        <v>163.53077800006736</v>
      </c>
      <c r="M33" s="233">
        <f ca="1">'表5-利润表-资本金'!M31</f>
        <v>192.61425098793384</v>
      </c>
      <c r="N33" s="233">
        <f ca="1">'表5-利润表-资本金'!N31</f>
        <v>208.89734625319107</v>
      </c>
      <c r="O33" s="233">
        <f ca="1">'表5-利润表-资本金'!O31</f>
        <v>222.71886200977389</v>
      </c>
      <c r="P33" s="233">
        <f ca="1">'表5-利润表-资本金'!P31</f>
        <v>236.51377135630256</v>
      </c>
      <c r="Q33" s="233">
        <f ca="1">'表5-利润表-资本金'!Q31</f>
        <v>250.29122670796926</v>
      </c>
      <c r="R33" s="233">
        <f ca="1">'表5-利润表-资本金'!R31</f>
        <v>258.32211560514924</v>
      </c>
      <c r="S33" s="233">
        <f ca="1">'表5-利润表-资本金'!S31</f>
        <v>266.99156152281279</v>
      </c>
      <c r="T33" s="233">
        <f ca="1">'表5-利润表-资本金'!T31</f>
        <v>276.62957279611663</v>
      </c>
      <c r="U33" s="233">
        <f ca="1">'表5-利润表-资本金'!U31</f>
        <v>287.05614595153691</v>
      </c>
      <c r="V33" s="233">
        <f ca="1">'表5-利润表-资本金'!V31</f>
        <v>298.12546006777103</v>
      </c>
      <c r="W33" s="233">
        <f ca="1">'表5-利润表-资本金'!W31</f>
        <v>306.25947646367052</v>
      </c>
      <c r="X33" s="233">
        <f ca="1">'表5-利润表-资本金'!X31</f>
        <v>311.96980741114743</v>
      </c>
      <c r="Y33" s="233">
        <f ca="1">'表5-利润表-资本金'!Y31</f>
        <v>315.72090514590161</v>
      </c>
      <c r="Z33" s="233">
        <f ca="1">'表5-利润表-资本金'!Z31</f>
        <v>317.88895819484799</v>
      </c>
      <c r="AA33" s="233">
        <f ca="1">'表5-利润表-资本金'!AA31</f>
        <v>331.30147619839175</v>
      </c>
      <c r="AB33" s="233">
        <f ca="1">'表5-利润表-资本金'!AB31</f>
        <v>451.81774573718968</v>
      </c>
      <c r="AC33" s="233">
        <f ca="1">'表5-利润表-资本金'!AC31</f>
        <v>559.32834457516753</v>
      </c>
      <c r="AD33" s="233">
        <f ca="1">'表5-利润表-资本金'!AD31</f>
        <v>655.13813297926936</v>
      </c>
      <c r="AE33" s="233">
        <f ca="1">'表5-利润表-资本金'!AE31</f>
        <v>740.42146587035791</v>
      </c>
      <c r="AF33" s="233">
        <f ca="1">'表5-利润表-资本金'!AF31</f>
        <v>816.23524344476084</v>
      </c>
    </row>
    <row r="34" spans="2:32" hidden="1">
      <c r="B34" s="56"/>
      <c r="C34" s="182" t="s">
        <v>334</v>
      </c>
      <c r="D34" s="233">
        <f t="shared" si="7"/>
        <v>0</v>
      </c>
      <c r="E34" s="56" t="s">
        <v>111</v>
      </c>
      <c r="F34" s="233"/>
      <c r="G34" s="233"/>
      <c r="H34" s="233"/>
      <c r="I34" s="233"/>
      <c r="J34" s="233"/>
      <c r="K34" s="233"/>
      <c r="L34" s="233"/>
      <c r="M34" s="233"/>
      <c r="N34" s="233"/>
      <c r="O34" s="233"/>
      <c r="P34" s="233"/>
      <c r="Q34" s="233"/>
      <c r="R34" s="233"/>
      <c r="S34" s="233"/>
      <c r="T34" s="233"/>
      <c r="U34" s="233"/>
      <c r="V34" s="233"/>
      <c r="W34" s="233"/>
      <c r="X34" s="233"/>
      <c r="Y34" s="233"/>
      <c r="Z34" s="233"/>
      <c r="AA34" s="233"/>
      <c r="AB34" s="233"/>
      <c r="AC34" s="233"/>
      <c r="AD34" s="233"/>
      <c r="AE34" s="233"/>
      <c r="AF34" s="233"/>
    </row>
    <row r="35" spans="2:32" hidden="1"/>
    <row r="36" spans="2:32" ht="20" customHeight="1">
      <c r="B36" s="341" t="s">
        <v>335</v>
      </c>
      <c r="C36" s="341"/>
      <c r="D36" s="341"/>
      <c r="E36" s="341"/>
      <c r="F36" s="341"/>
      <c r="G36" s="341"/>
      <c r="H36" s="341"/>
      <c r="I36" s="341"/>
      <c r="J36" s="341"/>
      <c r="K36" s="341"/>
      <c r="L36" s="341"/>
      <c r="M36" s="341"/>
      <c r="N36" s="341"/>
      <c r="O36" s="341"/>
      <c r="P36" s="341"/>
      <c r="Q36" s="341"/>
      <c r="R36" s="341"/>
      <c r="S36" s="341"/>
      <c r="T36" s="341"/>
      <c r="U36" s="341"/>
      <c r="V36" s="341"/>
      <c r="W36" s="341"/>
      <c r="X36" s="341"/>
      <c r="Y36" s="341"/>
      <c r="Z36" s="341"/>
      <c r="AA36" s="341"/>
      <c r="AB36" s="341"/>
      <c r="AC36" s="341"/>
      <c r="AD36" s="341"/>
      <c r="AE36" s="341"/>
      <c r="AF36" s="341"/>
    </row>
    <row r="37" spans="2:32">
      <c r="B37" s="344" t="s">
        <v>14</v>
      </c>
      <c r="C37" s="344" t="s">
        <v>323</v>
      </c>
      <c r="D37" s="344" t="s">
        <v>311</v>
      </c>
      <c r="E37" s="344" t="s">
        <v>39</v>
      </c>
      <c r="F37" s="342" t="s">
        <v>43</v>
      </c>
      <c r="G37" s="342"/>
      <c r="H37" s="343" t="s">
        <v>54</v>
      </c>
      <c r="I37" s="343"/>
      <c r="J37" s="343"/>
      <c r="K37" s="343"/>
      <c r="L37" s="343"/>
      <c r="M37" s="343"/>
      <c r="N37" s="343"/>
      <c r="O37" s="343"/>
      <c r="P37" s="343"/>
      <c r="Q37" s="343"/>
      <c r="R37" s="343"/>
      <c r="S37" s="343"/>
      <c r="T37" s="343"/>
      <c r="U37" s="343"/>
      <c r="V37" s="343"/>
      <c r="W37" s="343"/>
      <c r="X37" s="343"/>
      <c r="Y37" s="343"/>
      <c r="Z37" s="343"/>
      <c r="AA37" s="343"/>
      <c r="AB37" s="343"/>
      <c r="AC37" s="343"/>
      <c r="AD37" s="343"/>
      <c r="AE37" s="343"/>
      <c r="AF37" s="343"/>
    </row>
    <row r="38" spans="2:32">
      <c r="B38" s="344"/>
      <c r="C38" s="344"/>
      <c r="D38" s="344"/>
      <c r="E38" s="344"/>
      <c r="F38" s="51">
        <v>1</v>
      </c>
      <c r="G38" s="51">
        <v>2</v>
      </c>
      <c r="H38" s="52">
        <v>1</v>
      </c>
      <c r="I38" s="52">
        <v>2</v>
      </c>
      <c r="J38" s="52">
        <v>3</v>
      </c>
      <c r="K38" s="52">
        <v>4</v>
      </c>
      <c r="L38" s="52">
        <v>5</v>
      </c>
      <c r="M38" s="52">
        <v>6</v>
      </c>
      <c r="N38" s="52">
        <v>7</v>
      </c>
      <c r="O38" s="52">
        <v>8</v>
      </c>
      <c r="P38" s="52">
        <v>9</v>
      </c>
      <c r="Q38" s="52">
        <v>10</v>
      </c>
      <c r="R38" s="52">
        <v>11</v>
      </c>
      <c r="S38" s="52">
        <v>12</v>
      </c>
      <c r="T38" s="52">
        <v>13</v>
      </c>
      <c r="U38" s="52">
        <v>14</v>
      </c>
      <c r="V38" s="52">
        <v>15</v>
      </c>
      <c r="W38" s="52">
        <v>16</v>
      </c>
      <c r="X38" s="52">
        <v>17</v>
      </c>
      <c r="Y38" s="52">
        <v>18</v>
      </c>
      <c r="Z38" s="52">
        <v>19</v>
      </c>
      <c r="AA38" s="52">
        <v>20</v>
      </c>
      <c r="AB38" s="52">
        <v>21</v>
      </c>
      <c r="AC38" s="52">
        <v>22</v>
      </c>
      <c r="AD38" s="52">
        <v>23</v>
      </c>
      <c r="AE38" s="52">
        <v>24</v>
      </c>
      <c r="AF38" s="52">
        <v>25</v>
      </c>
    </row>
    <row r="39" spans="2:32">
      <c r="B39" s="56">
        <v>1</v>
      </c>
      <c r="C39" s="133" t="s">
        <v>336</v>
      </c>
      <c r="D39" s="233"/>
      <c r="E39" s="56" t="s">
        <v>111</v>
      </c>
      <c r="F39" s="233">
        <v>0</v>
      </c>
      <c r="G39" s="233">
        <f ca="1">F44</f>
        <v>21666.480669589477</v>
      </c>
      <c r="H39" s="233">
        <f ca="1">G44</f>
        <v>21666.480669589477</v>
      </c>
      <c r="I39" s="233">
        <f ca="1">H44</f>
        <v>20551.876753288849</v>
      </c>
      <c r="J39" s="233">
        <f t="shared" ref="J39:AF39" ca="1" si="9">I44</f>
        <v>19397.147096001398</v>
      </c>
      <c r="K39" s="233">
        <f t="shared" ca="1" si="9"/>
        <v>18200.847171051599</v>
      </c>
      <c r="L39" s="233">
        <f t="shared" ca="1" si="9"/>
        <v>16961.480448803606</v>
      </c>
      <c r="M39" s="233">
        <f t="shared" ca="1" si="9"/>
        <v>15677.496524554686</v>
      </c>
      <c r="N39" s="233">
        <f t="shared" ca="1" si="9"/>
        <v>14347.289179032807</v>
      </c>
      <c r="O39" s="233">
        <f t="shared" ca="1" si="9"/>
        <v>12969.194369072138</v>
      </c>
      <c r="P39" s="233">
        <f t="shared" ca="1" si="9"/>
        <v>11541.488145952886</v>
      </c>
      <c r="Q39" s="233">
        <f t="shared" ca="1" si="9"/>
        <v>10062.384498801341</v>
      </c>
      <c r="R39" s="233">
        <f t="shared" ca="1" si="9"/>
        <v>8530.0331203523401</v>
      </c>
      <c r="S39" s="233">
        <f t="shared" ca="1" si="9"/>
        <v>6942.5170922791749</v>
      </c>
      <c r="T39" s="233">
        <f t="shared" ca="1" si="9"/>
        <v>5297.8504871953764</v>
      </c>
      <c r="U39" s="233">
        <f t="shared" ca="1" si="9"/>
        <v>3593.9758843285608</v>
      </c>
      <c r="V39" s="233">
        <f t="shared" ca="1" si="9"/>
        <v>1828.7617957585401</v>
      </c>
      <c r="W39" s="233">
        <f t="shared" ca="1" si="9"/>
        <v>0</v>
      </c>
      <c r="X39" s="233">
        <f t="shared" si="9"/>
        <v>0</v>
      </c>
      <c r="Y39" s="233">
        <f t="shared" si="9"/>
        <v>0</v>
      </c>
      <c r="Z39" s="233">
        <f t="shared" si="9"/>
        <v>0</v>
      </c>
      <c r="AA39" s="233">
        <f t="shared" si="9"/>
        <v>0</v>
      </c>
      <c r="AB39" s="233">
        <f t="shared" si="9"/>
        <v>0</v>
      </c>
      <c r="AC39" s="233">
        <f t="shared" si="9"/>
        <v>0</v>
      </c>
      <c r="AD39" s="233">
        <f t="shared" si="9"/>
        <v>0</v>
      </c>
      <c r="AE39" s="233">
        <f t="shared" si="9"/>
        <v>0</v>
      </c>
      <c r="AF39" s="233">
        <f t="shared" si="9"/>
        <v>0</v>
      </c>
    </row>
    <row r="40" spans="2:32">
      <c r="B40" s="56">
        <v>2</v>
      </c>
      <c r="C40" s="133" t="s">
        <v>337</v>
      </c>
      <c r="D40" s="233">
        <f ca="1">SUM(F40:AF40)</f>
        <v>21666.480669589477</v>
      </c>
      <c r="E40" s="56" t="s">
        <v>111</v>
      </c>
      <c r="F40" s="233">
        <f ca="1">F15</f>
        <v>21666.480669589477</v>
      </c>
      <c r="G40" s="233">
        <f>G15</f>
        <v>0</v>
      </c>
      <c r="H40" s="233"/>
      <c r="I40" s="233"/>
      <c r="J40" s="233"/>
      <c r="K40" s="233"/>
      <c r="L40" s="233"/>
      <c r="M40" s="233"/>
      <c r="N40" s="233"/>
      <c r="O40" s="233"/>
      <c r="P40" s="233"/>
      <c r="Q40" s="233"/>
      <c r="R40" s="233"/>
      <c r="S40" s="233"/>
      <c r="T40" s="233"/>
      <c r="U40" s="233"/>
      <c r="V40" s="233"/>
      <c r="W40" s="233"/>
      <c r="X40" s="233"/>
      <c r="Y40" s="233"/>
      <c r="Z40" s="233"/>
      <c r="AA40" s="233"/>
      <c r="AB40" s="233"/>
      <c r="AC40" s="233"/>
      <c r="AD40" s="233"/>
      <c r="AE40" s="233"/>
      <c r="AF40" s="233"/>
    </row>
    <row r="41" spans="2:32">
      <c r="B41" s="56">
        <v>3</v>
      </c>
      <c r="C41" s="133" t="s">
        <v>338</v>
      </c>
      <c r="D41" s="233">
        <f ca="1">SUM(F41:AF41)</f>
        <v>28418.958306087734</v>
      </c>
      <c r="E41" s="56" t="s">
        <v>111</v>
      </c>
      <c r="F41" s="233"/>
      <c r="G41" s="233"/>
      <c r="H41" s="233">
        <f ca="1">-PMT(参数输入表!$H$126,参数输入表!$H$129,'表1-资金筹措及还本付息表'!$D$40)</f>
        <v>1894.5972204058489</v>
      </c>
      <c r="I41" s="233">
        <f ca="1">-PMT(参数输入表!$H$126,参数输入表!$H$129,'表1-资金筹措及还本付息表'!$D$40)</f>
        <v>1894.5972204058489</v>
      </c>
      <c r="J41" s="233">
        <f ca="1">-PMT(参数输入表!$H$126,参数输入表!$H$129,'表1-资金筹措及还本付息表'!$D$40)</f>
        <v>1894.5972204058489</v>
      </c>
      <c r="K41" s="233">
        <f ca="1">-PMT(参数输入表!$H$126,参数输入表!$H$129,'表1-资金筹措及还本付息表'!$D$40)</f>
        <v>1894.5972204058489</v>
      </c>
      <c r="L41" s="233">
        <f ca="1">-PMT(参数输入表!$H$126,参数输入表!$H$129,'表1-资金筹措及还本付息表'!$D$40)</f>
        <v>1894.5972204058489</v>
      </c>
      <c r="M41" s="233">
        <f ca="1">-PMT(参数输入表!$H$126,参数输入表!$H$129,'表1-资金筹措及还本付息表'!$D$40)</f>
        <v>1894.5972204058489</v>
      </c>
      <c r="N41" s="233">
        <f ca="1">-PMT(参数输入表!$H$126,参数输入表!$H$129,'表1-资金筹措及还本付息表'!$D$40)</f>
        <v>1894.5972204058489</v>
      </c>
      <c r="O41" s="233">
        <f ca="1">-PMT(参数输入表!$H$126,参数输入表!$H$129,'表1-资金筹措及还本付息表'!$D$40)</f>
        <v>1894.5972204058489</v>
      </c>
      <c r="P41" s="233">
        <f ca="1">-PMT(参数输入表!$H$126,参数输入表!$H$129,'表1-资金筹措及还本付息表'!$D$40)</f>
        <v>1894.5972204058489</v>
      </c>
      <c r="Q41" s="233">
        <f ca="1">-PMT(参数输入表!$H$126,参数输入表!$H$129,'表1-资金筹措及还本付息表'!$D$40)</f>
        <v>1894.5972204058489</v>
      </c>
      <c r="R41" s="233">
        <f ca="1">-PMT(参数输入表!$H$126,参数输入表!$H$129,'表1-资金筹措及还本付息表'!$D$40)</f>
        <v>1894.5972204058489</v>
      </c>
      <c r="S41" s="233">
        <f ca="1">-PMT(参数输入表!$H$126,参数输入表!$H$129,'表1-资金筹措及还本付息表'!$D$40)</f>
        <v>1894.5972204058489</v>
      </c>
      <c r="T41" s="233">
        <f ca="1">-PMT(参数输入表!$H$126,参数输入表!$H$129,'表1-资金筹措及还本付息表'!$D$40)</f>
        <v>1894.5972204058489</v>
      </c>
      <c r="U41" s="233">
        <f ca="1">-PMT(参数输入表!$H$126,参数输入表!$H$129,'表1-资金筹措及还本付息表'!$D$40)</f>
        <v>1894.5972204058489</v>
      </c>
      <c r="V41" s="233">
        <f ca="1">-PMT(参数输入表!$H$126,参数输入表!$H$129,'表1-资金筹措及还本付息表'!$D$40)</f>
        <v>1894.5972204058489</v>
      </c>
      <c r="W41" s="233"/>
      <c r="X41" s="233"/>
      <c r="Y41" s="233"/>
      <c r="Z41" s="233"/>
      <c r="AA41" s="233"/>
      <c r="AB41" s="233"/>
      <c r="AC41" s="233"/>
      <c r="AD41" s="233"/>
      <c r="AE41" s="233"/>
      <c r="AF41" s="233"/>
    </row>
    <row r="42" spans="2:32">
      <c r="B42" s="56"/>
      <c r="C42" s="61" t="s">
        <v>339</v>
      </c>
      <c r="D42" s="233">
        <f ca="1">SUM(F42:AF42)</f>
        <v>21666.480669589477</v>
      </c>
      <c r="E42" s="56" t="s">
        <v>111</v>
      </c>
      <c r="F42" s="233"/>
      <c r="G42" s="233"/>
      <c r="H42" s="233">
        <f ca="1">H41-H43</f>
        <v>1114.6039163006278</v>
      </c>
      <c r="I42" s="233">
        <f t="shared" ref="I42:V42" ca="1" si="10">I41-I43</f>
        <v>1154.7296572874504</v>
      </c>
      <c r="J42" s="233">
        <f t="shared" ca="1" si="10"/>
        <v>1196.2999249497987</v>
      </c>
      <c r="K42" s="233">
        <f t="shared" ca="1" si="10"/>
        <v>1239.3667222479914</v>
      </c>
      <c r="L42" s="233">
        <f t="shared" ca="1" si="10"/>
        <v>1283.9839242489193</v>
      </c>
      <c r="M42" s="233">
        <f t="shared" ca="1" si="10"/>
        <v>1330.2073455218801</v>
      </c>
      <c r="N42" s="233">
        <f t="shared" ca="1" si="10"/>
        <v>1378.094809960668</v>
      </c>
      <c r="O42" s="233">
        <f t="shared" ca="1" si="10"/>
        <v>1427.7062231192519</v>
      </c>
      <c r="P42" s="233">
        <f t="shared" ca="1" si="10"/>
        <v>1479.1036471515451</v>
      </c>
      <c r="Q42" s="233">
        <f t="shared" ca="1" si="10"/>
        <v>1532.3513784490008</v>
      </c>
      <c r="R42" s="233">
        <f t="shared" ca="1" si="10"/>
        <v>1587.5160280731648</v>
      </c>
      <c r="S42" s="233">
        <f t="shared" ca="1" si="10"/>
        <v>1644.6666050837987</v>
      </c>
      <c r="T42" s="233">
        <f t="shared" ca="1" si="10"/>
        <v>1703.8746028668154</v>
      </c>
      <c r="U42" s="233">
        <f t="shared" ca="1" si="10"/>
        <v>1765.2140885700207</v>
      </c>
      <c r="V42" s="233">
        <f t="shared" ca="1" si="10"/>
        <v>1828.7617957585414</v>
      </c>
      <c r="W42" s="233"/>
      <c r="X42" s="233"/>
      <c r="Y42" s="233"/>
      <c r="Z42" s="233"/>
      <c r="AA42" s="233"/>
      <c r="AB42" s="233"/>
      <c r="AC42" s="233"/>
      <c r="AD42" s="233"/>
      <c r="AE42" s="233"/>
      <c r="AF42" s="233"/>
    </row>
    <row r="43" spans="2:32">
      <c r="B43" s="56"/>
      <c r="C43" s="182" t="s">
        <v>340</v>
      </c>
      <c r="D43" s="233">
        <f ca="1">SUM(F43:AF43)</f>
        <v>6752.477636498259</v>
      </c>
      <c r="E43" s="56" t="s">
        <v>111</v>
      </c>
      <c r="F43" s="233"/>
      <c r="G43" s="233"/>
      <c r="H43" s="233">
        <f ca="1">(H39+H40/2)*参数输入表!$H$126</f>
        <v>779.99330410522111</v>
      </c>
      <c r="I43" s="233">
        <f ca="1">(I39+I40/2)*参数输入表!$H$126</f>
        <v>739.86756311839849</v>
      </c>
      <c r="J43" s="233">
        <f ca="1">(J39+J40/2)*参数输入表!$H$126</f>
        <v>698.29729545605028</v>
      </c>
      <c r="K43" s="233">
        <f ca="1">(K39+K40/2)*参数输入表!$H$126</f>
        <v>655.23049815785748</v>
      </c>
      <c r="L43" s="233">
        <f ca="1">(L39+L40/2)*参数输入表!$H$126</f>
        <v>610.61329615692978</v>
      </c>
      <c r="M43" s="233">
        <f ca="1">(M39+M40/2)*参数输入表!$H$126</f>
        <v>564.38987488396867</v>
      </c>
      <c r="N43" s="233">
        <f ca="1">(N39+N40/2)*参数输入表!$H$126</f>
        <v>516.502410445181</v>
      </c>
      <c r="O43" s="233">
        <f ca="1">(O39+O40/2)*参数输入表!$H$126</f>
        <v>466.89099728659693</v>
      </c>
      <c r="P43" s="233">
        <f ca="1">(P39+P40/2)*参数输入表!$H$126</f>
        <v>415.49357325430384</v>
      </c>
      <c r="Q43" s="233">
        <f ca="1">(Q39+Q40/2)*参数输入表!$H$126</f>
        <v>362.24584195684821</v>
      </c>
      <c r="R43" s="233">
        <f ca="1">(R39+R40/2)*参数输入表!$H$126</f>
        <v>307.08119233268422</v>
      </c>
      <c r="S43" s="233">
        <f ca="1">(S39+S40/2)*参数输入表!$H$126</f>
        <v>249.93061532205027</v>
      </c>
      <c r="T43" s="233">
        <f ca="1">(T39+T40/2)*参数输入表!$H$126</f>
        <v>190.72261753903354</v>
      </c>
      <c r="U43" s="233">
        <f ca="1">(U39+U40/2)*参数输入表!$H$126</f>
        <v>129.38313183582818</v>
      </c>
      <c r="V43" s="233">
        <f ca="1">(V39+V40/2)*参数输入表!$H$126</f>
        <v>65.835424647307434</v>
      </c>
      <c r="W43" s="233"/>
      <c r="X43" s="233"/>
      <c r="Y43" s="233"/>
      <c r="Z43" s="233"/>
      <c r="AA43" s="233"/>
      <c r="AB43" s="233"/>
      <c r="AC43" s="233"/>
      <c r="AD43" s="233"/>
      <c r="AE43" s="233"/>
      <c r="AF43" s="233"/>
    </row>
    <row r="44" spans="2:32">
      <c r="B44" s="56">
        <v>4</v>
      </c>
      <c r="C44" s="133" t="s">
        <v>341</v>
      </c>
      <c r="D44" s="238">
        <f>AF44</f>
        <v>0</v>
      </c>
      <c r="E44" s="56" t="s">
        <v>111</v>
      </c>
      <c r="F44" s="233">
        <f ca="1">F39+F40-F42</f>
        <v>21666.480669589477</v>
      </c>
      <c r="G44" s="233">
        <f ca="1">G39+G40-G42</f>
        <v>21666.480669589477</v>
      </c>
      <c r="H44" s="233">
        <f t="shared" ref="H44:V44" ca="1" si="11">H39+H40-H42</f>
        <v>20551.876753288849</v>
      </c>
      <c r="I44" s="233">
        <f t="shared" ca="1" si="11"/>
        <v>19397.147096001398</v>
      </c>
      <c r="J44" s="233">
        <f t="shared" ca="1" si="11"/>
        <v>18200.847171051599</v>
      </c>
      <c r="K44" s="233">
        <f t="shared" ca="1" si="11"/>
        <v>16961.480448803606</v>
      </c>
      <c r="L44" s="233">
        <f t="shared" ca="1" si="11"/>
        <v>15677.496524554686</v>
      </c>
      <c r="M44" s="233">
        <f t="shared" ca="1" si="11"/>
        <v>14347.289179032807</v>
      </c>
      <c r="N44" s="233">
        <f t="shared" ca="1" si="11"/>
        <v>12969.194369072138</v>
      </c>
      <c r="O44" s="233">
        <f t="shared" ca="1" si="11"/>
        <v>11541.488145952886</v>
      </c>
      <c r="P44" s="233">
        <f t="shared" ca="1" si="11"/>
        <v>10062.384498801341</v>
      </c>
      <c r="Q44" s="233">
        <f t="shared" ca="1" si="11"/>
        <v>8530.0331203523401</v>
      </c>
      <c r="R44" s="233">
        <f t="shared" ca="1" si="11"/>
        <v>6942.5170922791749</v>
      </c>
      <c r="S44" s="233">
        <f t="shared" ca="1" si="11"/>
        <v>5297.8504871953764</v>
      </c>
      <c r="T44" s="233">
        <f t="shared" ca="1" si="11"/>
        <v>3593.9758843285608</v>
      </c>
      <c r="U44" s="233">
        <f t="shared" ca="1" si="11"/>
        <v>1828.7617957585401</v>
      </c>
      <c r="V44" s="238">
        <f t="shared" ca="1" si="11"/>
        <v>0</v>
      </c>
      <c r="W44" s="233"/>
      <c r="X44" s="233"/>
      <c r="Y44" s="233"/>
      <c r="Z44" s="233"/>
      <c r="AA44" s="233"/>
      <c r="AB44" s="233"/>
      <c r="AC44" s="233"/>
      <c r="AD44" s="233"/>
      <c r="AE44" s="233"/>
      <c r="AF44" s="233"/>
    </row>
    <row r="46" spans="2:32">
      <c r="B46" s="341" t="s">
        <v>335</v>
      </c>
      <c r="C46" s="341"/>
      <c r="D46" s="341"/>
      <c r="E46" s="341"/>
      <c r="F46" s="341"/>
      <c r="G46" s="341"/>
      <c r="H46" s="341"/>
      <c r="I46" s="341"/>
      <c r="J46" s="341"/>
      <c r="K46" s="341"/>
      <c r="L46" s="341"/>
      <c r="M46" s="341"/>
      <c r="N46" s="341"/>
      <c r="O46" s="341"/>
      <c r="P46" s="341"/>
      <c r="Q46" s="341"/>
      <c r="R46" s="341"/>
      <c r="S46" s="341"/>
      <c r="T46" s="341"/>
      <c r="U46" s="341"/>
      <c r="V46" s="341"/>
      <c r="W46" s="341"/>
      <c r="X46" s="341"/>
      <c r="Y46" s="341"/>
      <c r="Z46" s="341"/>
      <c r="AA46" s="341"/>
      <c r="AB46" s="341"/>
      <c r="AC46" s="341"/>
      <c r="AD46" s="341"/>
      <c r="AE46" s="341"/>
      <c r="AF46" s="341"/>
    </row>
    <row r="47" spans="2:32">
      <c r="B47" s="344" t="s">
        <v>14</v>
      </c>
      <c r="C47" s="344" t="s">
        <v>323</v>
      </c>
      <c r="D47" s="344" t="s">
        <v>311</v>
      </c>
      <c r="E47" s="344" t="s">
        <v>39</v>
      </c>
      <c r="F47" s="342" t="s">
        <v>43</v>
      </c>
      <c r="G47" s="342"/>
      <c r="H47" s="343" t="s">
        <v>54</v>
      </c>
      <c r="I47" s="343"/>
      <c r="J47" s="343"/>
      <c r="K47" s="343"/>
      <c r="L47" s="343"/>
      <c r="M47" s="343"/>
      <c r="N47" s="343"/>
      <c r="O47" s="343"/>
      <c r="P47" s="343"/>
      <c r="Q47" s="343"/>
      <c r="R47" s="343"/>
      <c r="S47" s="343"/>
      <c r="T47" s="343"/>
      <c r="U47" s="343"/>
      <c r="V47" s="343"/>
      <c r="W47" s="343"/>
      <c r="X47" s="343"/>
      <c r="Y47" s="343"/>
      <c r="Z47" s="343"/>
      <c r="AA47" s="343"/>
      <c r="AB47" s="343"/>
      <c r="AC47" s="343"/>
      <c r="AD47" s="343"/>
      <c r="AE47" s="343"/>
      <c r="AF47" s="343"/>
    </row>
    <row r="48" spans="2:32">
      <c r="B48" s="344"/>
      <c r="C48" s="344"/>
      <c r="D48" s="344"/>
      <c r="E48" s="344"/>
      <c r="F48" s="51">
        <v>1</v>
      </c>
      <c r="G48" s="51">
        <v>2</v>
      </c>
      <c r="H48" s="52">
        <v>1</v>
      </c>
      <c r="I48" s="52">
        <v>2</v>
      </c>
      <c r="J48" s="52">
        <v>3</v>
      </c>
      <c r="K48" s="52">
        <v>4</v>
      </c>
      <c r="L48" s="52">
        <v>5</v>
      </c>
      <c r="M48" s="52">
        <v>6</v>
      </c>
      <c r="N48" s="52">
        <v>7</v>
      </c>
      <c r="O48" s="52">
        <v>8</v>
      </c>
      <c r="P48" s="52">
        <v>9</v>
      </c>
      <c r="Q48" s="52">
        <v>10</v>
      </c>
      <c r="R48" s="52">
        <v>11</v>
      </c>
      <c r="S48" s="52">
        <v>12</v>
      </c>
      <c r="T48" s="52">
        <v>13</v>
      </c>
      <c r="U48" s="52">
        <v>14</v>
      </c>
      <c r="V48" s="52">
        <v>15</v>
      </c>
      <c r="W48" s="52">
        <v>16</v>
      </c>
      <c r="X48" s="52">
        <v>17</v>
      </c>
      <c r="Y48" s="52">
        <v>18</v>
      </c>
      <c r="Z48" s="52">
        <v>19</v>
      </c>
      <c r="AA48" s="52">
        <v>20</v>
      </c>
      <c r="AB48" s="52">
        <v>21</v>
      </c>
      <c r="AC48" s="52">
        <v>22</v>
      </c>
      <c r="AD48" s="52">
        <v>23</v>
      </c>
      <c r="AE48" s="52">
        <v>24</v>
      </c>
      <c r="AF48" s="52">
        <v>25</v>
      </c>
    </row>
    <row r="49" spans="2:32">
      <c r="B49" s="56">
        <v>1</v>
      </c>
      <c r="C49" s="133" t="s">
        <v>336</v>
      </c>
      <c r="D49" s="233"/>
      <c r="E49" s="56" t="s">
        <v>111</v>
      </c>
      <c r="F49" s="233">
        <v>0</v>
      </c>
      <c r="G49" s="233">
        <f t="shared" ref="G49:V49" ca="1" si="12">F54</f>
        <v>21666.480669589477</v>
      </c>
      <c r="H49" s="233">
        <f t="shared" ca="1" si="12"/>
        <v>21666.480669589477</v>
      </c>
      <c r="I49" s="233">
        <f t="shared" ca="1" si="12"/>
        <v>20222.048624950177</v>
      </c>
      <c r="J49" s="233">
        <f t="shared" ca="1" si="12"/>
        <v>18777.616580310878</v>
      </c>
      <c r="K49" s="233">
        <f t="shared" ca="1" si="12"/>
        <v>17333.184535671578</v>
      </c>
      <c r="L49" s="233">
        <f t="shared" ca="1" si="12"/>
        <v>15888.752491032279</v>
      </c>
      <c r="M49" s="233">
        <f t="shared" ca="1" si="12"/>
        <v>14444.32044639298</v>
      </c>
      <c r="N49" s="233">
        <f t="shared" ca="1" si="12"/>
        <v>12999.88840175368</v>
      </c>
      <c r="O49" s="233">
        <f t="shared" ca="1" si="12"/>
        <v>11555.456357114381</v>
      </c>
      <c r="P49" s="233">
        <f t="shared" ca="1" si="12"/>
        <v>10111.024312475081</v>
      </c>
      <c r="Q49" s="233">
        <f t="shared" ca="1" si="12"/>
        <v>8666.592267835782</v>
      </c>
      <c r="R49" s="233">
        <f t="shared" ca="1" si="12"/>
        <v>7222.1602231964835</v>
      </c>
      <c r="S49" s="233">
        <f t="shared" ca="1" si="12"/>
        <v>5777.7281785571849</v>
      </c>
      <c r="T49" s="233">
        <f t="shared" ca="1" si="12"/>
        <v>4333.2961339178864</v>
      </c>
      <c r="U49" s="233">
        <f t="shared" ca="1" si="12"/>
        <v>2888.8640892785879</v>
      </c>
      <c r="V49" s="233">
        <f t="shared" ca="1" si="12"/>
        <v>1444.4320446392894</v>
      </c>
      <c r="W49" s="233"/>
      <c r="X49" s="233"/>
      <c r="Y49" s="233"/>
      <c r="Z49" s="233"/>
      <c r="AA49" s="233"/>
      <c r="AB49" s="233"/>
      <c r="AC49" s="233"/>
      <c r="AD49" s="233"/>
      <c r="AE49" s="233"/>
      <c r="AF49" s="233"/>
    </row>
    <row r="50" spans="2:32">
      <c r="B50" s="56">
        <v>2</v>
      </c>
      <c r="C50" s="133" t="s">
        <v>337</v>
      </c>
      <c r="D50" s="233">
        <f ca="1">SUM(F50:AF50)</f>
        <v>21666.480669589477</v>
      </c>
      <c r="E50" s="56" t="s">
        <v>111</v>
      </c>
      <c r="F50" s="233">
        <f ca="1">F15</f>
        <v>21666.480669589477</v>
      </c>
      <c r="G50" s="233">
        <f>G15</f>
        <v>0</v>
      </c>
      <c r="H50" s="233"/>
      <c r="I50" s="233"/>
      <c r="J50" s="233"/>
      <c r="K50" s="233"/>
      <c r="L50" s="233"/>
      <c r="M50" s="233"/>
      <c r="N50" s="233"/>
      <c r="O50" s="233"/>
      <c r="P50" s="233"/>
      <c r="Q50" s="233"/>
      <c r="R50" s="233"/>
      <c r="S50" s="233"/>
      <c r="T50" s="233"/>
      <c r="U50" s="233"/>
      <c r="V50" s="233"/>
      <c r="W50" s="233"/>
      <c r="X50" s="233"/>
      <c r="Y50" s="233"/>
      <c r="Z50" s="233"/>
      <c r="AA50" s="233"/>
      <c r="AB50" s="233"/>
      <c r="AC50" s="233"/>
      <c r="AD50" s="233"/>
      <c r="AE50" s="233"/>
      <c r="AF50" s="233"/>
    </row>
    <row r="51" spans="2:32">
      <c r="B51" s="56">
        <v>3</v>
      </c>
      <c r="C51" s="133" t="s">
        <v>338</v>
      </c>
      <c r="D51" s="233">
        <f ca="1">SUM(F51:AF51)</f>
        <v>27906.42710243124</v>
      </c>
      <c r="E51" s="56" t="s">
        <v>111</v>
      </c>
      <c r="F51" s="233"/>
      <c r="G51" s="233"/>
      <c r="H51" s="233">
        <f ca="1">SUM(H52:H53)</f>
        <v>2224.4253487445194</v>
      </c>
      <c r="I51" s="233">
        <f t="shared" ref="I51:V51" ca="1" si="13">SUM(I52:I53)</f>
        <v>2172.4257951375048</v>
      </c>
      <c r="J51" s="233">
        <f t="shared" ca="1" si="13"/>
        <v>2120.4262415304902</v>
      </c>
      <c r="K51" s="233">
        <f t="shared" ca="1" si="13"/>
        <v>2068.4266879234751</v>
      </c>
      <c r="L51" s="233">
        <f t="shared" ca="1" si="13"/>
        <v>2016.4271343164605</v>
      </c>
      <c r="M51" s="233">
        <f t="shared" ca="1" si="13"/>
        <v>1964.4275807094457</v>
      </c>
      <c r="N51" s="233">
        <f t="shared" ca="1" si="13"/>
        <v>1912.4280271024309</v>
      </c>
      <c r="O51" s="233">
        <f t="shared" ca="1" si="13"/>
        <v>1860.4284734954163</v>
      </c>
      <c r="P51" s="233">
        <f t="shared" ca="1" si="13"/>
        <v>1808.4289198884014</v>
      </c>
      <c r="Q51" s="233">
        <f t="shared" ca="1" si="13"/>
        <v>1756.4293662813866</v>
      </c>
      <c r="R51" s="233">
        <f t="shared" ca="1" si="13"/>
        <v>1704.429812674372</v>
      </c>
      <c r="S51" s="233">
        <f t="shared" ca="1" si="13"/>
        <v>1652.4302590673572</v>
      </c>
      <c r="T51" s="233">
        <f t="shared" ca="1" si="13"/>
        <v>1600.4307054603423</v>
      </c>
      <c r="U51" s="233">
        <f t="shared" ca="1" si="13"/>
        <v>1548.4311518533277</v>
      </c>
      <c r="V51" s="233">
        <f t="shared" ca="1" si="13"/>
        <v>1496.4315982463129</v>
      </c>
      <c r="W51" s="233"/>
      <c r="X51" s="233"/>
      <c r="Y51" s="233"/>
      <c r="Z51" s="233"/>
      <c r="AA51" s="233"/>
      <c r="AB51" s="233"/>
      <c r="AC51" s="233"/>
      <c r="AD51" s="233"/>
      <c r="AE51" s="233"/>
      <c r="AF51" s="233"/>
    </row>
    <row r="52" spans="2:32">
      <c r="B52" s="56"/>
      <c r="C52" s="61" t="s">
        <v>342</v>
      </c>
      <c r="D52" s="233">
        <f ca="1">SUM(F52:AF52)</f>
        <v>21666.480669589484</v>
      </c>
      <c r="E52" s="56" t="s">
        <v>111</v>
      </c>
      <c r="F52" s="233"/>
      <c r="G52" s="233"/>
      <c r="H52" s="233">
        <f ca="1">$D$50/参数输入表!$H$129</f>
        <v>1444.4320446392985</v>
      </c>
      <c r="I52" s="233">
        <f ca="1">$D$50/参数输入表!$H$129</f>
        <v>1444.4320446392985</v>
      </c>
      <c r="J52" s="233">
        <f ca="1">$D$50/参数输入表!$H$129</f>
        <v>1444.4320446392985</v>
      </c>
      <c r="K52" s="233">
        <f ca="1">$D$50/参数输入表!$H$129</f>
        <v>1444.4320446392985</v>
      </c>
      <c r="L52" s="233">
        <f ca="1">$D$50/参数输入表!$H$129</f>
        <v>1444.4320446392985</v>
      </c>
      <c r="M52" s="233">
        <f ca="1">$D$50/参数输入表!$H$129</f>
        <v>1444.4320446392985</v>
      </c>
      <c r="N52" s="233">
        <f ca="1">$D$50/参数输入表!$H$129</f>
        <v>1444.4320446392985</v>
      </c>
      <c r="O52" s="233">
        <f ca="1">$D$50/参数输入表!$H$129</f>
        <v>1444.4320446392985</v>
      </c>
      <c r="P52" s="233">
        <f ca="1">$D$50/参数输入表!$H$129</f>
        <v>1444.4320446392985</v>
      </c>
      <c r="Q52" s="233">
        <f ca="1">$D$50/参数输入表!$H$129</f>
        <v>1444.4320446392985</v>
      </c>
      <c r="R52" s="233">
        <f ca="1">$D$50/参数输入表!$H$129</f>
        <v>1444.4320446392985</v>
      </c>
      <c r="S52" s="233">
        <f ca="1">$D$50/参数输入表!$H$129</f>
        <v>1444.4320446392985</v>
      </c>
      <c r="T52" s="233">
        <f ca="1">$D$50/参数输入表!$H$129</f>
        <v>1444.4320446392985</v>
      </c>
      <c r="U52" s="233">
        <f ca="1">$D$50/参数输入表!$H$129</f>
        <v>1444.4320446392985</v>
      </c>
      <c r="V52" s="233">
        <f ca="1">$D$50/参数输入表!$H$129</f>
        <v>1444.4320446392985</v>
      </c>
      <c r="W52" s="233"/>
      <c r="X52" s="233"/>
      <c r="Y52" s="233"/>
      <c r="Z52" s="233"/>
      <c r="AA52" s="233"/>
      <c r="AB52" s="233"/>
      <c r="AC52" s="233"/>
      <c r="AD52" s="233"/>
      <c r="AE52" s="233"/>
      <c r="AF52" s="233"/>
    </row>
    <row r="53" spans="2:32">
      <c r="B53" s="56"/>
      <c r="C53" s="182" t="s">
        <v>340</v>
      </c>
      <c r="D53" s="233">
        <f ca="1">SUM(F53:AF53)</f>
        <v>6239.9464328417653</v>
      </c>
      <c r="E53" s="56" t="s">
        <v>111</v>
      </c>
      <c r="F53" s="233"/>
      <c r="G53" s="233"/>
      <c r="H53" s="233">
        <f ca="1">(H49+H50/2)*参数输入表!$H$126</f>
        <v>779.99330410522111</v>
      </c>
      <c r="I53" s="233">
        <f ca="1">(I49+I50/2)*参数输入表!$H$126</f>
        <v>727.99375049820628</v>
      </c>
      <c r="J53" s="233">
        <f ca="1">(J49+J50/2)*参数输入表!$H$126</f>
        <v>675.99419689119156</v>
      </c>
      <c r="K53" s="233">
        <f ca="1">(K49+K50/2)*参数输入表!$H$126</f>
        <v>623.99464328417673</v>
      </c>
      <c r="L53" s="233">
        <f ca="1">(L49+L50/2)*参数输入表!$H$126</f>
        <v>571.99508967716201</v>
      </c>
      <c r="M53" s="233">
        <f ca="1">(M49+M50/2)*参数输入表!$H$126</f>
        <v>519.99553607014718</v>
      </c>
      <c r="N53" s="233">
        <f ca="1">(N49+N50/2)*参数输入表!$H$126</f>
        <v>467.99598246313246</v>
      </c>
      <c r="O53" s="233">
        <f ca="1">(O49+O50/2)*参数输入表!$H$126</f>
        <v>415.99642885611769</v>
      </c>
      <c r="P53" s="233">
        <f ca="1">(P49+P50/2)*参数输入表!$H$126</f>
        <v>363.99687524910291</v>
      </c>
      <c r="Q53" s="233">
        <f ca="1">(Q49+Q50/2)*参数输入表!$H$126</f>
        <v>311.99732164208814</v>
      </c>
      <c r="R53" s="233">
        <f ca="1">(R49+R50/2)*参数输入表!$H$126</f>
        <v>259.99776803507336</v>
      </c>
      <c r="S53" s="233">
        <f ca="1">(S49+S50/2)*参数输入表!$H$126</f>
        <v>207.99821442805865</v>
      </c>
      <c r="T53" s="233">
        <f ca="1">(T49+T50/2)*参数输入表!$H$126</f>
        <v>155.9986608210439</v>
      </c>
      <c r="U53" s="233">
        <f ca="1">(U49+U50/2)*参数输入表!$H$126</f>
        <v>103.99910721402915</v>
      </c>
      <c r="V53" s="233">
        <f ca="1">(V49+V50/2)*参数输入表!$H$126</f>
        <v>51.999553607014413</v>
      </c>
      <c r="W53" s="233"/>
      <c r="X53" s="233"/>
      <c r="Y53" s="233"/>
      <c r="Z53" s="233"/>
      <c r="AA53" s="233"/>
      <c r="AB53" s="233"/>
      <c r="AC53" s="233"/>
      <c r="AD53" s="233"/>
      <c r="AE53" s="233"/>
      <c r="AF53" s="233"/>
    </row>
    <row r="54" spans="2:32">
      <c r="B54" s="56">
        <v>4</v>
      </c>
      <c r="C54" s="133" t="s">
        <v>341</v>
      </c>
      <c r="D54" s="238">
        <f>AF54</f>
        <v>0</v>
      </c>
      <c r="E54" s="56" t="s">
        <v>111</v>
      </c>
      <c r="F54" s="233">
        <f ca="1">F49+F50-F52</f>
        <v>21666.480669589477</v>
      </c>
      <c r="G54" s="233">
        <f ca="1">G49+G50-G52</f>
        <v>21666.480669589477</v>
      </c>
      <c r="H54" s="233">
        <f t="shared" ref="H54:V54" ca="1" si="14">H49+H50-H52</f>
        <v>20222.048624950177</v>
      </c>
      <c r="I54" s="233">
        <f t="shared" ca="1" si="14"/>
        <v>18777.616580310878</v>
      </c>
      <c r="J54" s="233">
        <f t="shared" ca="1" si="14"/>
        <v>17333.184535671578</v>
      </c>
      <c r="K54" s="233">
        <f t="shared" ca="1" si="14"/>
        <v>15888.752491032279</v>
      </c>
      <c r="L54" s="233">
        <f t="shared" ca="1" si="14"/>
        <v>14444.32044639298</v>
      </c>
      <c r="M54" s="233">
        <f t="shared" ca="1" si="14"/>
        <v>12999.88840175368</v>
      </c>
      <c r="N54" s="233">
        <f t="shared" ca="1" si="14"/>
        <v>11555.456357114381</v>
      </c>
      <c r="O54" s="233">
        <f t="shared" ca="1" si="14"/>
        <v>10111.024312475081</v>
      </c>
      <c r="P54" s="233">
        <f t="shared" ca="1" si="14"/>
        <v>8666.592267835782</v>
      </c>
      <c r="Q54" s="233">
        <f t="shared" ca="1" si="14"/>
        <v>7222.1602231964835</v>
      </c>
      <c r="R54" s="233">
        <f t="shared" ca="1" si="14"/>
        <v>5777.7281785571849</v>
      </c>
      <c r="S54" s="233">
        <f t="shared" ca="1" si="14"/>
        <v>4333.2961339178864</v>
      </c>
      <c r="T54" s="233">
        <f t="shared" ca="1" si="14"/>
        <v>2888.8640892785879</v>
      </c>
      <c r="U54" s="233">
        <f t="shared" ca="1" si="14"/>
        <v>1444.4320446392894</v>
      </c>
      <c r="V54" s="238">
        <f t="shared" ca="1" si="14"/>
        <v>-9.0949470177292824E-12</v>
      </c>
      <c r="W54" s="233"/>
      <c r="X54" s="233"/>
      <c r="Y54" s="233"/>
      <c r="Z54" s="233"/>
      <c r="AA54" s="233"/>
      <c r="AB54" s="233"/>
      <c r="AC54" s="233"/>
      <c r="AD54" s="233"/>
      <c r="AE54" s="233"/>
      <c r="AF54" s="233"/>
    </row>
    <row r="56" spans="2:32">
      <c r="B56" s="341" t="s">
        <v>343</v>
      </c>
      <c r="C56" s="341"/>
      <c r="D56" s="341"/>
      <c r="E56" s="341"/>
      <c r="F56" s="341"/>
      <c r="G56" s="341"/>
      <c r="H56" s="341"/>
      <c r="I56" s="341"/>
      <c r="J56" s="341"/>
      <c r="K56" s="341"/>
      <c r="L56" s="341"/>
      <c r="M56" s="341"/>
      <c r="N56" s="341"/>
      <c r="O56" s="341"/>
      <c r="P56" s="341"/>
      <c r="Q56" s="341"/>
      <c r="R56" s="341"/>
      <c r="S56" s="341"/>
      <c r="T56" s="341"/>
      <c r="U56" s="341"/>
      <c r="V56" s="341"/>
      <c r="W56" s="341"/>
      <c r="X56" s="341"/>
      <c r="Y56" s="341"/>
      <c r="Z56" s="341"/>
      <c r="AA56" s="341"/>
      <c r="AB56" s="341"/>
      <c r="AC56" s="341"/>
      <c r="AD56" s="341"/>
      <c r="AE56" s="341"/>
      <c r="AF56" s="341"/>
    </row>
    <row r="57" spans="2:32">
      <c r="B57" s="344" t="s">
        <v>14</v>
      </c>
      <c r="C57" s="344" t="s">
        <v>323</v>
      </c>
      <c r="D57" s="344" t="s">
        <v>311</v>
      </c>
      <c r="E57" s="344" t="s">
        <v>39</v>
      </c>
      <c r="F57" s="342" t="s">
        <v>43</v>
      </c>
      <c r="G57" s="342"/>
      <c r="H57" s="343" t="s">
        <v>54</v>
      </c>
      <c r="I57" s="343"/>
      <c r="J57" s="343"/>
      <c r="K57" s="343"/>
      <c r="L57" s="343"/>
      <c r="M57" s="343"/>
      <c r="N57" s="343"/>
      <c r="O57" s="343"/>
      <c r="P57" s="343"/>
      <c r="Q57" s="343"/>
      <c r="R57" s="343"/>
      <c r="S57" s="343"/>
      <c r="T57" s="343"/>
      <c r="U57" s="343"/>
      <c r="V57" s="343"/>
      <c r="W57" s="343"/>
      <c r="X57" s="343"/>
      <c r="Y57" s="343"/>
      <c r="Z57" s="343"/>
      <c r="AA57" s="343"/>
      <c r="AB57" s="343"/>
      <c r="AC57" s="343"/>
      <c r="AD57" s="343"/>
      <c r="AE57" s="343"/>
      <c r="AF57" s="343"/>
    </row>
    <row r="58" spans="2:32">
      <c r="B58" s="344"/>
      <c r="C58" s="344"/>
      <c r="D58" s="344"/>
      <c r="E58" s="344"/>
      <c r="F58" s="51">
        <v>1</v>
      </c>
      <c r="G58" s="51">
        <v>2</v>
      </c>
      <c r="H58" s="52">
        <v>1</v>
      </c>
      <c r="I58" s="52">
        <v>2</v>
      </c>
      <c r="J58" s="52">
        <v>3</v>
      </c>
      <c r="K58" s="52">
        <v>4</v>
      </c>
      <c r="L58" s="52">
        <v>5</v>
      </c>
      <c r="M58" s="52">
        <v>6</v>
      </c>
      <c r="N58" s="52">
        <v>7</v>
      </c>
      <c r="O58" s="52">
        <v>8</v>
      </c>
      <c r="P58" s="52">
        <v>9</v>
      </c>
      <c r="Q58" s="52">
        <v>10</v>
      </c>
      <c r="R58" s="52">
        <v>11</v>
      </c>
      <c r="S58" s="52">
        <v>12</v>
      </c>
      <c r="T58" s="52">
        <v>13</v>
      </c>
      <c r="U58" s="52">
        <v>14</v>
      </c>
      <c r="V58" s="52">
        <v>15</v>
      </c>
      <c r="W58" s="52">
        <v>16</v>
      </c>
      <c r="X58" s="52">
        <v>17</v>
      </c>
      <c r="Y58" s="52">
        <v>18</v>
      </c>
      <c r="Z58" s="52">
        <v>19</v>
      </c>
      <c r="AA58" s="52">
        <v>20</v>
      </c>
      <c r="AB58" s="52">
        <v>21</v>
      </c>
      <c r="AC58" s="52">
        <v>22</v>
      </c>
      <c r="AD58" s="52">
        <v>23</v>
      </c>
      <c r="AE58" s="52">
        <v>24</v>
      </c>
      <c r="AF58" s="52">
        <v>25</v>
      </c>
    </row>
    <row r="59" spans="2:32">
      <c r="B59" s="56" t="s">
        <v>344</v>
      </c>
      <c r="C59" s="133" t="s">
        <v>336</v>
      </c>
      <c r="D59" s="233"/>
      <c r="E59" s="56" t="s">
        <v>111</v>
      </c>
      <c r="F59" s="233">
        <v>0</v>
      </c>
      <c r="G59" s="233">
        <f t="shared" ref="G59:AF59" si="15">F64</f>
        <v>0</v>
      </c>
      <c r="H59" s="233">
        <f t="shared" si="15"/>
        <v>0</v>
      </c>
      <c r="I59" s="233">
        <f t="shared" si="15"/>
        <v>168</v>
      </c>
      <c r="J59" s="233">
        <f t="shared" si="15"/>
        <v>168</v>
      </c>
      <c r="K59" s="233">
        <f t="shared" si="15"/>
        <v>168</v>
      </c>
      <c r="L59" s="233">
        <f t="shared" si="15"/>
        <v>168</v>
      </c>
      <c r="M59" s="233">
        <f t="shared" si="15"/>
        <v>168</v>
      </c>
      <c r="N59" s="233">
        <f t="shared" si="15"/>
        <v>168</v>
      </c>
      <c r="O59" s="233">
        <f t="shared" si="15"/>
        <v>168</v>
      </c>
      <c r="P59" s="233">
        <f t="shared" si="15"/>
        <v>168</v>
      </c>
      <c r="Q59" s="233">
        <f t="shared" si="15"/>
        <v>168</v>
      </c>
      <c r="R59" s="233">
        <f t="shared" si="15"/>
        <v>168</v>
      </c>
      <c r="S59" s="233">
        <f t="shared" si="15"/>
        <v>168</v>
      </c>
      <c r="T59" s="233">
        <f t="shared" si="15"/>
        <v>168</v>
      </c>
      <c r="U59" s="233">
        <f t="shared" si="15"/>
        <v>168</v>
      </c>
      <c r="V59" s="233">
        <f t="shared" si="15"/>
        <v>168</v>
      </c>
      <c r="W59" s="233">
        <f t="shared" si="15"/>
        <v>168</v>
      </c>
      <c r="X59" s="233">
        <f t="shared" si="15"/>
        <v>168</v>
      </c>
      <c r="Y59" s="233">
        <f t="shared" si="15"/>
        <v>168</v>
      </c>
      <c r="Z59" s="233">
        <f t="shared" si="15"/>
        <v>168</v>
      </c>
      <c r="AA59" s="233">
        <f t="shared" si="15"/>
        <v>168</v>
      </c>
      <c r="AB59" s="233">
        <f t="shared" si="15"/>
        <v>168</v>
      </c>
      <c r="AC59" s="233">
        <f t="shared" si="15"/>
        <v>168</v>
      </c>
      <c r="AD59" s="233">
        <f t="shared" si="15"/>
        <v>168</v>
      </c>
      <c r="AE59" s="233">
        <f t="shared" si="15"/>
        <v>168</v>
      </c>
      <c r="AF59" s="233">
        <f t="shared" si="15"/>
        <v>168</v>
      </c>
    </row>
    <row r="60" spans="2:32">
      <c r="B60" s="56" t="s">
        <v>345</v>
      </c>
      <c r="C60" s="133" t="s">
        <v>337</v>
      </c>
      <c r="D60" s="233">
        <f>SUM(F60:AF60)</f>
        <v>168</v>
      </c>
      <c r="E60" s="56" t="s">
        <v>111</v>
      </c>
      <c r="F60" s="233">
        <v>0</v>
      </c>
      <c r="G60" s="233">
        <v>0</v>
      </c>
      <c r="H60" s="233">
        <f>H15</f>
        <v>168</v>
      </c>
      <c r="I60" s="233"/>
      <c r="J60" s="233"/>
      <c r="K60" s="233"/>
      <c r="L60" s="233"/>
      <c r="M60" s="233"/>
      <c r="N60" s="233"/>
      <c r="O60" s="233"/>
      <c r="P60" s="233"/>
      <c r="Q60" s="233"/>
      <c r="R60" s="233"/>
      <c r="S60" s="233"/>
      <c r="T60" s="233"/>
      <c r="U60" s="233"/>
      <c r="V60" s="233"/>
      <c r="W60" s="233"/>
      <c r="X60" s="233"/>
      <c r="Y60" s="233"/>
      <c r="Z60" s="233"/>
      <c r="AA60" s="233"/>
      <c r="AB60" s="233"/>
      <c r="AC60" s="233"/>
      <c r="AD60" s="233"/>
      <c r="AE60" s="233"/>
      <c r="AF60" s="233"/>
    </row>
    <row r="61" spans="2:32">
      <c r="B61" s="56" t="s">
        <v>346</v>
      </c>
      <c r="C61" s="133" t="s">
        <v>338</v>
      </c>
      <c r="D61" s="233">
        <f>SUM(F61:AF61)</f>
        <v>298.2</v>
      </c>
      <c r="E61" s="56" t="s">
        <v>111</v>
      </c>
      <c r="F61" s="233"/>
      <c r="G61" s="233"/>
      <c r="H61" s="233">
        <f>SUM(H62:H63)</f>
        <v>5.2080000000000002</v>
      </c>
      <c r="I61" s="233">
        <f t="shared" ref="I61:AF61" si="16">SUM(I62:I63)</f>
        <v>5.2080000000000002</v>
      </c>
      <c r="J61" s="233">
        <f t="shared" si="16"/>
        <v>5.2080000000000002</v>
      </c>
      <c r="K61" s="233">
        <f t="shared" si="16"/>
        <v>5.2080000000000002</v>
      </c>
      <c r="L61" s="233">
        <f t="shared" si="16"/>
        <v>5.2080000000000002</v>
      </c>
      <c r="M61" s="233">
        <f t="shared" si="16"/>
        <v>5.2080000000000002</v>
      </c>
      <c r="N61" s="233">
        <f t="shared" si="16"/>
        <v>5.2080000000000002</v>
      </c>
      <c r="O61" s="233">
        <f t="shared" si="16"/>
        <v>5.2080000000000002</v>
      </c>
      <c r="P61" s="233">
        <f t="shared" si="16"/>
        <v>5.2080000000000002</v>
      </c>
      <c r="Q61" s="233">
        <f t="shared" si="16"/>
        <v>5.2080000000000002</v>
      </c>
      <c r="R61" s="233">
        <f t="shared" si="16"/>
        <v>5.2080000000000002</v>
      </c>
      <c r="S61" s="233">
        <f t="shared" si="16"/>
        <v>5.2080000000000002</v>
      </c>
      <c r="T61" s="233">
        <f t="shared" si="16"/>
        <v>5.2080000000000002</v>
      </c>
      <c r="U61" s="233">
        <f t="shared" si="16"/>
        <v>5.2080000000000002</v>
      </c>
      <c r="V61" s="233">
        <f t="shared" si="16"/>
        <v>5.2080000000000002</v>
      </c>
      <c r="W61" s="233">
        <f t="shared" si="16"/>
        <v>5.2080000000000002</v>
      </c>
      <c r="X61" s="233">
        <f t="shared" si="16"/>
        <v>5.2080000000000002</v>
      </c>
      <c r="Y61" s="233">
        <f t="shared" si="16"/>
        <v>5.2080000000000002</v>
      </c>
      <c r="Z61" s="233">
        <f t="shared" si="16"/>
        <v>5.2080000000000002</v>
      </c>
      <c r="AA61" s="233">
        <f t="shared" si="16"/>
        <v>5.2080000000000002</v>
      </c>
      <c r="AB61" s="233">
        <f t="shared" si="16"/>
        <v>5.2080000000000002</v>
      </c>
      <c r="AC61" s="233">
        <f t="shared" si="16"/>
        <v>5.2080000000000002</v>
      </c>
      <c r="AD61" s="233">
        <f t="shared" si="16"/>
        <v>5.2080000000000002</v>
      </c>
      <c r="AE61" s="233">
        <f t="shared" si="16"/>
        <v>5.2080000000000002</v>
      </c>
      <c r="AF61" s="233">
        <f t="shared" si="16"/>
        <v>173.208</v>
      </c>
    </row>
    <row r="62" spans="2:32" ht="16" customHeight="1">
      <c r="B62" s="56"/>
      <c r="C62" s="61" t="s">
        <v>347</v>
      </c>
      <c r="D62" s="233">
        <f>SUM(F62:AF62)</f>
        <v>168</v>
      </c>
      <c r="E62" s="56" t="s">
        <v>111</v>
      </c>
      <c r="F62" s="233"/>
      <c r="G62" s="233"/>
      <c r="H62" s="233">
        <f>0</f>
        <v>0</v>
      </c>
      <c r="I62" s="233"/>
      <c r="J62" s="233"/>
      <c r="K62" s="233"/>
      <c r="L62" s="233"/>
      <c r="M62" s="233"/>
      <c r="N62" s="233"/>
      <c r="O62" s="233"/>
      <c r="P62" s="233"/>
      <c r="Q62" s="233"/>
      <c r="R62" s="233"/>
      <c r="S62" s="233"/>
      <c r="T62" s="233"/>
      <c r="U62" s="233"/>
      <c r="V62" s="233"/>
      <c r="W62" s="233"/>
      <c r="X62" s="233"/>
      <c r="Y62" s="233"/>
      <c r="Z62" s="233"/>
      <c r="AA62" s="233"/>
      <c r="AB62" s="233"/>
      <c r="AC62" s="233"/>
      <c r="AD62" s="233"/>
      <c r="AE62" s="233"/>
      <c r="AF62" s="233">
        <f>H15</f>
        <v>168</v>
      </c>
    </row>
    <row r="63" spans="2:32">
      <c r="B63" s="56"/>
      <c r="C63" s="182" t="s">
        <v>340</v>
      </c>
      <c r="D63" s="233">
        <f>SUM(F63:AF63)</f>
        <v>130.19999999999999</v>
      </c>
      <c r="E63" s="56" t="s">
        <v>111</v>
      </c>
      <c r="F63" s="233"/>
      <c r="G63" s="233"/>
      <c r="H63" s="233">
        <f>(H59+H60)*参数输入表!$H$127</f>
        <v>5.2080000000000002</v>
      </c>
      <c r="I63" s="233">
        <f>H63</f>
        <v>5.2080000000000002</v>
      </c>
      <c r="J63" s="233">
        <f t="shared" ref="J63:AF63" si="17">I63</f>
        <v>5.2080000000000002</v>
      </c>
      <c r="K63" s="233">
        <f t="shared" si="17"/>
        <v>5.2080000000000002</v>
      </c>
      <c r="L63" s="233">
        <f t="shared" si="17"/>
        <v>5.2080000000000002</v>
      </c>
      <c r="M63" s="233">
        <f t="shared" si="17"/>
        <v>5.2080000000000002</v>
      </c>
      <c r="N63" s="233">
        <f t="shared" si="17"/>
        <v>5.2080000000000002</v>
      </c>
      <c r="O63" s="233">
        <f t="shared" si="17"/>
        <v>5.2080000000000002</v>
      </c>
      <c r="P63" s="233">
        <f t="shared" si="17"/>
        <v>5.2080000000000002</v>
      </c>
      <c r="Q63" s="233">
        <f t="shared" si="17"/>
        <v>5.2080000000000002</v>
      </c>
      <c r="R63" s="233">
        <f t="shared" si="17"/>
        <v>5.2080000000000002</v>
      </c>
      <c r="S63" s="233">
        <f t="shared" si="17"/>
        <v>5.2080000000000002</v>
      </c>
      <c r="T63" s="233">
        <f t="shared" si="17"/>
        <v>5.2080000000000002</v>
      </c>
      <c r="U63" s="233">
        <f t="shared" si="17"/>
        <v>5.2080000000000002</v>
      </c>
      <c r="V63" s="233">
        <f t="shared" si="17"/>
        <v>5.2080000000000002</v>
      </c>
      <c r="W63" s="233">
        <f t="shared" si="17"/>
        <v>5.2080000000000002</v>
      </c>
      <c r="X63" s="233">
        <f t="shared" si="17"/>
        <v>5.2080000000000002</v>
      </c>
      <c r="Y63" s="233">
        <f t="shared" si="17"/>
        <v>5.2080000000000002</v>
      </c>
      <c r="Z63" s="233">
        <f t="shared" si="17"/>
        <v>5.2080000000000002</v>
      </c>
      <c r="AA63" s="233">
        <f t="shared" si="17"/>
        <v>5.2080000000000002</v>
      </c>
      <c r="AB63" s="233">
        <f t="shared" si="17"/>
        <v>5.2080000000000002</v>
      </c>
      <c r="AC63" s="233">
        <f t="shared" si="17"/>
        <v>5.2080000000000002</v>
      </c>
      <c r="AD63" s="233">
        <f t="shared" si="17"/>
        <v>5.2080000000000002</v>
      </c>
      <c r="AE63" s="233">
        <f t="shared" si="17"/>
        <v>5.2080000000000002</v>
      </c>
      <c r="AF63" s="233">
        <f t="shared" si="17"/>
        <v>5.2080000000000002</v>
      </c>
    </row>
    <row r="64" spans="2:32">
      <c r="B64" s="56" t="s">
        <v>348</v>
      </c>
      <c r="C64" s="133" t="s">
        <v>341</v>
      </c>
      <c r="D64" s="238">
        <f>AF64</f>
        <v>0</v>
      </c>
      <c r="E64" s="56" t="s">
        <v>111</v>
      </c>
      <c r="F64" s="233">
        <f>F59+F60-F62</f>
        <v>0</v>
      </c>
      <c r="G64" s="233">
        <f>G59+G60-G62</f>
        <v>0</v>
      </c>
      <c r="H64" s="233">
        <f t="shared" ref="H64:AF64" si="18">H59+H60-H62</f>
        <v>168</v>
      </c>
      <c r="I64" s="233">
        <f t="shared" si="18"/>
        <v>168</v>
      </c>
      <c r="J64" s="233">
        <f t="shared" si="18"/>
        <v>168</v>
      </c>
      <c r="K64" s="233">
        <f t="shared" si="18"/>
        <v>168</v>
      </c>
      <c r="L64" s="233">
        <f t="shared" si="18"/>
        <v>168</v>
      </c>
      <c r="M64" s="233">
        <f t="shared" si="18"/>
        <v>168</v>
      </c>
      <c r="N64" s="233">
        <f t="shared" si="18"/>
        <v>168</v>
      </c>
      <c r="O64" s="233">
        <f t="shared" si="18"/>
        <v>168</v>
      </c>
      <c r="P64" s="233">
        <f t="shared" si="18"/>
        <v>168</v>
      </c>
      <c r="Q64" s="233">
        <f t="shared" si="18"/>
        <v>168</v>
      </c>
      <c r="R64" s="233">
        <f t="shared" si="18"/>
        <v>168</v>
      </c>
      <c r="S64" s="233">
        <f t="shared" si="18"/>
        <v>168</v>
      </c>
      <c r="T64" s="233">
        <f t="shared" si="18"/>
        <v>168</v>
      </c>
      <c r="U64" s="233">
        <f t="shared" si="18"/>
        <v>168</v>
      </c>
      <c r="V64" s="233">
        <f t="shared" si="18"/>
        <v>168</v>
      </c>
      <c r="W64" s="233">
        <f t="shared" si="18"/>
        <v>168</v>
      </c>
      <c r="X64" s="233">
        <f t="shared" si="18"/>
        <v>168</v>
      </c>
      <c r="Y64" s="233">
        <f t="shared" si="18"/>
        <v>168</v>
      </c>
      <c r="Z64" s="233">
        <f t="shared" si="18"/>
        <v>168</v>
      </c>
      <c r="AA64" s="233">
        <f t="shared" si="18"/>
        <v>168</v>
      </c>
      <c r="AB64" s="233">
        <f t="shared" si="18"/>
        <v>168</v>
      </c>
      <c r="AC64" s="233">
        <f t="shared" si="18"/>
        <v>168</v>
      </c>
      <c r="AD64" s="233">
        <f t="shared" si="18"/>
        <v>168</v>
      </c>
      <c r="AE64" s="233">
        <f t="shared" si="18"/>
        <v>168</v>
      </c>
      <c r="AF64" s="238">
        <f t="shared" si="18"/>
        <v>0</v>
      </c>
    </row>
    <row r="66" spans="2:32">
      <c r="B66" s="341" t="s">
        <v>349</v>
      </c>
      <c r="C66" s="341"/>
      <c r="D66" s="341"/>
      <c r="E66" s="341"/>
      <c r="F66" s="341"/>
      <c r="G66" s="341"/>
      <c r="H66" s="341"/>
      <c r="I66" s="341"/>
      <c r="J66" s="341"/>
      <c r="K66" s="341"/>
      <c r="L66" s="341"/>
      <c r="M66" s="341"/>
      <c r="N66" s="341"/>
      <c r="O66" s="341"/>
      <c r="P66" s="341"/>
      <c r="Q66" s="341"/>
      <c r="R66" s="341"/>
      <c r="S66" s="341"/>
      <c r="T66" s="341"/>
      <c r="U66" s="341"/>
      <c r="V66" s="341"/>
      <c r="W66" s="341"/>
      <c r="X66" s="341"/>
      <c r="Y66" s="341"/>
      <c r="Z66" s="341"/>
      <c r="AA66" s="341"/>
      <c r="AB66" s="341"/>
      <c r="AC66" s="341"/>
      <c r="AD66" s="341"/>
      <c r="AE66" s="341"/>
      <c r="AF66" s="341"/>
    </row>
    <row r="67" spans="2:32">
      <c r="B67" s="344" t="s">
        <v>14</v>
      </c>
      <c r="C67" s="344" t="s">
        <v>323</v>
      </c>
      <c r="D67" s="344" t="s">
        <v>311</v>
      </c>
      <c r="E67" s="344" t="s">
        <v>39</v>
      </c>
      <c r="F67" s="342" t="s">
        <v>43</v>
      </c>
      <c r="G67" s="342"/>
      <c r="H67" s="343" t="s">
        <v>54</v>
      </c>
      <c r="I67" s="343"/>
      <c r="J67" s="343"/>
      <c r="K67" s="343"/>
      <c r="L67" s="343"/>
      <c r="M67" s="343"/>
      <c r="N67" s="343"/>
      <c r="O67" s="343"/>
      <c r="P67" s="343"/>
      <c r="Q67" s="343"/>
      <c r="R67" s="343"/>
      <c r="S67" s="343"/>
      <c r="T67" s="343"/>
      <c r="U67" s="343"/>
      <c r="V67" s="343"/>
      <c r="W67" s="343"/>
      <c r="X67" s="343"/>
      <c r="Y67" s="343"/>
      <c r="Z67" s="343"/>
      <c r="AA67" s="343"/>
      <c r="AB67" s="343"/>
      <c r="AC67" s="343"/>
      <c r="AD67" s="343"/>
      <c r="AE67" s="343"/>
      <c r="AF67" s="343"/>
    </row>
    <row r="68" spans="2:32">
      <c r="B68" s="344"/>
      <c r="C68" s="344"/>
      <c r="D68" s="344"/>
      <c r="E68" s="344"/>
      <c r="F68" s="51">
        <v>1</v>
      </c>
      <c r="G68" s="51">
        <v>2</v>
      </c>
      <c r="H68" s="52">
        <v>1</v>
      </c>
      <c r="I68" s="52">
        <v>2</v>
      </c>
      <c r="J68" s="52">
        <v>3</v>
      </c>
      <c r="K68" s="52">
        <v>4</v>
      </c>
      <c r="L68" s="52">
        <v>5</v>
      </c>
      <c r="M68" s="52">
        <v>6</v>
      </c>
      <c r="N68" s="52">
        <v>7</v>
      </c>
      <c r="O68" s="52">
        <v>8</v>
      </c>
      <c r="P68" s="52">
        <v>9</v>
      </c>
      <c r="Q68" s="52">
        <v>10</v>
      </c>
      <c r="R68" s="52">
        <v>11</v>
      </c>
      <c r="S68" s="52">
        <v>12</v>
      </c>
      <c r="T68" s="52">
        <v>13</v>
      </c>
      <c r="U68" s="52">
        <v>14</v>
      </c>
      <c r="V68" s="52">
        <v>15</v>
      </c>
      <c r="W68" s="52">
        <v>16</v>
      </c>
      <c r="X68" s="52">
        <v>17</v>
      </c>
      <c r="Y68" s="52">
        <v>18</v>
      </c>
      <c r="Z68" s="52">
        <v>19</v>
      </c>
      <c r="AA68" s="52">
        <v>20</v>
      </c>
      <c r="AB68" s="52">
        <v>21</v>
      </c>
      <c r="AC68" s="52">
        <v>22</v>
      </c>
      <c r="AD68" s="52">
        <v>23</v>
      </c>
      <c r="AE68" s="52">
        <v>24</v>
      </c>
      <c r="AF68" s="52">
        <v>25</v>
      </c>
    </row>
    <row r="69" spans="2:32" s="73" customFormat="1">
      <c r="B69" s="66" t="s">
        <v>344</v>
      </c>
      <c r="C69" s="48" t="s">
        <v>336</v>
      </c>
      <c r="D69" s="239"/>
      <c r="E69" s="66" t="s">
        <v>111</v>
      </c>
      <c r="F69" s="239">
        <v>0</v>
      </c>
      <c r="G69" s="239">
        <f t="shared" ref="G69" si="19">F74</f>
        <v>0</v>
      </c>
      <c r="H69" s="239">
        <f t="shared" ref="H69" si="20">G74</f>
        <v>0</v>
      </c>
      <c r="I69" s="239">
        <f t="shared" ref="I69" ca="1" si="21">H74</f>
        <v>0</v>
      </c>
      <c r="J69" s="239">
        <f t="shared" ref="J69" ca="1" si="22">I74</f>
        <v>0</v>
      </c>
      <c r="K69" s="239">
        <f t="shared" ref="K69" ca="1" si="23">J74</f>
        <v>0</v>
      </c>
      <c r="L69" s="239">
        <f t="shared" ref="L69" ca="1" si="24">K74</f>
        <v>0</v>
      </c>
      <c r="M69" s="239">
        <f t="shared" ref="M69" ca="1" si="25">L74</f>
        <v>0</v>
      </c>
      <c r="N69" s="239">
        <f t="shared" ref="N69" ca="1" si="26">M74</f>
        <v>0</v>
      </c>
      <c r="O69" s="239">
        <f t="shared" ref="O69" ca="1" si="27">N74</f>
        <v>0</v>
      </c>
      <c r="P69" s="239">
        <f t="shared" ref="P69" ca="1" si="28">O74</f>
        <v>0</v>
      </c>
      <c r="Q69" s="239">
        <f t="shared" ref="Q69" ca="1" si="29">P74</f>
        <v>0</v>
      </c>
      <c r="R69" s="239">
        <f t="shared" ref="R69" ca="1" si="30">Q74</f>
        <v>0</v>
      </c>
      <c r="S69" s="239">
        <f t="shared" ref="S69" ca="1" si="31">R74</f>
        <v>0</v>
      </c>
      <c r="T69" s="239">
        <f t="shared" ref="T69" ca="1" si="32">S74</f>
        <v>0</v>
      </c>
      <c r="U69" s="239">
        <f t="shared" ref="U69" ca="1" si="33">T74</f>
        <v>0</v>
      </c>
      <c r="V69" s="239">
        <f t="shared" ref="V69" ca="1" si="34">U74</f>
        <v>0</v>
      </c>
      <c r="W69" s="239">
        <f t="shared" ref="W69" ca="1" si="35">V74</f>
        <v>0</v>
      </c>
      <c r="X69" s="239">
        <f t="shared" ref="X69" ca="1" si="36">W74</f>
        <v>0</v>
      </c>
      <c r="Y69" s="239">
        <f t="shared" ref="Y69" ca="1" si="37">X74</f>
        <v>0</v>
      </c>
      <c r="Z69" s="239">
        <f t="shared" ref="Z69" ca="1" si="38">Y74</f>
        <v>0</v>
      </c>
      <c r="AA69" s="239">
        <f t="shared" ref="AA69" ca="1" si="39">Z74</f>
        <v>0</v>
      </c>
      <c r="AB69" s="239">
        <f t="shared" ref="AB69" ca="1" si="40">AA74</f>
        <v>0</v>
      </c>
      <c r="AC69" s="239">
        <f t="shared" ref="AC69" ca="1" si="41">AB74</f>
        <v>0</v>
      </c>
      <c r="AD69" s="239">
        <f t="shared" ref="AD69" ca="1" si="42">AC74</f>
        <v>0</v>
      </c>
      <c r="AE69" s="239">
        <f t="shared" ref="AE69" ca="1" si="43">AD74</f>
        <v>0</v>
      </c>
      <c r="AF69" s="239">
        <f t="shared" ref="AF69" ca="1" si="44">AE74</f>
        <v>0</v>
      </c>
    </row>
    <row r="70" spans="2:32" s="73" customFormat="1">
      <c r="B70" s="66" t="s">
        <v>345</v>
      </c>
      <c r="C70" s="48" t="s">
        <v>337</v>
      </c>
      <c r="D70" s="239">
        <f ca="1">SUM(F70:AF70)</f>
        <v>0</v>
      </c>
      <c r="E70" s="66" t="s">
        <v>111</v>
      </c>
      <c r="F70" s="239">
        <v>0</v>
      </c>
      <c r="G70" s="239">
        <v>0</v>
      </c>
      <c r="H70" s="239">
        <f ca="1">IF('表9-现金流量表-财务计划'!H42&lt;0,ABS('表9-现金流量表-财务计划'!H42)/(1-参数输入表!$H$127),0)</f>
        <v>0</v>
      </c>
      <c r="I70" s="239">
        <f ca="1">IF('表9-现金流量表-财务计划'!I42&lt;0,ABS('表9-现金流量表-财务计划'!I42)/(1-参数输入表!$H$127),0)</f>
        <v>0</v>
      </c>
      <c r="J70" s="239">
        <f ca="1">IF('表9-现金流量表-财务计划'!J42&lt;0,ABS('表9-现金流量表-财务计划'!J42)/(1-参数输入表!$H$127),0)</f>
        <v>0</v>
      </c>
      <c r="K70" s="239">
        <f ca="1">IF('表9-现金流量表-财务计划'!K42&lt;0,ABS('表9-现金流量表-财务计划'!K42)/(1-参数输入表!$H$127),0)</f>
        <v>0</v>
      </c>
      <c r="L70" s="239">
        <f ca="1">IF('表9-现金流量表-财务计划'!L42&lt;0,ABS('表9-现金流量表-财务计划'!L42)/(1-参数输入表!$H$127),0)</f>
        <v>0</v>
      </c>
      <c r="M70" s="239">
        <f ca="1">IF('表9-现金流量表-财务计划'!M42&lt;0,ABS('表9-现金流量表-财务计划'!M42)/(1-参数输入表!$H$127),0)</f>
        <v>0</v>
      </c>
      <c r="N70" s="239">
        <f ca="1">IF('表9-现金流量表-财务计划'!N42&lt;0,ABS('表9-现金流量表-财务计划'!N42)/(1-参数输入表!$H$127),0)</f>
        <v>0</v>
      </c>
      <c r="O70" s="239">
        <f ca="1">IF('表9-现金流量表-财务计划'!O42&lt;0,ABS('表9-现金流量表-财务计划'!O42)/(1-参数输入表!$H$127),0)</f>
        <v>0</v>
      </c>
      <c r="P70" s="239">
        <f ca="1">IF('表9-现金流量表-财务计划'!P42&lt;0,ABS('表9-现金流量表-财务计划'!P42)/(1-参数输入表!$H$127),0)</f>
        <v>0</v>
      </c>
      <c r="Q70" s="239">
        <f ca="1">IF('表9-现金流量表-财务计划'!Q42&lt;0,ABS('表9-现金流量表-财务计划'!Q42)/(1-参数输入表!$H$127),0)</f>
        <v>0</v>
      </c>
      <c r="R70" s="239">
        <f ca="1">IF('表9-现金流量表-财务计划'!R42&lt;0,ABS('表9-现金流量表-财务计划'!R42)/(1-参数输入表!$H$127),0)</f>
        <v>0</v>
      </c>
      <c r="S70" s="239">
        <f ca="1">IF('表9-现金流量表-财务计划'!S42&lt;0,ABS('表9-现金流量表-财务计划'!S42)/(1-参数输入表!$H$127),0)</f>
        <v>0</v>
      </c>
      <c r="T70" s="239">
        <f ca="1">IF('表9-现金流量表-财务计划'!T42&lt;0,ABS('表9-现金流量表-财务计划'!T42)/(1-参数输入表!$H$127),0)</f>
        <v>0</v>
      </c>
      <c r="U70" s="239">
        <f ca="1">IF('表9-现金流量表-财务计划'!U42&lt;0,ABS('表9-现金流量表-财务计划'!U42)/(1-参数输入表!$H$127),0)</f>
        <v>0</v>
      </c>
      <c r="V70" s="239">
        <f ca="1">IF('表9-现金流量表-财务计划'!V42&lt;0,ABS('表9-现金流量表-财务计划'!V42)/(1-参数输入表!$H$127),0)</f>
        <v>0</v>
      </c>
      <c r="W70" s="239">
        <f ca="1">IF('表9-现金流量表-财务计划'!W42&lt;0,ABS('表9-现金流量表-财务计划'!W42)/(1-参数输入表!$H$127),0)</f>
        <v>0</v>
      </c>
      <c r="X70" s="239">
        <f ca="1">IF('表9-现金流量表-财务计划'!X42&lt;0,ABS('表9-现金流量表-财务计划'!X42)/(1-参数输入表!$H$127),0)</f>
        <v>0</v>
      </c>
      <c r="Y70" s="239">
        <f ca="1">IF('表9-现金流量表-财务计划'!Y42&lt;0,ABS('表9-现金流量表-财务计划'!Y42)/(1-参数输入表!$H$127),0)</f>
        <v>0</v>
      </c>
      <c r="Z70" s="239">
        <f ca="1">IF('表9-现金流量表-财务计划'!Z42&lt;0,ABS('表9-现金流量表-财务计划'!Z42)/(1-参数输入表!$H$127),0)</f>
        <v>0</v>
      </c>
      <c r="AA70" s="239">
        <f ca="1">IF('表9-现金流量表-财务计划'!AA42&lt;0,ABS('表9-现金流量表-财务计划'!AA42)/(1-参数输入表!$H$127),0)</f>
        <v>0</v>
      </c>
      <c r="AB70" s="239">
        <f ca="1">IF('表9-现金流量表-财务计划'!AB42&lt;0,ABS('表9-现金流量表-财务计划'!AB42)/(1-参数输入表!$H$127),0)</f>
        <v>0</v>
      </c>
      <c r="AC70" s="239">
        <f ca="1">IF('表9-现金流量表-财务计划'!AC42&lt;0,ABS('表9-现金流量表-财务计划'!AC42)/(1-参数输入表!$H$127),0)</f>
        <v>0</v>
      </c>
      <c r="AD70" s="239">
        <f ca="1">IF('表9-现金流量表-财务计划'!AD42&lt;0,ABS('表9-现金流量表-财务计划'!AD42)/(1-参数输入表!$H$127),0)</f>
        <v>0</v>
      </c>
      <c r="AE70" s="239">
        <f ca="1">IF('表9-现金流量表-财务计划'!AE42&lt;0,ABS('表9-现金流量表-财务计划'!AE42)/(1-参数输入表!$H$127),0)</f>
        <v>0</v>
      </c>
      <c r="AF70" s="239">
        <f ca="1">IF('表9-现金流量表-财务计划'!AF42&lt;0,ABS('表9-现金流量表-财务计划'!AF42)/(1-参数输入表!$H$127),0)</f>
        <v>0</v>
      </c>
    </row>
    <row r="71" spans="2:32" s="73" customFormat="1">
      <c r="B71" s="66" t="s">
        <v>346</v>
      </c>
      <c r="C71" s="48" t="s">
        <v>338</v>
      </c>
      <c r="D71" s="239">
        <f ca="1">SUM(F71:AF71)</f>
        <v>0</v>
      </c>
      <c r="E71" s="66" t="s">
        <v>111</v>
      </c>
      <c r="F71" s="239"/>
      <c r="G71" s="239"/>
      <c r="H71" s="239">
        <f ca="1">SUM(H72:H73)</f>
        <v>0</v>
      </c>
      <c r="I71" s="239">
        <f ca="1">SUM(I72:I73)</f>
        <v>0</v>
      </c>
      <c r="J71" s="239">
        <f t="shared" ref="J71:AF71" ca="1" si="45">SUM(J72:J73)</f>
        <v>0</v>
      </c>
      <c r="K71" s="239">
        <f t="shared" ca="1" si="45"/>
        <v>0</v>
      </c>
      <c r="L71" s="239">
        <f t="shared" ca="1" si="45"/>
        <v>0</v>
      </c>
      <c r="M71" s="239">
        <f t="shared" ca="1" si="45"/>
        <v>0</v>
      </c>
      <c r="N71" s="239">
        <f t="shared" ca="1" si="45"/>
        <v>0</v>
      </c>
      <c r="O71" s="239">
        <f t="shared" ca="1" si="45"/>
        <v>0</v>
      </c>
      <c r="P71" s="239">
        <f t="shared" ca="1" si="45"/>
        <v>0</v>
      </c>
      <c r="Q71" s="239">
        <f t="shared" ca="1" si="45"/>
        <v>0</v>
      </c>
      <c r="R71" s="239">
        <f t="shared" ca="1" si="45"/>
        <v>0</v>
      </c>
      <c r="S71" s="239">
        <f t="shared" ca="1" si="45"/>
        <v>0</v>
      </c>
      <c r="T71" s="239">
        <f t="shared" ca="1" si="45"/>
        <v>0</v>
      </c>
      <c r="U71" s="239">
        <f t="shared" ca="1" si="45"/>
        <v>0</v>
      </c>
      <c r="V71" s="239">
        <f t="shared" ca="1" si="45"/>
        <v>0</v>
      </c>
      <c r="W71" s="239">
        <f t="shared" ca="1" si="45"/>
        <v>0</v>
      </c>
      <c r="X71" s="239">
        <f t="shared" ca="1" si="45"/>
        <v>0</v>
      </c>
      <c r="Y71" s="239">
        <f t="shared" ca="1" si="45"/>
        <v>0</v>
      </c>
      <c r="Z71" s="239">
        <f t="shared" ca="1" si="45"/>
        <v>0</v>
      </c>
      <c r="AA71" s="239">
        <f t="shared" ca="1" si="45"/>
        <v>0</v>
      </c>
      <c r="AB71" s="239">
        <f t="shared" ca="1" si="45"/>
        <v>0</v>
      </c>
      <c r="AC71" s="239">
        <f t="shared" ca="1" si="45"/>
        <v>0</v>
      </c>
      <c r="AD71" s="239">
        <f t="shared" ca="1" si="45"/>
        <v>0</v>
      </c>
      <c r="AE71" s="239">
        <f t="shared" ca="1" si="45"/>
        <v>0</v>
      </c>
      <c r="AF71" s="239">
        <f t="shared" ca="1" si="45"/>
        <v>0</v>
      </c>
    </row>
    <row r="72" spans="2:32" s="73" customFormat="1">
      <c r="B72" s="66"/>
      <c r="C72" s="67" t="s">
        <v>347</v>
      </c>
      <c r="D72" s="239">
        <f ca="1">SUM(F72:AF72)</f>
        <v>0</v>
      </c>
      <c r="E72" s="66" t="s">
        <v>111</v>
      </c>
      <c r="F72" s="239"/>
      <c r="G72" s="239"/>
      <c r="H72" s="239">
        <v>0</v>
      </c>
      <c r="I72" s="239">
        <f ca="1">H74</f>
        <v>0</v>
      </c>
      <c r="J72" s="239">
        <f t="shared" ref="J72:AF72" ca="1" si="46">I74</f>
        <v>0</v>
      </c>
      <c r="K72" s="239">
        <f t="shared" ca="1" si="46"/>
        <v>0</v>
      </c>
      <c r="L72" s="239">
        <f t="shared" ca="1" si="46"/>
        <v>0</v>
      </c>
      <c r="M72" s="239">
        <f t="shared" ca="1" si="46"/>
        <v>0</v>
      </c>
      <c r="N72" s="239">
        <f t="shared" ca="1" si="46"/>
        <v>0</v>
      </c>
      <c r="O72" s="239">
        <f t="shared" ca="1" si="46"/>
        <v>0</v>
      </c>
      <c r="P72" s="239">
        <f t="shared" ca="1" si="46"/>
        <v>0</v>
      </c>
      <c r="Q72" s="239">
        <f t="shared" ca="1" si="46"/>
        <v>0</v>
      </c>
      <c r="R72" s="239">
        <f t="shared" ca="1" si="46"/>
        <v>0</v>
      </c>
      <c r="S72" s="239">
        <f t="shared" ca="1" si="46"/>
        <v>0</v>
      </c>
      <c r="T72" s="239">
        <f t="shared" ca="1" si="46"/>
        <v>0</v>
      </c>
      <c r="U72" s="239">
        <f t="shared" ca="1" si="46"/>
        <v>0</v>
      </c>
      <c r="V72" s="239">
        <f t="shared" ca="1" si="46"/>
        <v>0</v>
      </c>
      <c r="W72" s="239">
        <f t="shared" ca="1" si="46"/>
        <v>0</v>
      </c>
      <c r="X72" s="239">
        <f t="shared" ca="1" si="46"/>
        <v>0</v>
      </c>
      <c r="Y72" s="239">
        <f t="shared" ca="1" si="46"/>
        <v>0</v>
      </c>
      <c r="Z72" s="239">
        <f t="shared" ca="1" si="46"/>
        <v>0</v>
      </c>
      <c r="AA72" s="239">
        <f t="shared" ca="1" si="46"/>
        <v>0</v>
      </c>
      <c r="AB72" s="239">
        <f t="shared" ca="1" si="46"/>
        <v>0</v>
      </c>
      <c r="AC72" s="239">
        <f t="shared" ca="1" si="46"/>
        <v>0</v>
      </c>
      <c r="AD72" s="239">
        <f t="shared" ca="1" si="46"/>
        <v>0</v>
      </c>
      <c r="AE72" s="239">
        <f t="shared" ca="1" si="46"/>
        <v>0</v>
      </c>
      <c r="AF72" s="239">
        <f t="shared" ca="1" si="46"/>
        <v>0</v>
      </c>
    </row>
    <row r="73" spans="2:32" s="73" customFormat="1">
      <c r="B73" s="66"/>
      <c r="C73" s="156" t="s">
        <v>340</v>
      </c>
      <c r="D73" s="239">
        <f ca="1">SUM(F73:AF73)</f>
        <v>0</v>
      </c>
      <c r="E73" s="66" t="s">
        <v>111</v>
      </c>
      <c r="F73" s="239"/>
      <c r="G73" s="239"/>
      <c r="H73" s="239">
        <f ca="1">(H70)*参数输入表!$H$127</f>
        <v>0</v>
      </c>
      <c r="I73" s="239">
        <f ca="1">(I70)*参数输入表!$H$127</f>
        <v>0</v>
      </c>
      <c r="J73" s="239">
        <f ca="1">(J70)*参数输入表!$H$127</f>
        <v>0</v>
      </c>
      <c r="K73" s="239">
        <f ca="1">(K70)*参数输入表!$H$127</f>
        <v>0</v>
      </c>
      <c r="L73" s="239">
        <f ca="1">(L70)*参数输入表!$H$127</f>
        <v>0</v>
      </c>
      <c r="M73" s="239">
        <f ca="1">(M70)*参数输入表!$H$127</f>
        <v>0</v>
      </c>
      <c r="N73" s="239">
        <f ca="1">(N70)*参数输入表!$H$127</f>
        <v>0</v>
      </c>
      <c r="O73" s="239">
        <f ca="1">(O70)*参数输入表!$H$127</f>
        <v>0</v>
      </c>
      <c r="P73" s="239">
        <f ca="1">(P70)*参数输入表!$H$127</f>
        <v>0</v>
      </c>
      <c r="Q73" s="239">
        <f ca="1">(Q70)*参数输入表!$H$127</f>
        <v>0</v>
      </c>
      <c r="R73" s="239">
        <f ca="1">(R70)*参数输入表!$H$127</f>
        <v>0</v>
      </c>
      <c r="S73" s="239">
        <f ca="1">(S70)*参数输入表!$H$127</f>
        <v>0</v>
      </c>
      <c r="T73" s="239">
        <f ca="1">(T70)*参数输入表!$H$127</f>
        <v>0</v>
      </c>
      <c r="U73" s="239">
        <f ca="1">(U70)*参数输入表!$H$127</f>
        <v>0</v>
      </c>
      <c r="V73" s="239">
        <f ca="1">(V70)*参数输入表!$H$127</f>
        <v>0</v>
      </c>
      <c r="W73" s="239">
        <f ca="1">(W70)*参数输入表!$H$127</f>
        <v>0</v>
      </c>
      <c r="X73" s="239">
        <f ca="1">(X70)*参数输入表!$H$127</f>
        <v>0</v>
      </c>
      <c r="Y73" s="239">
        <f ca="1">(Y70)*参数输入表!$H$127</f>
        <v>0</v>
      </c>
      <c r="Z73" s="239">
        <f ca="1">(Z70)*参数输入表!$H$127</f>
        <v>0</v>
      </c>
      <c r="AA73" s="239">
        <f ca="1">(AA70)*参数输入表!$H$127</f>
        <v>0</v>
      </c>
      <c r="AB73" s="239">
        <f ca="1">(AB70)*参数输入表!$H$127</f>
        <v>0</v>
      </c>
      <c r="AC73" s="239">
        <f ca="1">(AC70)*参数输入表!$H$127</f>
        <v>0</v>
      </c>
      <c r="AD73" s="239">
        <f ca="1">(AD70)*参数输入表!$H$127</f>
        <v>0</v>
      </c>
      <c r="AE73" s="239">
        <f ca="1">(AE70)*参数输入表!$H$127</f>
        <v>0</v>
      </c>
      <c r="AF73" s="239">
        <f ca="1">(AF70)*参数输入表!$H$127</f>
        <v>0</v>
      </c>
    </row>
    <row r="74" spans="2:32" s="73" customFormat="1">
      <c r="B74" s="66" t="s">
        <v>348</v>
      </c>
      <c r="C74" s="48" t="s">
        <v>341</v>
      </c>
      <c r="D74" s="239">
        <f ca="1">AF74</f>
        <v>0</v>
      </c>
      <c r="E74" s="66" t="s">
        <v>111</v>
      </c>
      <c r="F74" s="239">
        <f>F69+F70-F72</f>
        <v>0</v>
      </c>
      <c r="G74" s="239">
        <f t="shared" ref="G74:H74" si="47">G69+G70-G72</f>
        <v>0</v>
      </c>
      <c r="H74" s="239">
        <f t="shared" ca="1" si="47"/>
        <v>0</v>
      </c>
      <c r="I74" s="239">
        <f t="shared" ref="I74:AF74" ca="1" si="48">I69+I70-I72</f>
        <v>0</v>
      </c>
      <c r="J74" s="239">
        <f t="shared" ca="1" si="48"/>
        <v>0</v>
      </c>
      <c r="K74" s="239">
        <f t="shared" ca="1" si="48"/>
        <v>0</v>
      </c>
      <c r="L74" s="239">
        <f t="shared" ca="1" si="48"/>
        <v>0</v>
      </c>
      <c r="M74" s="239">
        <f t="shared" ca="1" si="48"/>
        <v>0</v>
      </c>
      <c r="N74" s="239">
        <f t="shared" ca="1" si="48"/>
        <v>0</v>
      </c>
      <c r="O74" s="239">
        <f t="shared" ca="1" si="48"/>
        <v>0</v>
      </c>
      <c r="P74" s="239">
        <f t="shared" ca="1" si="48"/>
        <v>0</v>
      </c>
      <c r="Q74" s="239">
        <f t="shared" ca="1" si="48"/>
        <v>0</v>
      </c>
      <c r="R74" s="239">
        <f t="shared" ca="1" si="48"/>
        <v>0</v>
      </c>
      <c r="S74" s="239">
        <f t="shared" ca="1" si="48"/>
        <v>0</v>
      </c>
      <c r="T74" s="239">
        <f t="shared" ca="1" si="48"/>
        <v>0</v>
      </c>
      <c r="U74" s="239">
        <f t="shared" ca="1" si="48"/>
        <v>0</v>
      </c>
      <c r="V74" s="239">
        <f t="shared" ca="1" si="48"/>
        <v>0</v>
      </c>
      <c r="W74" s="239">
        <f t="shared" ca="1" si="48"/>
        <v>0</v>
      </c>
      <c r="X74" s="239">
        <f t="shared" ca="1" si="48"/>
        <v>0</v>
      </c>
      <c r="Y74" s="239">
        <f t="shared" ca="1" si="48"/>
        <v>0</v>
      </c>
      <c r="Z74" s="239">
        <f t="shared" ca="1" si="48"/>
        <v>0</v>
      </c>
      <c r="AA74" s="239">
        <f t="shared" ca="1" si="48"/>
        <v>0</v>
      </c>
      <c r="AB74" s="239">
        <f t="shared" ca="1" si="48"/>
        <v>0</v>
      </c>
      <c r="AC74" s="239">
        <f t="shared" ca="1" si="48"/>
        <v>0</v>
      </c>
      <c r="AD74" s="239">
        <f t="shared" ca="1" si="48"/>
        <v>0</v>
      </c>
      <c r="AE74" s="239">
        <f t="shared" ca="1" si="48"/>
        <v>0</v>
      </c>
      <c r="AF74" s="239">
        <f t="shared" ca="1" si="48"/>
        <v>0</v>
      </c>
    </row>
    <row r="76" spans="2:32">
      <c r="B76" s="341" t="s">
        <v>350</v>
      </c>
      <c r="C76" s="341"/>
      <c r="D76" s="341"/>
      <c r="E76" s="341"/>
      <c r="F76" s="341"/>
      <c r="G76" s="341"/>
      <c r="H76" s="341"/>
      <c r="I76" s="341"/>
      <c r="J76" s="341"/>
      <c r="K76" s="341"/>
      <c r="L76" s="341"/>
      <c r="M76" s="341"/>
      <c r="N76" s="341"/>
      <c r="O76" s="341"/>
      <c r="P76" s="341"/>
      <c r="Q76" s="341"/>
      <c r="R76" s="341"/>
      <c r="S76" s="341"/>
      <c r="T76" s="341"/>
      <c r="U76" s="341"/>
      <c r="V76" s="341"/>
      <c r="W76" s="341"/>
      <c r="X76" s="341"/>
      <c r="Y76" s="341"/>
      <c r="Z76" s="341"/>
      <c r="AA76" s="341"/>
      <c r="AB76" s="341"/>
      <c r="AC76" s="341"/>
      <c r="AD76" s="341"/>
      <c r="AE76" s="341"/>
      <c r="AF76" s="341"/>
    </row>
    <row r="77" spans="2:32">
      <c r="B77" s="344" t="s">
        <v>14</v>
      </c>
      <c r="C77" s="344" t="s">
        <v>323</v>
      </c>
      <c r="D77" s="344" t="s">
        <v>311</v>
      </c>
      <c r="E77" s="344" t="s">
        <v>39</v>
      </c>
      <c r="F77" s="342" t="s">
        <v>43</v>
      </c>
      <c r="G77" s="342"/>
      <c r="H77" s="343" t="s">
        <v>54</v>
      </c>
      <c r="I77" s="343"/>
      <c r="J77" s="343"/>
      <c r="K77" s="343"/>
      <c r="L77" s="343"/>
      <c r="M77" s="343"/>
      <c r="N77" s="343"/>
      <c r="O77" s="343"/>
      <c r="P77" s="343"/>
      <c r="Q77" s="343"/>
      <c r="R77" s="343"/>
      <c r="S77" s="343"/>
      <c r="T77" s="343"/>
      <c r="U77" s="343"/>
      <c r="V77" s="343"/>
      <c r="W77" s="343"/>
      <c r="X77" s="343"/>
      <c r="Y77" s="343"/>
      <c r="Z77" s="343"/>
      <c r="AA77" s="343"/>
      <c r="AB77" s="343"/>
      <c r="AC77" s="343"/>
      <c r="AD77" s="343"/>
      <c r="AE77" s="343"/>
      <c r="AF77" s="343"/>
    </row>
    <row r="78" spans="2:32">
      <c r="B78" s="344"/>
      <c r="C78" s="344"/>
      <c r="D78" s="344"/>
      <c r="E78" s="344"/>
      <c r="F78" s="51">
        <v>1</v>
      </c>
      <c r="G78" s="51">
        <v>2</v>
      </c>
      <c r="H78" s="52">
        <v>1</v>
      </c>
      <c r="I78" s="52">
        <v>2</v>
      </c>
      <c r="J78" s="52">
        <v>3</v>
      </c>
      <c r="K78" s="52">
        <v>4</v>
      </c>
      <c r="L78" s="52">
        <v>5</v>
      </c>
      <c r="M78" s="52">
        <v>6</v>
      </c>
      <c r="N78" s="52">
        <v>7</v>
      </c>
      <c r="O78" s="52">
        <v>8</v>
      </c>
      <c r="P78" s="52">
        <v>9</v>
      </c>
      <c r="Q78" s="52">
        <v>10</v>
      </c>
      <c r="R78" s="52">
        <v>11</v>
      </c>
      <c r="S78" s="52">
        <v>12</v>
      </c>
      <c r="T78" s="52">
        <v>13</v>
      </c>
      <c r="U78" s="52">
        <v>14</v>
      </c>
      <c r="V78" s="52">
        <v>15</v>
      </c>
      <c r="W78" s="52">
        <v>16</v>
      </c>
      <c r="X78" s="52">
        <v>17</v>
      </c>
      <c r="Y78" s="52">
        <v>18</v>
      </c>
      <c r="Z78" s="52">
        <v>19</v>
      </c>
      <c r="AA78" s="52">
        <v>20</v>
      </c>
      <c r="AB78" s="52">
        <v>21</v>
      </c>
      <c r="AC78" s="52">
        <v>22</v>
      </c>
      <c r="AD78" s="52">
        <v>23</v>
      </c>
      <c r="AE78" s="52">
        <v>24</v>
      </c>
      <c r="AF78" s="52">
        <v>25</v>
      </c>
    </row>
    <row r="79" spans="2:32">
      <c r="B79" s="56" t="s">
        <v>344</v>
      </c>
      <c r="C79" s="133" t="s">
        <v>336</v>
      </c>
      <c r="D79" s="233"/>
      <c r="E79" s="56" t="s">
        <v>111</v>
      </c>
      <c r="F79" s="233">
        <f t="shared" ref="F79:AF79" si="49">F39+F59+F69</f>
        <v>0</v>
      </c>
      <c r="G79" s="233">
        <f t="shared" ca="1" si="49"/>
        <v>21666.480669589477</v>
      </c>
      <c r="H79" s="233">
        <f t="shared" ca="1" si="49"/>
        <v>21666.480669589477</v>
      </c>
      <c r="I79" s="233">
        <f t="shared" ca="1" si="49"/>
        <v>20719.876753288849</v>
      </c>
      <c r="J79" s="233">
        <f t="shared" ca="1" si="49"/>
        <v>19565.147096001398</v>
      </c>
      <c r="K79" s="233">
        <f t="shared" ca="1" si="49"/>
        <v>18368.847171051599</v>
      </c>
      <c r="L79" s="233">
        <f t="shared" ca="1" si="49"/>
        <v>17129.480448803606</v>
      </c>
      <c r="M79" s="233">
        <f t="shared" ca="1" si="49"/>
        <v>15845.496524554686</v>
      </c>
      <c r="N79" s="233">
        <f t="shared" ca="1" si="49"/>
        <v>14515.289179032807</v>
      </c>
      <c r="O79" s="233">
        <f t="shared" ca="1" si="49"/>
        <v>13137.194369072138</v>
      </c>
      <c r="P79" s="233">
        <f t="shared" ca="1" si="49"/>
        <v>11709.488145952886</v>
      </c>
      <c r="Q79" s="233">
        <f t="shared" ca="1" si="49"/>
        <v>10230.384498801341</v>
      </c>
      <c r="R79" s="233">
        <f t="shared" ca="1" si="49"/>
        <v>8698.0331203523401</v>
      </c>
      <c r="S79" s="233">
        <f t="shared" ca="1" si="49"/>
        <v>7110.5170922791749</v>
      </c>
      <c r="T79" s="233">
        <f t="shared" ca="1" si="49"/>
        <v>5465.8504871953764</v>
      </c>
      <c r="U79" s="233">
        <f t="shared" ca="1" si="49"/>
        <v>3761.9758843285608</v>
      </c>
      <c r="V79" s="233">
        <f t="shared" ca="1" si="49"/>
        <v>1996.7617957585401</v>
      </c>
      <c r="W79" s="233">
        <f t="shared" ca="1" si="49"/>
        <v>168</v>
      </c>
      <c r="X79" s="233">
        <f t="shared" ca="1" si="49"/>
        <v>168</v>
      </c>
      <c r="Y79" s="233">
        <f t="shared" ca="1" si="49"/>
        <v>168</v>
      </c>
      <c r="Z79" s="233">
        <f t="shared" ca="1" si="49"/>
        <v>168</v>
      </c>
      <c r="AA79" s="233">
        <f t="shared" ca="1" si="49"/>
        <v>168</v>
      </c>
      <c r="AB79" s="233">
        <f t="shared" ca="1" si="49"/>
        <v>168</v>
      </c>
      <c r="AC79" s="233">
        <f t="shared" ca="1" si="49"/>
        <v>168</v>
      </c>
      <c r="AD79" s="233">
        <f t="shared" ca="1" si="49"/>
        <v>168</v>
      </c>
      <c r="AE79" s="233">
        <f t="shared" ca="1" si="49"/>
        <v>168</v>
      </c>
      <c r="AF79" s="233">
        <f t="shared" ca="1" si="49"/>
        <v>168</v>
      </c>
    </row>
    <row r="80" spans="2:32">
      <c r="B80" s="56" t="s">
        <v>345</v>
      </c>
      <c r="C80" s="133" t="s">
        <v>337</v>
      </c>
      <c r="D80" s="233">
        <f ca="1">SUM(F80:AF80)</f>
        <v>21834.480669589477</v>
      </c>
      <c r="E80" s="56" t="s">
        <v>111</v>
      </c>
      <c r="F80" s="233">
        <f t="shared" ref="F80:AF80" ca="1" si="50">F40+F60+F70</f>
        <v>21666.480669589477</v>
      </c>
      <c r="G80" s="233">
        <f t="shared" si="50"/>
        <v>0</v>
      </c>
      <c r="H80" s="233">
        <f t="shared" ca="1" si="50"/>
        <v>168</v>
      </c>
      <c r="I80" s="233">
        <f t="shared" ca="1" si="50"/>
        <v>0</v>
      </c>
      <c r="J80" s="233">
        <f t="shared" ca="1" si="50"/>
        <v>0</v>
      </c>
      <c r="K80" s="233">
        <f t="shared" ca="1" si="50"/>
        <v>0</v>
      </c>
      <c r="L80" s="233">
        <f t="shared" ca="1" si="50"/>
        <v>0</v>
      </c>
      <c r="M80" s="233">
        <f t="shared" ca="1" si="50"/>
        <v>0</v>
      </c>
      <c r="N80" s="233">
        <f t="shared" ca="1" si="50"/>
        <v>0</v>
      </c>
      <c r="O80" s="233">
        <f t="shared" ca="1" si="50"/>
        <v>0</v>
      </c>
      <c r="P80" s="233">
        <f t="shared" ca="1" si="50"/>
        <v>0</v>
      </c>
      <c r="Q80" s="233">
        <f t="shared" ca="1" si="50"/>
        <v>0</v>
      </c>
      <c r="R80" s="233">
        <f t="shared" ca="1" si="50"/>
        <v>0</v>
      </c>
      <c r="S80" s="233">
        <f t="shared" ca="1" si="50"/>
        <v>0</v>
      </c>
      <c r="T80" s="233">
        <f t="shared" ca="1" si="50"/>
        <v>0</v>
      </c>
      <c r="U80" s="233">
        <f t="shared" ca="1" si="50"/>
        <v>0</v>
      </c>
      <c r="V80" s="233">
        <f t="shared" ca="1" si="50"/>
        <v>0</v>
      </c>
      <c r="W80" s="233">
        <f t="shared" ca="1" si="50"/>
        <v>0</v>
      </c>
      <c r="X80" s="233">
        <f t="shared" ca="1" si="50"/>
        <v>0</v>
      </c>
      <c r="Y80" s="233">
        <f t="shared" ca="1" si="50"/>
        <v>0</v>
      </c>
      <c r="Z80" s="233">
        <f t="shared" ca="1" si="50"/>
        <v>0</v>
      </c>
      <c r="AA80" s="233">
        <f t="shared" ca="1" si="50"/>
        <v>0</v>
      </c>
      <c r="AB80" s="233">
        <f t="shared" ca="1" si="50"/>
        <v>0</v>
      </c>
      <c r="AC80" s="233">
        <f t="shared" ca="1" si="50"/>
        <v>0</v>
      </c>
      <c r="AD80" s="233">
        <f t="shared" ca="1" si="50"/>
        <v>0</v>
      </c>
      <c r="AE80" s="233">
        <f t="shared" ca="1" si="50"/>
        <v>0</v>
      </c>
      <c r="AF80" s="233">
        <f t="shared" ca="1" si="50"/>
        <v>0</v>
      </c>
    </row>
    <row r="81" spans="2:32">
      <c r="B81" s="56" t="s">
        <v>346</v>
      </c>
      <c r="C81" s="133" t="s">
        <v>338</v>
      </c>
      <c r="D81" s="233">
        <f ca="1">SUM(F81:AF81)</f>
        <v>28717.158306087716</v>
      </c>
      <c r="E81" s="56" t="s">
        <v>111</v>
      </c>
      <c r="F81" s="233"/>
      <c r="G81" s="233"/>
      <c r="H81" s="233">
        <f t="shared" ref="H81:AF81" ca="1" si="51">H41+H61+H71</f>
        <v>1899.805220405849</v>
      </c>
      <c r="I81" s="233">
        <f t="shared" ca="1" si="51"/>
        <v>1899.805220405849</v>
      </c>
      <c r="J81" s="233">
        <f t="shared" ca="1" si="51"/>
        <v>1899.805220405849</v>
      </c>
      <c r="K81" s="233">
        <f t="shared" ca="1" si="51"/>
        <v>1899.805220405849</v>
      </c>
      <c r="L81" s="233">
        <f t="shared" ca="1" si="51"/>
        <v>1899.805220405849</v>
      </c>
      <c r="M81" s="233">
        <f t="shared" ca="1" si="51"/>
        <v>1899.805220405849</v>
      </c>
      <c r="N81" s="233">
        <f t="shared" ca="1" si="51"/>
        <v>1899.805220405849</v>
      </c>
      <c r="O81" s="233">
        <f t="shared" ca="1" si="51"/>
        <v>1899.805220405849</v>
      </c>
      <c r="P81" s="233">
        <f t="shared" ca="1" si="51"/>
        <v>1899.805220405849</v>
      </c>
      <c r="Q81" s="233">
        <f t="shared" ca="1" si="51"/>
        <v>1899.805220405849</v>
      </c>
      <c r="R81" s="233">
        <f t="shared" ca="1" si="51"/>
        <v>1899.805220405849</v>
      </c>
      <c r="S81" s="233">
        <f t="shared" ca="1" si="51"/>
        <v>1899.805220405849</v>
      </c>
      <c r="T81" s="233">
        <f t="shared" ca="1" si="51"/>
        <v>1899.805220405849</v>
      </c>
      <c r="U81" s="233">
        <f t="shared" ca="1" si="51"/>
        <v>1899.805220405849</v>
      </c>
      <c r="V81" s="233">
        <f t="shared" ca="1" si="51"/>
        <v>1899.805220405849</v>
      </c>
      <c r="W81" s="233">
        <f t="shared" ca="1" si="51"/>
        <v>5.2080000000000002</v>
      </c>
      <c r="X81" s="233">
        <f t="shared" ca="1" si="51"/>
        <v>5.2080000000000002</v>
      </c>
      <c r="Y81" s="233">
        <f t="shared" ca="1" si="51"/>
        <v>5.2080000000000002</v>
      </c>
      <c r="Z81" s="233">
        <f t="shared" ca="1" si="51"/>
        <v>5.2080000000000002</v>
      </c>
      <c r="AA81" s="233">
        <f t="shared" ca="1" si="51"/>
        <v>5.2080000000000002</v>
      </c>
      <c r="AB81" s="233">
        <f t="shared" ca="1" si="51"/>
        <v>5.2080000000000002</v>
      </c>
      <c r="AC81" s="233">
        <f t="shared" ca="1" si="51"/>
        <v>5.2080000000000002</v>
      </c>
      <c r="AD81" s="233">
        <f t="shared" ca="1" si="51"/>
        <v>5.2080000000000002</v>
      </c>
      <c r="AE81" s="233">
        <f t="shared" ca="1" si="51"/>
        <v>5.2080000000000002</v>
      </c>
      <c r="AF81" s="233">
        <f t="shared" ca="1" si="51"/>
        <v>173.208</v>
      </c>
    </row>
    <row r="82" spans="2:32">
      <c r="B82" s="56"/>
      <c r="C82" s="61" t="s">
        <v>347</v>
      </c>
      <c r="D82" s="233">
        <f ca="1">SUM(F82:AF82)</f>
        <v>21834.480669589477</v>
      </c>
      <c r="E82" s="56" t="s">
        <v>111</v>
      </c>
      <c r="F82" s="233"/>
      <c r="G82" s="233"/>
      <c r="H82" s="233">
        <f t="shared" ref="H82:AF82" ca="1" si="52">H42+H62+H72</f>
        <v>1114.6039163006278</v>
      </c>
      <c r="I82" s="233">
        <f t="shared" ca="1" si="52"/>
        <v>1154.7296572874504</v>
      </c>
      <c r="J82" s="233">
        <f t="shared" ca="1" si="52"/>
        <v>1196.2999249497987</v>
      </c>
      <c r="K82" s="233">
        <f t="shared" ca="1" si="52"/>
        <v>1239.3667222479914</v>
      </c>
      <c r="L82" s="233">
        <f t="shared" ca="1" si="52"/>
        <v>1283.9839242489193</v>
      </c>
      <c r="M82" s="233">
        <f t="shared" ca="1" si="52"/>
        <v>1330.2073455218801</v>
      </c>
      <c r="N82" s="233">
        <f t="shared" ca="1" si="52"/>
        <v>1378.094809960668</v>
      </c>
      <c r="O82" s="233">
        <f t="shared" ca="1" si="52"/>
        <v>1427.7062231192519</v>
      </c>
      <c r="P82" s="233">
        <f t="shared" ca="1" si="52"/>
        <v>1479.1036471515451</v>
      </c>
      <c r="Q82" s="233">
        <f t="shared" ca="1" si="52"/>
        <v>1532.3513784490008</v>
      </c>
      <c r="R82" s="233">
        <f t="shared" ca="1" si="52"/>
        <v>1587.5160280731648</v>
      </c>
      <c r="S82" s="233">
        <f t="shared" ca="1" si="52"/>
        <v>1644.6666050837987</v>
      </c>
      <c r="T82" s="233">
        <f t="shared" ca="1" si="52"/>
        <v>1703.8746028668154</v>
      </c>
      <c r="U82" s="233">
        <f t="shared" ca="1" si="52"/>
        <v>1765.2140885700207</v>
      </c>
      <c r="V82" s="233">
        <f t="shared" ca="1" si="52"/>
        <v>1828.7617957585414</v>
      </c>
      <c r="W82" s="233">
        <f t="shared" ca="1" si="52"/>
        <v>0</v>
      </c>
      <c r="X82" s="233">
        <f t="shared" ca="1" si="52"/>
        <v>0</v>
      </c>
      <c r="Y82" s="233">
        <f t="shared" ca="1" si="52"/>
        <v>0</v>
      </c>
      <c r="Z82" s="233">
        <f t="shared" ca="1" si="52"/>
        <v>0</v>
      </c>
      <c r="AA82" s="233">
        <f t="shared" ca="1" si="52"/>
        <v>0</v>
      </c>
      <c r="AB82" s="233">
        <f t="shared" ca="1" si="52"/>
        <v>0</v>
      </c>
      <c r="AC82" s="233">
        <f t="shared" ca="1" si="52"/>
        <v>0</v>
      </c>
      <c r="AD82" s="233">
        <f t="shared" ca="1" si="52"/>
        <v>0</v>
      </c>
      <c r="AE82" s="233">
        <f t="shared" ca="1" si="52"/>
        <v>0</v>
      </c>
      <c r="AF82" s="233">
        <f t="shared" ca="1" si="52"/>
        <v>168</v>
      </c>
    </row>
    <row r="83" spans="2:32">
      <c r="B83" s="56"/>
      <c r="C83" s="182" t="s">
        <v>340</v>
      </c>
      <c r="D83" s="233">
        <f ca="1">SUM(F83:AF83)</f>
        <v>6882.677636498257</v>
      </c>
      <c r="E83" s="56" t="s">
        <v>111</v>
      </c>
      <c r="F83" s="233"/>
      <c r="G83" s="233"/>
      <c r="H83" s="233">
        <f t="shared" ref="H83:AF83" ca="1" si="53">H43+H63+H73</f>
        <v>785.20130410522108</v>
      </c>
      <c r="I83" s="233">
        <f t="shared" ca="1" si="53"/>
        <v>745.07556311839846</v>
      </c>
      <c r="J83" s="233">
        <f t="shared" ca="1" si="53"/>
        <v>703.50529545605025</v>
      </c>
      <c r="K83" s="233">
        <f t="shared" ca="1" si="53"/>
        <v>660.43849815785745</v>
      </c>
      <c r="L83" s="233">
        <f t="shared" ca="1" si="53"/>
        <v>615.82129615692975</v>
      </c>
      <c r="M83" s="233">
        <f t="shared" ca="1" si="53"/>
        <v>569.59787488396864</v>
      </c>
      <c r="N83" s="233">
        <f t="shared" ca="1" si="53"/>
        <v>521.71041044518097</v>
      </c>
      <c r="O83" s="233">
        <f t="shared" ca="1" si="53"/>
        <v>472.09899728659695</v>
      </c>
      <c r="P83" s="233">
        <f t="shared" ca="1" si="53"/>
        <v>420.70157325430387</v>
      </c>
      <c r="Q83" s="233">
        <f t="shared" ca="1" si="53"/>
        <v>367.45384195684824</v>
      </c>
      <c r="R83" s="233">
        <f t="shared" ca="1" si="53"/>
        <v>312.28919233268425</v>
      </c>
      <c r="S83" s="233">
        <f t="shared" ca="1" si="53"/>
        <v>255.13861532205027</v>
      </c>
      <c r="T83" s="233">
        <f t="shared" ca="1" si="53"/>
        <v>195.93061753903353</v>
      </c>
      <c r="U83" s="233">
        <f t="shared" ca="1" si="53"/>
        <v>134.59113183582818</v>
      </c>
      <c r="V83" s="233">
        <f t="shared" ca="1" si="53"/>
        <v>71.043424647307432</v>
      </c>
      <c r="W83" s="233">
        <f t="shared" ca="1" si="53"/>
        <v>5.2080000000000002</v>
      </c>
      <c r="X83" s="233">
        <f t="shared" ca="1" si="53"/>
        <v>5.2080000000000002</v>
      </c>
      <c r="Y83" s="233">
        <f t="shared" ca="1" si="53"/>
        <v>5.2080000000000002</v>
      </c>
      <c r="Z83" s="233">
        <f t="shared" ca="1" si="53"/>
        <v>5.2080000000000002</v>
      </c>
      <c r="AA83" s="233">
        <f t="shared" ca="1" si="53"/>
        <v>5.2080000000000002</v>
      </c>
      <c r="AB83" s="233">
        <f t="shared" ca="1" si="53"/>
        <v>5.2080000000000002</v>
      </c>
      <c r="AC83" s="233">
        <f t="shared" ca="1" si="53"/>
        <v>5.2080000000000002</v>
      </c>
      <c r="AD83" s="233">
        <f t="shared" ca="1" si="53"/>
        <v>5.2080000000000002</v>
      </c>
      <c r="AE83" s="233">
        <f t="shared" ca="1" si="53"/>
        <v>5.2080000000000002</v>
      </c>
      <c r="AF83" s="233">
        <f t="shared" ca="1" si="53"/>
        <v>5.2080000000000002</v>
      </c>
    </row>
    <row r="84" spans="2:32">
      <c r="B84" s="56" t="s">
        <v>348</v>
      </c>
      <c r="C84" s="133" t="s">
        <v>341</v>
      </c>
      <c r="D84" s="238">
        <f ca="1">AF84</f>
        <v>0</v>
      </c>
      <c r="E84" s="56" t="s">
        <v>111</v>
      </c>
      <c r="F84" s="233">
        <f ca="1">F44+F64+F74</f>
        <v>21666.480669589477</v>
      </c>
      <c r="G84" s="233">
        <f ca="1">G44+G64+G74</f>
        <v>21666.480669589477</v>
      </c>
      <c r="H84" s="233">
        <f t="shared" ref="H84:AF84" ca="1" si="54">H44+H64+H74</f>
        <v>20719.876753288849</v>
      </c>
      <c r="I84" s="233">
        <f t="shared" ca="1" si="54"/>
        <v>19565.147096001398</v>
      </c>
      <c r="J84" s="233">
        <f t="shared" ca="1" si="54"/>
        <v>18368.847171051599</v>
      </c>
      <c r="K84" s="233">
        <f t="shared" ca="1" si="54"/>
        <v>17129.480448803606</v>
      </c>
      <c r="L84" s="233">
        <f t="shared" ca="1" si="54"/>
        <v>15845.496524554686</v>
      </c>
      <c r="M84" s="233">
        <f t="shared" ca="1" si="54"/>
        <v>14515.289179032807</v>
      </c>
      <c r="N84" s="233">
        <f t="shared" ca="1" si="54"/>
        <v>13137.194369072138</v>
      </c>
      <c r="O84" s="233">
        <f t="shared" ca="1" si="54"/>
        <v>11709.488145952886</v>
      </c>
      <c r="P84" s="233">
        <f t="shared" ca="1" si="54"/>
        <v>10230.384498801341</v>
      </c>
      <c r="Q84" s="233">
        <f t="shared" ca="1" si="54"/>
        <v>8698.0331203523401</v>
      </c>
      <c r="R84" s="233">
        <f t="shared" ca="1" si="54"/>
        <v>7110.5170922791749</v>
      </c>
      <c r="S84" s="233">
        <f t="shared" ca="1" si="54"/>
        <v>5465.8504871953764</v>
      </c>
      <c r="T84" s="233">
        <f t="shared" ca="1" si="54"/>
        <v>3761.9758843285608</v>
      </c>
      <c r="U84" s="233">
        <f t="shared" ca="1" si="54"/>
        <v>1996.7617957585401</v>
      </c>
      <c r="V84" s="233">
        <f t="shared" ca="1" si="54"/>
        <v>168</v>
      </c>
      <c r="W84" s="233">
        <f t="shared" ca="1" si="54"/>
        <v>168</v>
      </c>
      <c r="X84" s="233">
        <f t="shared" ca="1" si="54"/>
        <v>168</v>
      </c>
      <c r="Y84" s="233">
        <f t="shared" ca="1" si="54"/>
        <v>168</v>
      </c>
      <c r="Z84" s="233">
        <f t="shared" ca="1" si="54"/>
        <v>168</v>
      </c>
      <c r="AA84" s="233">
        <f t="shared" ca="1" si="54"/>
        <v>168</v>
      </c>
      <c r="AB84" s="233">
        <f t="shared" ca="1" si="54"/>
        <v>168</v>
      </c>
      <c r="AC84" s="233">
        <f t="shared" ca="1" si="54"/>
        <v>168</v>
      </c>
      <c r="AD84" s="233">
        <f t="shared" ca="1" si="54"/>
        <v>168</v>
      </c>
      <c r="AE84" s="233">
        <f t="shared" ca="1" si="54"/>
        <v>168</v>
      </c>
      <c r="AF84" s="233">
        <f t="shared" ca="1" si="54"/>
        <v>0</v>
      </c>
    </row>
    <row r="86" spans="2:32">
      <c r="B86" s="341" t="s">
        <v>351</v>
      </c>
      <c r="C86" s="341"/>
      <c r="D86" s="341"/>
      <c r="E86" s="341"/>
      <c r="F86" s="341"/>
      <c r="G86" s="341"/>
      <c r="H86" s="341"/>
      <c r="I86" s="341"/>
      <c r="J86" s="341"/>
      <c r="K86" s="341"/>
      <c r="L86" s="341"/>
      <c r="M86" s="341"/>
      <c r="N86" s="341"/>
      <c r="O86" s="341"/>
      <c r="P86" s="341"/>
      <c r="Q86" s="341"/>
      <c r="R86" s="341"/>
      <c r="S86" s="341"/>
      <c r="T86" s="341"/>
      <c r="U86" s="341"/>
      <c r="V86" s="341"/>
      <c r="W86" s="341"/>
      <c r="X86" s="341"/>
      <c r="Y86" s="341"/>
      <c r="Z86" s="341"/>
      <c r="AA86" s="341"/>
      <c r="AB86" s="341"/>
      <c r="AC86" s="341"/>
      <c r="AD86" s="341"/>
      <c r="AE86" s="341"/>
      <c r="AF86" s="341"/>
    </row>
    <row r="87" spans="2:32">
      <c r="B87" s="344" t="s">
        <v>14</v>
      </c>
      <c r="C87" s="344" t="s">
        <v>323</v>
      </c>
      <c r="D87" s="344" t="s">
        <v>311</v>
      </c>
      <c r="E87" s="344" t="s">
        <v>39</v>
      </c>
      <c r="F87" s="342" t="s">
        <v>43</v>
      </c>
      <c r="G87" s="342"/>
      <c r="H87" s="343" t="s">
        <v>54</v>
      </c>
      <c r="I87" s="343"/>
      <c r="J87" s="343"/>
      <c r="K87" s="343"/>
      <c r="L87" s="343"/>
      <c r="M87" s="343"/>
      <c r="N87" s="343"/>
      <c r="O87" s="343"/>
      <c r="P87" s="343"/>
      <c r="Q87" s="343"/>
      <c r="R87" s="343"/>
      <c r="S87" s="343"/>
      <c r="T87" s="343"/>
      <c r="U87" s="343"/>
      <c r="V87" s="343"/>
      <c r="W87" s="343"/>
      <c r="X87" s="343"/>
      <c r="Y87" s="343"/>
      <c r="Z87" s="343"/>
      <c r="AA87" s="343"/>
      <c r="AB87" s="343"/>
      <c r="AC87" s="343"/>
      <c r="AD87" s="343"/>
      <c r="AE87" s="343"/>
      <c r="AF87" s="343"/>
    </row>
    <row r="88" spans="2:32">
      <c r="B88" s="344"/>
      <c r="C88" s="344"/>
      <c r="D88" s="344"/>
      <c r="E88" s="344"/>
      <c r="F88" s="51">
        <v>1</v>
      </c>
      <c r="G88" s="51">
        <v>2</v>
      </c>
      <c r="H88" s="52">
        <v>1</v>
      </c>
      <c r="I88" s="52">
        <v>2</v>
      </c>
      <c r="J88" s="52">
        <v>3</v>
      </c>
      <c r="K88" s="52">
        <v>4</v>
      </c>
      <c r="L88" s="52">
        <v>5</v>
      </c>
      <c r="M88" s="52">
        <v>6</v>
      </c>
      <c r="N88" s="52">
        <v>7</v>
      </c>
      <c r="O88" s="52">
        <v>8</v>
      </c>
      <c r="P88" s="52">
        <v>9</v>
      </c>
      <c r="Q88" s="52">
        <v>10</v>
      </c>
      <c r="R88" s="52">
        <v>11</v>
      </c>
      <c r="S88" s="52">
        <v>12</v>
      </c>
      <c r="T88" s="52">
        <v>13</v>
      </c>
      <c r="U88" s="52">
        <v>14</v>
      </c>
      <c r="V88" s="52">
        <v>15</v>
      </c>
      <c r="W88" s="52">
        <v>16</v>
      </c>
      <c r="X88" s="52">
        <v>17</v>
      </c>
      <c r="Y88" s="52">
        <v>18</v>
      </c>
      <c r="Z88" s="52">
        <v>19</v>
      </c>
      <c r="AA88" s="52">
        <v>20</v>
      </c>
      <c r="AB88" s="52">
        <v>21</v>
      </c>
      <c r="AC88" s="52">
        <v>22</v>
      </c>
      <c r="AD88" s="52">
        <v>23</v>
      </c>
      <c r="AE88" s="52">
        <v>24</v>
      </c>
      <c r="AF88" s="52">
        <v>25</v>
      </c>
    </row>
    <row r="89" spans="2:32">
      <c r="B89" s="56" t="s">
        <v>344</v>
      </c>
      <c r="C89" s="133" t="s">
        <v>336</v>
      </c>
      <c r="D89" s="233"/>
      <c r="E89" s="56" t="s">
        <v>111</v>
      </c>
      <c r="F89" s="233">
        <f t="shared" ref="F89:AF89" si="55">F49+F59+F69</f>
        <v>0</v>
      </c>
      <c r="G89" s="233">
        <f t="shared" ca="1" si="55"/>
        <v>21666.480669589477</v>
      </c>
      <c r="H89" s="233">
        <f t="shared" ca="1" si="55"/>
        <v>21666.480669589477</v>
      </c>
      <c r="I89" s="233">
        <f t="shared" ca="1" si="55"/>
        <v>20390.048624950177</v>
      </c>
      <c r="J89" s="233">
        <f t="shared" ca="1" si="55"/>
        <v>18945.616580310878</v>
      </c>
      <c r="K89" s="233">
        <f t="shared" ca="1" si="55"/>
        <v>17501.184535671578</v>
      </c>
      <c r="L89" s="233">
        <f t="shared" ca="1" si="55"/>
        <v>16056.752491032279</v>
      </c>
      <c r="M89" s="233">
        <f t="shared" ca="1" si="55"/>
        <v>14612.32044639298</v>
      </c>
      <c r="N89" s="233">
        <f t="shared" ca="1" si="55"/>
        <v>13167.88840175368</v>
      </c>
      <c r="O89" s="233">
        <f t="shared" ca="1" si="55"/>
        <v>11723.456357114381</v>
      </c>
      <c r="P89" s="233">
        <f t="shared" ca="1" si="55"/>
        <v>10279.024312475081</v>
      </c>
      <c r="Q89" s="233">
        <f t="shared" ca="1" si="55"/>
        <v>8834.592267835782</v>
      </c>
      <c r="R89" s="233">
        <f t="shared" ca="1" si="55"/>
        <v>7390.1602231964835</v>
      </c>
      <c r="S89" s="233">
        <f t="shared" ca="1" si="55"/>
        <v>5945.7281785571849</v>
      </c>
      <c r="T89" s="233">
        <f t="shared" ca="1" si="55"/>
        <v>4501.2961339178864</v>
      </c>
      <c r="U89" s="233">
        <f t="shared" ca="1" si="55"/>
        <v>3056.8640892785879</v>
      </c>
      <c r="V89" s="233">
        <f t="shared" ca="1" si="55"/>
        <v>1612.4320446392894</v>
      </c>
      <c r="W89" s="233">
        <f t="shared" ca="1" si="55"/>
        <v>168</v>
      </c>
      <c r="X89" s="233">
        <f t="shared" ca="1" si="55"/>
        <v>168</v>
      </c>
      <c r="Y89" s="233">
        <f t="shared" ca="1" si="55"/>
        <v>168</v>
      </c>
      <c r="Z89" s="233">
        <f t="shared" ca="1" si="55"/>
        <v>168</v>
      </c>
      <c r="AA89" s="233">
        <f t="shared" ca="1" si="55"/>
        <v>168</v>
      </c>
      <c r="AB89" s="233">
        <f t="shared" ca="1" si="55"/>
        <v>168</v>
      </c>
      <c r="AC89" s="233">
        <f t="shared" ca="1" si="55"/>
        <v>168</v>
      </c>
      <c r="AD89" s="233">
        <f t="shared" ca="1" si="55"/>
        <v>168</v>
      </c>
      <c r="AE89" s="233">
        <f t="shared" ca="1" si="55"/>
        <v>168</v>
      </c>
      <c r="AF89" s="233">
        <f t="shared" ca="1" si="55"/>
        <v>168</v>
      </c>
    </row>
    <row r="90" spans="2:32">
      <c r="B90" s="56" t="s">
        <v>345</v>
      </c>
      <c r="C90" s="133" t="s">
        <v>337</v>
      </c>
      <c r="D90" s="233">
        <f ca="1">SUM(F90:AF90)</f>
        <v>21834.480669589477</v>
      </c>
      <c r="E90" s="56" t="s">
        <v>111</v>
      </c>
      <c r="F90" s="233">
        <f t="shared" ref="F90:AF90" ca="1" si="56">F50+F60+F70</f>
        <v>21666.480669589477</v>
      </c>
      <c r="G90" s="233">
        <f t="shared" si="56"/>
        <v>0</v>
      </c>
      <c r="H90" s="233">
        <f t="shared" ca="1" si="56"/>
        <v>168</v>
      </c>
      <c r="I90" s="233">
        <f t="shared" ca="1" si="56"/>
        <v>0</v>
      </c>
      <c r="J90" s="233">
        <f t="shared" ca="1" si="56"/>
        <v>0</v>
      </c>
      <c r="K90" s="233">
        <f t="shared" ca="1" si="56"/>
        <v>0</v>
      </c>
      <c r="L90" s="233">
        <f t="shared" ca="1" si="56"/>
        <v>0</v>
      </c>
      <c r="M90" s="233">
        <f t="shared" ca="1" si="56"/>
        <v>0</v>
      </c>
      <c r="N90" s="233">
        <f t="shared" ca="1" si="56"/>
        <v>0</v>
      </c>
      <c r="O90" s="233">
        <f t="shared" ca="1" si="56"/>
        <v>0</v>
      </c>
      <c r="P90" s="233">
        <f t="shared" ca="1" si="56"/>
        <v>0</v>
      </c>
      <c r="Q90" s="233">
        <f t="shared" ca="1" si="56"/>
        <v>0</v>
      </c>
      <c r="R90" s="233">
        <f t="shared" ca="1" si="56"/>
        <v>0</v>
      </c>
      <c r="S90" s="233">
        <f t="shared" ca="1" si="56"/>
        <v>0</v>
      </c>
      <c r="T90" s="233">
        <f t="shared" ca="1" si="56"/>
        <v>0</v>
      </c>
      <c r="U90" s="233">
        <f t="shared" ca="1" si="56"/>
        <v>0</v>
      </c>
      <c r="V90" s="233">
        <f t="shared" ca="1" si="56"/>
        <v>0</v>
      </c>
      <c r="W90" s="233">
        <f t="shared" ca="1" si="56"/>
        <v>0</v>
      </c>
      <c r="X90" s="233">
        <f t="shared" ca="1" si="56"/>
        <v>0</v>
      </c>
      <c r="Y90" s="233">
        <f t="shared" ca="1" si="56"/>
        <v>0</v>
      </c>
      <c r="Z90" s="233">
        <f t="shared" ca="1" si="56"/>
        <v>0</v>
      </c>
      <c r="AA90" s="233">
        <f t="shared" ca="1" si="56"/>
        <v>0</v>
      </c>
      <c r="AB90" s="233">
        <f t="shared" ca="1" si="56"/>
        <v>0</v>
      </c>
      <c r="AC90" s="233">
        <f t="shared" ca="1" si="56"/>
        <v>0</v>
      </c>
      <c r="AD90" s="233">
        <f t="shared" ca="1" si="56"/>
        <v>0</v>
      </c>
      <c r="AE90" s="233">
        <f t="shared" ca="1" si="56"/>
        <v>0</v>
      </c>
      <c r="AF90" s="233">
        <f t="shared" ca="1" si="56"/>
        <v>0</v>
      </c>
    </row>
    <row r="91" spans="2:32">
      <c r="B91" s="56" t="s">
        <v>346</v>
      </c>
      <c r="C91" s="133" t="s">
        <v>338</v>
      </c>
      <c r="D91" s="233">
        <f ca="1">SUM(F91:AF91)</f>
        <v>28204.627102431234</v>
      </c>
      <c r="E91" s="56" t="s">
        <v>111</v>
      </c>
      <c r="F91" s="233"/>
      <c r="G91" s="233"/>
      <c r="H91" s="233">
        <f t="shared" ref="H91:AF91" ca="1" si="57">H51+H61+H71</f>
        <v>2229.6333487445195</v>
      </c>
      <c r="I91" s="233">
        <f t="shared" ca="1" si="57"/>
        <v>2177.6337951375049</v>
      </c>
      <c r="J91" s="233">
        <f t="shared" ca="1" si="57"/>
        <v>2125.6342415304903</v>
      </c>
      <c r="K91" s="233">
        <f t="shared" ca="1" si="57"/>
        <v>2073.6346879234752</v>
      </c>
      <c r="L91" s="233">
        <f t="shared" ca="1" si="57"/>
        <v>2021.6351343164606</v>
      </c>
      <c r="M91" s="233">
        <f t="shared" ca="1" si="57"/>
        <v>1969.6355807094458</v>
      </c>
      <c r="N91" s="233">
        <f t="shared" ca="1" si="57"/>
        <v>1917.6360271024309</v>
      </c>
      <c r="O91" s="233">
        <f t="shared" ca="1" si="57"/>
        <v>1865.6364734954163</v>
      </c>
      <c r="P91" s="233">
        <f t="shared" ca="1" si="57"/>
        <v>1813.6369198884015</v>
      </c>
      <c r="Q91" s="233">
        <f t="shared" ca="1" si="57"/>
        <v>1761.6373662813867</v>
      </c>
      <c r="R91" s="233">
        <f t="shared" ca="1" si="57"/>
        <v>1709.6378126743721</v>
      </c>
      <c r="S91" s="233">
        <f t="shared" ca="1" si="57"/>
        <v>1657.6382590673572</v>
      </c>
      <c r="T91" s="233">
        <f t="shared" ca="1" si="57"/>
        <v>1605.6387054603424</v>
      </c>
      <c r="U91" s="233">
        <f t="shared" ca="1" si="57"/>
        <v>1553.6391518533278</v>
      </c>
      <c r="V91" s="233">
        <f t="shared" ca="1" si="57"/>
        <v>1501.639598246313</v>
      </c>
      <c r="W91" s="233">
        <f t="shared" ca="1" si="57"/>
        <v>5.2080000000000002</v>
      </c>
      <c r="X91" s="233">
        <f t="shared" ca="1" si="57"/>
        <v>5.2080000000000002</v>
      </c>
      <c r="Y91" s="233">
        <f t="shared" ca="1" si="57"/>
        <v>5.2080000000000002</v>
      </c>
      <c r="Z91" s="233">
        <f t="shared" ca="1" si="57"/>
        <v>5.2080000000000002</v>
      </c>
      <c r="AA91" s="233">
        <f t="shared" ca="1" si="57"/>
        <v>5.2080000000000002</v>
      </c>
      <c r="AB91" s="233">
        <f t="shared" ca="1" si="57"/>
        <v>5.2080000000000002</v>
      </c>
      <c r="AC91" s="233">
        <f t="shared" ca="1" si="57"/>
        <v>5.2080000000000002</v>
      </c>
      <c r="AD91" s="233">
        <f t="shared" ca="1" si="57"/>
        <v>5.2080000000000002</v>
      </c>
      <c r="AE91" s="233">
        <f t="shared" ca="1" si="57"/>
        <v>5.2080000000000002</v>
      </c>
      <c r="AF91" s="233">
        <f t="shared" ca="1" si="57"/>
        <v>173.208</v>
      </c>
    </row>
    <row r="92" spans="2:32">
      <c r="B92" s="56"/>
      <c r="C92" s="61" t="s">
        <v>347</v>
      </c>
      <c r="D92" s="233">
        <f ca="1">SUM(F92:AF92)</f>
        <v>21834.480669589484</v>
      </c>
      <c r="E92" s="56" t="s">
        <v>111</v>
      </c>
      <c r="F92" s="233"/>
      <c r="G92" s="233"/>
      <c r="H92" s="233">
        <f ca="1">H52+H62+H72</f>
        <v>1444.4320446392985</v>
      </c>
      <c r="I92" s="233">
        <f t="shared" ref="I92:AF92" ca="1" si="58">I52+I62+I72</f>
        <v>1444.4320446392985</v>
      </c>
      <c r="J92" s="233">
        <f t="shared" ca="1" si="58"/>
        <v>1444.4320446392985</v>
      </c>
      <c r="K92" s="233">
        <f t="shared" ca="1" si="58"/>
        <v>1444.4320446392985</v>
      </c>
      <c r="L92" s="233">
        <f t="shared" ca="1" si="58"/>
        <v>1444.4320446392985</v>
      </c>
      <c r="M92" s="233">
        <f t="shared" ca="1" si="58"/>
        <v>1444.4320446392985</v>
      </c>
      <c r="N92" s="233">
        <f t="shared" ca="1" si="58"/>
        <v>1444.4320446392985</v>
      </c>
      <c r="O92" s="233">
        <f t="shared" ca="1" si="58"/>
        <v>1444.4320446392985</v>
      </c>
      <c r="P92" s="233">
        <f t="shared" ca="1" si="58"/>
        <v>1444.4320446392985</v>
      </c>
      <c r="Q92" s="233">
        <f t="shared" ca="1" si="58"/>
        <v>1444.4320446392985</v>
      </c>
      <c r="R92" s="233">
        <f t="shared" ca="1" si="58"/>
        <v>1444.4320446392985</v>
      </c>
      <c r="S92" s="233">
        <f t="shared" ca="1" si="58"/>
        <v>1444.4320446392985</v>
      </c>
      <c r="T92" s="233">
        <f t="shared" ca="1" si="58"/>
        <v>1444.4320446392985</v>
      </c>
      <c r="U92" s="233">
        <f t="shared" ca="1" si="58"/>
        <v>1444.4320446392985</v>
      </c>
      <c r="V92" s="233">
        <f t="shared" ca="1" si="58"/>
        <v>1444.4320446392985</v>
      </c>
      <c r="W92" s="233">
        <f t="shared" ca="1" si="58"/>
        <v>0</v>
      </c>
      <c r="X92" s="233">
        <f t="shared" ca="1" si="58"/>
        <v>0</v>
      </c>
      <c r="Y92" s="233">
        <f t="shared" ca="1" si="58"/>
        <v>0</v>
      </c>
      <c r="Z92" s="233">
        <f t="shared" ca="1" si="58"/>
        <v>0</v>
      </c>
      <c r="AA92" s="233">
        <f t="shared" ca="1" si="58"/>
        <v>0</v>
      </c>
      <c r="AB92" s="233">
        <f t="shared" ca="1" si="58"/>
        <v>0</v>
      </c>
      <c r="AC92" s="233">
        <f t="shared" ca="1" si="58"/>
        <v>0</v>
      </c>
      <c r="AD92" s="233">
        <f t="shared" ca="1" si="58"/>
        <v>0</v>
      </c>
      <c r="AE92" s="233">
        <f t="shared" ca="1" si="58"/>
        <v>0</v>
      </c>
      <c r="AF92" s="233">
        <f t="shared" ca="1" si="58"/>
        <v>168</v>
      </c>
    </row>
    <row r="93" spans="2:32">
      <c r="B93" s="56"/>
      <c r="C93" s="182" t="s">
        <v>340</v>
      </c>
      <c r="D93" s="233">
        <f ca="1">SUM(F93:AF93)</f>
        <v>6370.1464328417605</v>
      </c>
      <c r="E93" s="56" t="s">
        <v>111</v>
      </c>
      <c r="F93" s="233"/>
      <c r="G93" s="233"/>
      <c r="H93" s="233">
        <f ca="1">H53+H63+H73</f>
        <v>785.20130410522108</v>
      </c>
      <c r="I93" s="233">
        <f t="shared" ref="I93:AF93" ca="1" si="59">I53+I63+I73</f>
        <v>733.20175049820625</v>
      </c>
      <c r="J93" s="233">
        <f t="shared" ca="1" si="59"/>
        <v>681.20219689119153</v>
      </c>
      <c r="K93" s="233">
        <f t="shared" ca="1" si="59"/>
        <v>629.2026432841767</v>
      </c>
      <c r="L93" s="233">
        <f t="shared" ca="1" si="59"/>
        <v>577.20308967716198</v>
      </c>
      <c r="M93" s="233">
        <f t="shared" ca="1" si="59"/>
        <v>525.20353607014715</v>
      </c>
      <c r="N93" s="233">
        <f t="shared" ca="1" si="59"/>
        <v>473.20398246313249</v>
      </c>
      <c r="O93" s="233">
        <f t="shared" ca="1" si="59"/>
        <v>421.20442885611772</v>
      </c>
      <c r="P93" s="233">
        <f t="shared" ca="1" si="59"/>
        <v>369.20487524910294</v>
      </c>
      <c r="Q93" s="233">
        <f t="shared" ca="1" si="59"/>
        <v>317.20532164208817</v>
      </c>
      <c r="R93" s="233">
        <f t="shared" ca="1" si="59"/>
        <v>265.20576803507339</v>
      </c>
      <c r="S93" s="233">
        <f t="shared" ca="1" si="59"/>
        <v>213.20621442805864</v>
      </c>
      <c r="T93" s="233">
        <f t="shared" ca="1" si="59"/>
        <v>161.2066608210439</v>
      </c>
      <c r="U93" s="233">
        <f t="shared" ca="1" si="59"/>
        <v>109.20710721402915</v>
      </c>
      <c r="V93" s="233">
        <f t="shared" ca="1" si="59"/>
        <v>57.207553607014411</v>
      </c>
      <c r="W93" s="233">
        <f t="shared" ca="1" si="59"/>
        <v>5.2080000000000002</v>
      </c>
      <c r="X93" s="233">
        <f t="shared" ca="1" si="59"/>
        <v>5.2080000000000002</v>
      </c>
      <c r="Y93" s="233">
        <f t="shared" ca="1" si="59"/>
        <v>5.2080000000000002</v>
      </c>
      <c r="Z93" s="233">
        <f t="shared" ca="1" si="59"/>
        <v>5.2080000000000002</v>
      </c>
      <c r="AA93" s="233">
        <f t="shared" ca="1" si="59"/>
        <v>5.2080000000000002</v>
      </c>
      <c r="AB93" s="233">
        <f t="shared" ca="1" si="59"/>
        <v>5.2080000000000002</v>
      </c>
      <c r="AC93" s="233">
        <f t="shared" ca="1" si="59"/>
        <v>5.2080000000000002</v>
      </c>
      <c r="AD93" s="233">
        <f t="shared" ca="1" si="59"/>
        <v>5.2080000000000002</v>
      </c>
      <c r="AE93" s="233">
        <f t="shared" ca="1" si="59"/>
        <v>5.2080000000000002</v>
      </c>
      <c r="AF93" s="233">
        <f t="shared" ca="1" si="59"/>
        <v>5.2080000000000002</v>
      </c>
    </row>
    <row r="94" spans="2:32">
      <c r="B94" s="56" t="s">
        <v>348</v>
      </c>
      <c r="C94" s="133" t="s">
        <v>341</v>
      </c>
      <c r="D94" s="238">
        <f ca="1">AF94</f>
        <v>0</v>
      </c>
      <c r="E94" s="56" t="s">
        <v>111</v>
      </c>
      <c r="F94" s="233">
        <f ca="1">F54+F64+F74</f>
        <v>21666.480669589477</v>
      </c>
      <c r="G94" s="233">
        <f ca="1">G54+G64+G74</f>
        <v>21666.480669589477</v>
      </c>
      <c r="H94" s="233">
        <f t="shared" ref="H94:AF94" ca="1" si="60">H54+H64+H74</f>
        <v>20390.048624950177</v>
      </c>
      <c r="I94" s="233">
        <f t="shared" ca="1" si="60"/>
        <v>18945.616580310878</v>
      </c>
      <c r="J94" s="233">
        <f t="shared" ca="1" si="60"/>
        <v>17501.184535671578</v>
      </c>
      <c r="K94" s="233">
        <f t="shared" ca="1" si="60"/>
        <v>16056.752491032279</v>
      </c>
      <c r="L94" s="233">
        <f t="shared" ca="1" si="60"/>
        <v>14612.32044639298</v>
      </c>
      <c r="M94" s="233">
        <f t="shared" ca="1" si="60"/>
        <v>13167.88840175368</v>
      </c>
      <c r="N94" s="233">
        <f t="shared" ca="1" si="60"/>
        <v>11723.456357114381</v>
      </c>
      <c r="O94" s="233">
        <f t="shared" ca="1" si="60"/>
        <v>10279.024312475081</v>
      </c>
      <c r="P94" s="233">
        <f t="shared" ca="1" si="60"/>
        <v>8834.592267835782</v>
      </c>
      <c r="Q94" s="233">
        <f t="shared" ca="1" si="60"/>
        <v>7390.1602231964835</v>
      </c>
      <c r="R94" s="233">
        <f t="shared" ca="1" si="60"/>
        <v>5945.7281785571849</v>
      </c>
      <c r="S94" s="233">
        <f t="shared" ca="1" si="60"/>
        <v>4501.2961339178864</v>
      </c>
      <c r="T94" s="233">
        <f t="shared" ca="1" si="60"/>
        <v>3056.8640892785879</v>
      </c>
      <c r="U94" s="233">
        <f t="shared" ca="1" si="60"/>
        <v>1612.4320446392894</v>
      </c>
      <c r="V94" s="233">
        <f t="shared" ca="1" si="60"/>
        <v>167.99999999999091</v>
      </c>
      <c r="W94" s="233">
        <f t="shared" ca="1" si="60"/>
        <v>168</v>
      </c>
      <c r="X94" s="233">
        <f t="shared" ca="1" si="60"/>
        <v>168</v>
      </c>
      <c r="Y94" s="233">
        <f t="shared" ca="1" si="60"/>
        <v>168</v>
      </c>
      <c r="Z94" s="233">
        <f t="shared" ca="1" si="60"/>
        <v>168</v>
      </c>
      <c r="AA94" s="233">
        <f t="shared" ca="1" si="60"/>
        <v>168</v>
      </c>
      <c r="AB94" s="233">
        <f t="shared" ca="1" si="60"/>
        <v>168</v>
      </c>
      <c r="AC94" s="233">
        <f t="shared" ca="1" si="60"/>
        <v>168</v>
      </c>
      <c r="AD94" s="233">
        <f t="shared" ca="1" si="60"/>
        <v>168</v>
      </c>
      <c r="AE94" s="233">
        <f t="shared" ca="1" si="60"/>
        <v>168</v>
      </c>
      <c r="AF94" s="233">
        <f t="shared" ca="1" si="60"/>
        <v>0</v>
      </c>
    </row>
    <row r="97" spans="3:3">
      <c r="C97" s="46" t="s">
        <v>352</v>
      </c>
    </row>
    <row r="98" spans="3:3">
      <c r="C98" s="196" t="s">
        <v>353</v>
      </c>
    </row>
    <row r="99" spans="3:3">
      <c r="C99" s="196" t="s">
        <v>354</v>
      </c>
    </row>
    <row r="100" spans="3:3">
      <c r="C100" s="196" t="s">
        <v>355</v>
      </c>
    </row>
    <row r="101" spans="3:3">
      <c r="C101" s="196" t="s">
        <v>356</v>
      </c>
    </row>
    <row r="103" spans="3:3">
      <c r="C103" s="196" t="s">
        <v>357</v>
      </c>
    </row>
  </sheetData>
  <mergeCells count="52">
    <mergeCell ref="F3:G3"/>
    <mergeCell ref="H3:AF3"/>
    <mergeCell ref="F21:G21"/>
    <mergeCell ref="H21:AF21"/>
    <mergeCell ref="B36:AF36"/>
    <mergeCell ref="B3:B5"/>
    <mergeCell ref="B21:B22"/>
    <mergeCell ref="C21:C22"/>
    <mergeCell ref="D21:D22"/>
    <mergeCell ref="E3:E5"/>
    <mergeCell ref="E21:E22"/>
    <mergeCell ref="F37:G37"/>
    <mergeCell ref="H37:AF37"/>
    <mergeCell ref="B46:AF46"/>
    <mergeCell ref="F47:G47"/>
    <mergeCell ref="H47:AF47"/>
    <mergeCell ref="B37:B38"/>
    <mergeCell ref="B47:B48"/>
    <mergeCell ref="C37:C38"/>
    <mergeCell ref="C47:C48"/>
    <mergeCell ref="D37:D38"/>
    <mergeCell ref="D47:D48"/>
    <mergeCell ref="E37:E38"/>
    <mergeCell ref="E47:E48"/>
    <mergeCell ref="B56:AF56"/>
    <mergeCell ref="F57:G57"/>
    <mergeCell ref="H57:AF57"/>
    <mergeCell ref="B66:AF66"/>
    <mergeCell ref="F67:G67"/>
    <mergeCell ref="H67:AF67"/>
    <mergeCell ref="B57:B58"/>
    <mergeCell ref="B67:B68"/>
    <mergeCell ref="C57:C58"/>
    <mergeCell ref="C67:C68"/>
    <mergeCell ref="D57:D58"/>
    <mergeCell ref="D67:D68"/>
    <mergeCell ref="E57:E58"/>
    <mergeCell ref="E67:E68"/>
    <mergeCell ref="B76:AF76"/>
    <mergeCell ref="F77:G77"/>
    <mergeCell ref="H77:AF77"/>
    <mergeCell ref="B86:AF86"/>
    <mergeCell ref="F87:G87"/>
    <mergeCell ref="H87:AF87"/>
    <mergeCell ref="B77:B78"/>
    <mergeCell ref="B87:B88"/>
    <mergeCell ref="C77:C78"/>
    <mergeCell ref="C87:C88"/>
    <mergeCell ref="D77:D78"/>
    <mergeCell ref="D87:D88"/>
    <mergeCell ref="E77:E78"/>
    <mergeCell ref="E87:E88"/>
  </mergeCells>
  <phoneticPr fontId="51" type="noConversion"/>
  <conditionalFormatting sqref="B3:E4">
    <cfRule type="cellIs" dxfId="3" priority="3" operator="equal">
      <formula>0</formula>
    </cfRule>
  </conditionalFormatting>
  <conditionalFormatting sqref="C5:D5 F5:M5 B6:C9 I6:M19 B10:D10 B11:C19 B23:C34">
    <cfRule type="cellIs" dxfId="2" priority="5" operator="equal">
      <formula>0</formula>
    </cfRule>
  </conditionalFormatting>
  <conditionalFormatting sqref="E6:E19 E23:E34">
    <cfRule type="cellIs" dxfId="1" priority="2" operator="equal">
      <formula>0</formula>
    </cfRule>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F67"/>
  <sheetViews>
    <sheetView showGridLines="0" topLeftCell="B33" zoomScale="70" zoomScaleNormal="70" workbookViewId="0">
      <selection activeCell="H56" sqref="H56"/>
    </sheetView>
  </sheetViews>
  <sheetFormatPr defaultColWidth="8.81640625" defaultRowHeight="16.5"/>
  <cols>
    <col min="1" max="1" width="2.36328125" style="74" customWidth="1"/>
    <col min="2" max="2" width="6.08984375" style="74" customWidth="1"/>
    <col min="3" max="3" width="34.81640625" style="74" customWidth="1"/>
    <col min="4" max="4" width="13.1796875" style="74" customWidth="1"/>
    <col min="5" max="5" width="7.453125" style="94" customWidth="1"/>
    <col min="6" max="6" width="12.54296875" style="74" customWidth="1"/>
    <col min="7" max="10" width="12.6328125" style="74" customWidth="1"/>
    <col min="11" max="23" width="11.1796875" style="74" customWidth="1"/>
    <col min="24" max="26" width="10.81640625" style="74" customWidth="1"/>
    <col min="27" max="32" width="9.6328125" style="74" customWidth="1"/>
    <col min="33" max="16384" width="8.81640625" style="74"/>
  </cols>
  <sheetData>
    <row r="1" spans="3:8">
      <c r="C1" s="75" t="s">
        <v>358</v>
      </c>
    </row>
    <row r="2" spans="3:8">
      <c r="C2" s="193" t="s">
        <v>359</v>
      </c>
      <c r="D2" s="194">
        <f ca="1">参数输入表!H117</f>
        <v>27083.100836986847</v>
      </c>
      <c r="E2" s="195"/>
      <c r="F2" s="196"/>
    </row>
    <row r="3" spans="3:8">
      <c r="C3" s="197" t="s">
        <v>30</v>
      </c>
      <c r="D3" s="198">
        <f>参数输入表!H120</f>
        <v>2571.0688249558398</v>
      </c>
      <c r="E3" s="195"/>
    </row>
    <row r="4" spans="3:8">
      <c r="C4" s="197" t="s">
        <v>213</v>
      </c>
      <c r="D4" s="199">
        <f ca="1">D2-D15-D3</f>
        <v>24512.032012031006</v>
      </c>
      <c r="E4" s="195"/>
      <c r="F4" s="196" t="s">
        <v>360</v>
      </c>
    </row>
    <row r="5" spans="3:8">
      <c r="C5" s="197" t="s">
        <v>361</v>
      </c>
      <c r="D5" s="198" t="s">
        <v>236</v>
      </c>
      <c r="E5" s="195"/>
    </row>
    <row r="6" spans="3:8">
      <c r="C6" s="197" t="s">
        <v>362</v>
      </c>
      <c r="D6" s="200">
        <f>参数输入表!H197</f>
        <v>20</v>
      </c>
      <c r="E6" s="195"/>
    </row>
    <row r="7" spans="3:8">
      <c r="C7" s="201" t="s">
        <v>242</v>
      </c>
      <c r="D7" s="202">
        <f>参数输入表!H198</f>
        <v>0.05</v>
      </c>
      <c r="E7" s="203"/>
    </row>
    <row r="8" spans="3:8">
      <c r="C8" s="193" t="s">
        <v>363</v>
      </c>
      <c r="D8" s="204">
        <f>参数输入表!H206/(1+参数输入表!H233)</f>
        <v>0</v>
      </c>
      <c r="E8" s="203"/>
      <c r="F8" s="74" t="s">
        <v>364</v>
      </c>
    </row>
    <row r="9" spans="3:8">
      <c r="C9" s="205" t="s">
        <v>365</v>
      </c>
      <c r="D9" s="206">
        <f>参数输入表!H211/(1+参数输入表!H233)</f>
        <v>0</v>
      </c>
      <c r="E9" s="203"/>
    </row>
    <row r="10" spans="3:8">
      <c r="C10" s="205" t="s">
        <v>366</v>
      </c>
      <c r="D10" s="206">
        <f>参数输入表!H216/(1+参数输入表!H233)</f>
        <v>0</v>
      </c>
      <c r="E10" s="203"/>
    </row>
    <row r="11" spans="3:8">
      <c r="C11" s="205" t="s">
        <v>367</v>
      </c>
      <c r="D11" s="206">
        <f>参数输入表!H221/(1+参数输入表!H233)</f>
        <v>0</v>
      </c>
      <c r="E11" s="203"/>
    </row>
    <row r="12" spans="3:8">
      <c r="C12" s="205" t="s">
        <v>368</v>
      </c>
      <c r="D12" s="206">
        <f>参数输入表!H226/(1+参数输入表!H233)</f>
        <v>0</v>
      </c>
      <c r="E12" s="203"/>
    </row>
    <row r="13" spans="3:8">
      <c r="C13" s="197" t="s">
        <v>369</v>
      </c>
      <c r="D13" s="207" t="s">
        <v>236</v>
      </c>
      <c r="E13" s="203"/>
      <c r="H13" s="74">
        <f ca="1">D4*0.95/20</f>
        <v>1164.3215205714728</v>
      </c>
    </row>
    <row r="14" spans="3:8">
      <c r="C14" s="201" t="s">
        <v>237</v>
      </c>
      <c r="D14" s="200">
        <f>参数输入表!H232</f>
        <v>5</v>
      </c>
      <c r="E14" s="203"/>
    </row>
    <row r="15" spans="3:8">
      <c r="C15" s="193" t="s">
        <v>225</v>
      </c>
      <c r="D15" s="194">
        <f>参数输入表!H200</f>
        <v>0</v>
      </c>
    </row>
    <row r="16" spans="3:8">
      <c r="C16" s="197" t="s">
        <v>369</v>
      </c>
      <c r="D16" s="198" t="s">
        <v>236</v>
      </c>
      <c r="E16" s="195"/>
    </row>
    <row r="17" spans="2:32">
      <c r="C17" s="197" t="s">
        <v>237</v>
      </c>
      <c r="D17" s="200">
        <f>参数输入表!H202</f>
        <v>10</v>
      </c>
      <c r="E17" s="195"/>
    </row>
    <row r="18" spans="2:32">
      <c r="C18" s="208" t="s">
        <v>242</v>
      </c>
      <c r="D18" s="209">
        <f>参数输入表!H203</f>
        <v>0</v>
      </c>
      <c r="E18" s="203"/>
    </row>
    <row r="19" spans="2:32">
      <c r="C19" s="193" t="s">
        <v>370</v>
      </c>
      <c r="D19" s="194">
        <f>参数输入表!H245/(1+参数输入表!$H$264)</f>
        <v>0</v>
      </c>
      <c r="E19" s="203"/>
    </row>
    <row r="20" spans="2:32">
      <c r="C20" s="197" t="s">
        <v>369</v>
      </c>
      <c r="D20" s="207" t="s">
        <v>236</v>
      </c>
      <c r="E20" s="203"/>
    </row>
    <row r="21" spans="2:32">
      <c r="C21" s="201" t="s">
        <v>237</v>
      </c>
      <c r="D21" s="210">
        <f>参数输入表!H262</f>
        <v>10</v>
      </c>
      <c r="E21" s="203"/>
    </row>
    <row r="22" spans="2:32">
      <c r="C22" s="201" t="s">
        <v>242</v>
      </c>
      <c r="D22" s="211">
        <f>参数输入表!H263</f>
        <v>0.05</v>
      </c>
      <c r="E22" s="203"/>
    </row>
    <row r="23" spans="2:32">
      <c r="D23" s="212"/>
      <c r="E23" s="203"/>
    </row>
    <row r="24" spans="2:32">
      <c r="B24" s="75" t="s">
        <v>371</v>
      </c>
      <c r="D24" s="213"/>
      <c r="E24" s="195"/>
    </row>
    <row r="25" spans="2:32" ht="16.5" customHeight="1">
      <c r="B25" s="352" t="s">
        <v>14</v>
      </c>
      <c r="C25" s="352" t="s">
        <v>15</v>
      </c>
      <c r="D25" s="352" t="s">
        <v>311</v>
      </c>
      <c r="E25" s="352" t="s">
        <v>39</v>
      </c>
      <c r="F25" s="342" t="s">
        <v>43</v>
      </c>
      <c r="G25" s="342"/>
      <c r="H25" s="343" t="s">
        <v>54</v>
      </c>
      <c r="I25" s="343"/>
      <c r="J25" s="343"/>
      <c r="K25" s="343"/>
      <c r="L25" s="343"/>
      <c r="M25" s="343"/>
      <c r="N25" s="343"/>
      <c r="O25" s="343"/>
      <c r="P25" s="343"/>
      <c r="Q25" s="343"/>
      <c r="R25" s="343"/>
      <c r="S25" s="343"/>
      <c r="T25" s="343"/>
      <c r="U25" s="343"/>
      <c r="V25" s="343"/>
      <c r="W25" s="343"/>
      <c r="X25" s="343"/>
      <c r="Y25" s="343"/>
      <c r="Z25" s="343"/>
      <c r="AA25" s="343"/>
      <c r="AB25" s="343"/>
      <c r="AC25" s="343"/>
      <c r="AD25" s="343"/>
      <c r="AE25" s="343"/>
      <c r="AF25" s="343"/>
    </row>
    <row r="26" spans="2:32" ht="16.5" customHeight="1">
      <c r="B26" s="353"/>
      <c r="C26" s="353"/>
      <c r="D26" s="353"/>
      <c r="E26" s="353"/>
      <c r="F26" s="51">
        <v>1</v>
      </c>
      <c r="G26" s="51">
        <v>2</v>
      </c>
      <c r="H26" s="52">
        <v>1</v>
      </c>
      <c r="I26" s="52">
        <v>2</v>
      </c>
      <c r="J26" s="52">
        <v>3</v>
      </c>
      <c r="K26" s="52">
        <v>4</v>
      </c>
      <c r="L26" s="52">
        <v>5</v>
      </c>
      <c r="M26" s="52">
        <v>6</v>
      </c>
      <c r="N26" s="52">
        <v>7</v>
      </c>
      <c r="O26" s="52">
        <v>8</v>
      </c>
      <c r="P26" s="52">
        <v>9</v>
      </c>
      <c r="Q26" s="52">
        <v>10</v>
      </c>
      <c r="R26" s="52">
        <v>11</v>
      </c>
      <c r="S26" s="52">
        <v>12</v>
      </c>
      <c r="T26" s="52">
        <v>13</v>
      </c>
      <c r="U26" s="52">
        <v>14</v>
      </c>
      <c r="V26" s="52">
        <v>15</v>
      </c>
      <c r="W26" s="52">
        <v>16</v>
      </c>
      <c r="X26" s="52">
        <v>17</v>
      </c>
      <c r="Y26" s="52">
        <v>18</v>
      </c>
      <c r="Z26" s="52">
        <v>19</v>
      </c>
      <c r="AA26" s="52">
        <v>20</v>
      </c>
      <c r="AB26" s="52">
        <v>21</v>
      </c>
      <c r="AC26" s="52">
        <v>22</v>
      </c>
      <c r="AD26" s="52">
        <v>23</v>
      </c>
      <c r="AE26" s="52">
        <v>24</v>
      </c>
      <c r="AF26" s="52">
        <v>25</v>
      </c>
    </row>
    <row r="27" spans="2:32" ht="33" customHeight="1">
      <c r="B27" s="348">
        <v>1</v>
      </c>
      <c r="C27" s="88" t="s">
        <v>372</v>
      </c>
      <c r="D27" s="214"/>
      <c r="E27" s="89" t="s">
        <v>111</v>
      </c>
      <c r="F27" s="215">
        <f ca="1">D28</f>
        <v>23286.430411429461</v>
      </c>
      <c r="G27" s="216">
        <f>IF('表1-资金筹措及还本付息表'!G5=0,0,'表1-资金筹措及还本付息表'!F6+'表1-资金筹措及还本付息表'!G6-参数输入表!H120-参数输入表!H200)</f>
        <v>0</v>
      </c>
      <c r="H27" s="215">
        <f ca="1">IF('表1-资金筹措及还本付息表'!G5=0,F27-H28,G27-H28)</f>
        <v>22122.108890857988</v>
      </c>
      <c r="I27" s="215">
        <f ca="1">H27-I28</f>
        <v>20957.787370286514</v>
      </c>
      <c r="J27" s="215">
        <f t="shared" ref="J27:Y27" ca="1" si="0">I27-J28</f>
        <v>19793.465849715041</v>
      </c>
      <c r="K27" s="215">
        <f t="shared" ca="1" si="0"/>
        <v>18629.144329143568</v>
      </c>
      <c r="L27" s="215">
        <f t="shared" ca="1" si="0"/>
        <v>17464.822808572095</v>
      </c>
      <c r="M27" s="215">
        <f t="shared" ca="1" si="0"/>
        <v>16300.501288000622</v>
      </c>
      <c r="N27" s="215">
        <f t="shared" ca="1" si="0"/>
        <v>15136.179767429148</v>
      </c>
      <c r="O27" s="215">
        <f t="shared" ca="1" si="0"/>
        <v>13971.858246857675</v>
      </c>
      <c r="P27" s="215">
        <f t="shared" ca="1" si="0"/>
        <v>12807.536726286202</v>
      </c>
      <c r="Q27" s="215">
        <f t="shared" ca="1" si="0"/>
        <v>11643.215205714729</v>
      </c>
      <c r="R27" s="215">
        <f t="shared" ca="1" si="0"/>
        <v>10478.893685143255</v>
      </c>
      <c r="S27" s="215">
        <f t="shared" ca="1" si="0"/>
        <v>9314.5721645717822</v>
      </c>
      <c r="T27" s="215">
        <f t="shared" ca="1" si="0"/>
        <v>8150.250644000309</v>
      </c>
      <c r="U27" s="215">
        <f t="shared" ca="1" si="0"/>
        <v>6985.9291234288357</v>
      </c>
      <c r="V27" s="215">
        <f t="shared" ca="1" si="0"/>
        <v>5821.6076028573625</v>
      </c>
      <c r="W27" s="215">
        <f t="shared" ca="1" si="0"/>
        <v>4657.2860822858893</v>
      </c>
      <c r="X27" s="215">
        <f t="shared" ca="1" si="0"/>
        <v>3492.9645617144165</v>
      </c>
      <c r="Y27" s="215">
        <f t="shared" ca="1" si="0"/>
        <v>2328.6430411429437</v>
      </c>
      <c r="Z27" s="215">
        <f t="shared" ref="Z27:AA27" ca="1" si="1">Y27-Z28</f>
        <v>1164.321520571471</v>
      </c>
      <c r="AA27" s="215">
        <f t="shared" ca="1" si="1"/>
        <v>-1.8189894035458565E-12</v>
      </c>
      <c r="AB27" s="215">
        <f t="shared" ref="AB27" ca="1" si="2">AA27-AB28</f>
        <v>-1.8189894035458565E-12</v>
      </c>
      <c r="AC27" s="215">
        <f t="shared" ref="AC27" ca="1" si="3">AB27-AC28</f>
        <v>-1.8189894035458565E-12</v>
      </c>
      <c r="AD27" s="215">
        <f t="shared" ref="AD27" ca="1" si="4">AC27-AD28</f>
        <v>-1.8189894035458565E-12</v>
      </c>
      <c r="AE27" s="215">
        <f t="shared" ref="AE27" ca="1" si="5">AD27-AE28</f>
        <v>-1.8189894035458565E-12</v>
      </c>
      <c r="AF27" s="215">
        <f t="shared" ref="AF27" ca="1" si="6">AE27-AF28</f>
        <v>-1.8189894035458565E-12</v>
      </c>
    </row>
    <row r="28" spans="2:32" ht="33" customHeight="1">
      <c r="B28" s="349"/>
      <c r="C28" s="88" t="s">
        <v>373</v>
      </c>
      <c r="D28" s="215">
        <f ca="1">SUM(F28:AF28)</f>
        <v>23286.430411429461</v>
      </c>
      <c r="E28" s="89" t="s">
        <v>111</v>
      </c>
      <c r="F28" s="215"/>
      <c r="G28" s="215"/>
      <c r="H28" s="217">
        <f ca="1">IF(H26&lt;=$D$6,$D$4*(1-$D$7)/($D$6),0)</f>
        <v>1164.3215205714728</v>
      </c>
      <c r="I28" s="217">
        <f t="shared" ref="I28:AF28" ca="1" si="7">IF(I26&lt;=$D$6,$D$4*(1-$D$7)/($D$6),0)</f>
        <v>1164.3215205714728</v>
      </c>
      <c r="J28" s="217">
        <f t="shared" ca="1" si="7"/>
        <v>1164.3215205714728</v>
      </c>
      <c r="K28" s="217">
        <f t="shared" ca="1" si="7"/>
        <v>1164.3215205714728</v>
      </c>
      <c r="L28" s="217">
        <f t="shared" ca="1" si="7"/>
        <v>1164.3215205714728</v>
      </c>
      <c r="M28" s="217">
        <f t="shared" ca="1" si="7"/>
        <v>1164.3215205714728</v>
      </c>
      <c r="N28" s="217">
        <f t="shared" ca="1" si="7"/>
        <v>1164.3215205714728</v>
      </c>
      <c r="O28" s="217">
        <f t="shared" ca="1" si="7"/>
        <v>1164.3215205714728</v>
      </c>
      <c r="P28" s="217">
        <f t="shared" ca="1" si="7"/>
        <v>1164.3215205714728</v>
      </c>
      <c r="Q28" s="217">
        <f t="shared" ca="1" si="7"/>
        <v>1164.3215205714728</v>
      </c>
      <c r="R28" s="217">
        <f t="shared" ca="1" si="7"/>
        <v>1164.3215205714728</v>
      </c>
      <c r="S28" s="217">
        <f t="shared" ca="1" si="7"/>
        <v>1164.3215205714728</v>
      </c>
      <c r="T28" s="217">
        <f t="shared" ca="1" si="7"/>
        <v>1164.3215205714728</v>
      </c>
      <c r="U28" s="217">
        <f t="shared" ca="1" si="7"/>
        <v>1164.3215205714728</v>
      </c>
      <c r="V28" s="217">
        <f t="shared" ca="1" si="7"/>
        <v>1164.3215205714728</v>
      </c>
      <c r="W28" s="217">
        <f t="shared" ca="1" si="7"/>
        <v>1164.3215205714728</v>
      </c>
      <c r="X28" s="217">
        <f t="shared" ca="1" si="7"/>
        <v>1164.3215205714728</v>
      </c>
      <c r="Y28" s="217">
        <f t="shared" ca="1" si="7"/>
        <v>1164.3215205714728</v>
      </c>
      <c r="Z28" s="217">
        <f t="shared" ca="1" si="7"/>
        <v>1164.3215205714728</v>
      </c>
      <c r="AA28" s="217">
        <f t="shared" ca="1" si="7"/>
        <v>1164.3215205714728</v>
      </c>
      <c r="AB28" s="217">
        <f t="shared" si="7"/>
        <v>0</v>
      </c>
      <c r="AC28" s="217">
        <f t="shared" si="7"/>
        <v>0</v>
      </c>
      <c r="AD28" s="217">
        <f t="shared" si="7"/>
        <v>0</v>
      </c>
      <c r="AE28" s="217">
        <f t="shared" si="7"/>
        <v>0</v>
      </c>
      <c r="AF28" s="217">
        <f t="shared" si="7"/>
        <v>0</v>
      </c>
    </row>
    <row r="29" spans="2:32" ht="25" customHeight="1">
      <c r="B29" s="348">
        <v>2</v>
      </c>
      <c r="C29" s="88" t="s">
        <v>374</v>
      </c>
      <c r="D29" s="215"/>
      <c r="E29" s="89" t="s">
        <v>111</v>
      </c>
      <c r="F29" s="215"/>
      <c r="G29" s="218"/>
      <c r="H29" s="215">
        <v>0</v>
      </c>
      <c r="I29" s="215">
        <f>H32</f>
        <v>0</v>
      </c>
      <c r="J29" s="215">
        <f t="shared" ref="J29:AF29" si="8">I32</f>
        <v>0</v>
      </c>
      <c r="K29" s="215">
        <f t="shared" si="8"/>
        <v>0</v>
      </c>
      <c r="L29" s="215">
        <f t="shared" si="8"/>
        <v>0</v>
      </c>
      <c r="M29" s="215">
        <f t="shared" si="8"/>
        <v>0</v>
      </c>
      <c r="N29" s="215">
        <f t="shared" si="8"/>
        <v>0</v>
      </c>
      <c r="O29" s="215">
        <f t="shared" si="8"/>
        <v>0</v>
      </c>
      <c r="P29" s="215">
        <f t="shared" si="8"/>
        <v>0</v>
      </c>
      <c r="Q29" s="215">
        <f t="shared" si="8"/>
        <v>0</v>
      </c>
      <c r="R29" s="215">
        <f t="shared" si="8"/>
        <v>0</v>
      </c>
      <c r="S29" s="215">
        <f t="shared" si="8"/>
        <v>0</v>
      </c>
      <c r="T29" s="215">
        <f t="shared" si="8"/>
        <v>0</v>
      </c>
      <c r="U29" s="215">
        <f t="shared" si="8"/>
        <v>0</v>
      </c>
      <c r="V29" s="215">
        <f t="shared" si="8"/>
        <v>0</v>
      </c>
      <c r="W29" s="215">
        <f t="shared" si="8"/>
        <v>0</v>
      </c>
      <c r="X29" s="215">
        <f t="shared" si="8"/>
        <v>0</v>
      </c>
      <c r="Y29" s="215">
        <f t="shared" si="8"/>
        <v>0</v>
      </c>
      <c r="Z29" s="215">
        <f t="shared" si="8"/>
        <v>0</v>
      </c>
      <c r="AA29" s="215">
        <f t="shared" si="8"/>
        <v>0</v>
      </c>
      <c r="AB29" s="215">
        <f t="shared" si="8"/>
        <v>0</v>
      </c>
      <c r="AC29" s="215">
        <f t="shared" si="8"/>
        <v>0</v>
      </c>
      <c r="AD29" s="215">
        <f t="shared" si="8"/>
        <v>0</v>
      </c>
      <c r="AE29" s="215">
        <f t="shared" si="8"/>
        <v>0</v>
      </c>
      <c r="AF29" s="215">
        <f t="shared" si="8"/>
        <v>0</v>
      </c>
    </row>
    <row r="30" spans="2:32" ht="25" customHeight="1">
      <c r="B30" s="350"/>
      <c r="C30" s="88" t="s">
        <v>375</v>
      </c>
      <c r="D30" s="215"/>
      <c r="E30" s="89"/>
      <c r="F30" s="215"/>
      <c r="G30" s="218"/>
      <c r="H30" s="215">
        <f>参数输入表!H206/(1+参数输入表!H233)</f>
        <v>0</v>
      </c>
      <c r="I30" s="215">
        <f>参数输入表!H207/(1+参数输入表!H233)</f>
        <v>0</v>
      </c>
      <c r="J30" s="215">
        <f>参数输入表!H208/(1+参数输入表!H233)</f>
        <v>0</v>
      </c>
      <c r="K30" s="215">
        <f>参数输入表!H209/(1+参数输入表!H233)</f>
        <v>0</v>
      </c>
      <c r="L30" s="215">
        <f>参数输入表!H210/(1+参数输入表!H233)</f>
        <v>0</v>
      </c>
      <c r="M30" s="215">
        <f>参数输入表!H211/(1+参数输入表!H233)</f>
        <v>0</v>
      </c>
      <c r="N30" s="215">
        <f>参数输入表!H212/(1+参数输入表!H233)</f>
        <v>0</v>
      </c>
      <c r="O30" s="215">
        <f>参数输入表!H213/(1+参数输入表!H233)</f>
        <v>0</v>
      </c>
      <c r="P30" s="215">
        <f>参数输入表!H214/(1+参数输入表!H233)</f>
        <v>0</v>
      </c>
      <c r="Q30" s="215">
        <f>参数输入表!H215/(1+参数输入表!H233)</f>
        <v>0</v>
      </c>
      <c r="R30" s="215">
        <f>参数输入表!H216/(1+参数输入表!H233)</f>
        <v>0</v>
      </c>
      <c r="S30" s="215">
        <f>参数输入表!H217/(1+参数输入表!H233)</f>
        <v>0</v>
      </c>
      <c r="T30" s="215">
        <f>参数输入表!H218/(1+参数输入表!H233)</f>
        <v>0</v>
      </c>
      <c r="U30" s="215">
        <f>参数输入表!H219/(1+参数输入表!H233)</f>
        <v>0</v>
      </c>
      <c r="V30" s="215">
        <f>参数输入表!H220/(1+参数输入表!H233)</f>
        <v>0</v>
      </c>
      <c r="W30" s="215">
        <f>参数输入表!H221/(1+参数输入表!H233)</f>
        <v>0</v>
      </c>
      <c r="X30" s="215">
        <f>参数输入表!H222/(1+参数输入表!H233)</f>
        <v>0</v>
      </c>
      <c r="Y30" s="215">
        <f>参数输入表!H223/(1+参数输入表!H233)</f>
        <v>0</v>
      </c>
      <c r="Z30" s="215">
        <f>参数输入表!H224/(1+参数输入表!H233)</f>
        <v>0</v>
      </c>
      <c r="AA30" s="215">
        <f>参数输入表!H225/(1+参数输入表!H233)</f>
        <v>0</v>
      </c>
      <c r="AB30" s="215">
        <f>参数输入表!H226/(1+参数输入表!H233)</f>
        <v>0</v>
      </c>
      <c r="AC30" s="215">
        <f>参数输入表!H227/(1+参数输入表!H233)</f>
        <v>0</v>
      </c>
      <c r="AD30" s="215">
        <f>参数输入表!H228/(1+参数输入表!H233)</f>
        <v>0</v>
      </c>
      <c r="AE30" s="215">
        <f>参数输入表!H229/(1+参数输入表!H233)</f>
        <v>0</v>
      </c>
      <c r="AF30" s="215">
        <f>参数输入表!H230/(1+参数输入表!H233)</f>
        <v>0</v>
      </c>
    </row>
    <row r="31" spans="2:32" ht="25" customHeight="1">
      <c r="B31" s="350"/>
      <c r="C31" s="88" t="s">
        <v>376</v>
      </c>
      <c r="D31" s="215">
        <f>SUM(F31:AF31)</f>
        <v>0</v>
      </c>
      <c r="E31" s="89" t="s">
        <v>111</v>
      </c>
      <c r="F31" s="215"/>
      <c r="G31" s="218"/>
      <c r="H31" s="215">
        <f>H30/$D$14</f>
        <v>0</v>
      </c>
      <c r="I31" s="215">
        <f>H31</f>
        <v>0</v>
      </c>
      <c r="J31" s="215">
        <f t="shared" ref="J31:Y31" si="9">I31</f>
        <v>0</v>
      </c>
      <c r="K31" s="215">
        <f t="shared" si="9"/>
        <v>0</v>
      </c>
      <c r="L31" s="215">
        <f t="shared" si="9"/>
        <v>0</v>
      </c>
      <c r="M31" s="215">
        <f>M30/$D$14</f>
        <v>0</v>
      </c>
      <c r="N31" s="215">
        <f t="shared" si="9"/>
        <v>0</v>
      </c>
      <c r="O31" s="215">
        <f t="shared" si="9"/>
        <v>0</v>
      </c>
      <c r="P31" s="215">
        <f t="shared" si="9"/>
        <v>0</v>
      </c>
      <c r="Q31" s="215">
        <f t="shared" si="9"/>
        <v>0</v>
      </c>
      <c r="R31" s="215">
        <f>R30/$D$14</f>
        <v>0</v>
      </c>
      <c r="S31" s="215">
        <f t="shared" si="9"/>
        <v>0</v>
      </c>
      <c r="T31" s="215">
        <f t="shared" si="9"/>
        <v>0</v>
      </c>
      <c r="U31" s="215">
        <f t="shared" si="9"/>
        <v>0</v>
      </c>
      <c r="V31" s="215">
        <f t="shared" si="9"/>
        <v>0</v>
      </c>
      <c r="W31" s="215">
        <f>W30/$D$14</f>
        <v>0</v>
      </c>
      <c r="X31" s="215">
        <f t="shared" si="9"/>
        <v>0</v>
      </c>
      <c r="Y31" s="215">
        <f t="shared" si="9"/>
        <v>0</v>
      </c>
      <c r="Z31" s="215">
        <f t="shared" ref="Z31" si="10">Y31</f>
        <v>0</v>
      </c>
      <c r="AA31" s="215">
        <f t="shared" ref="AA31" si="11">Z31</f>
        <v>0</v>
      </c>
      <c r="AB31" s="215">
        <f>AB30/$D$14</f>
        <v>0</v>
      </c>
      <c r="AC31" s="215">
        <f>AB31</f>
        <v>0</v>
      </c>
      <c r="AD31" s="215">
        <f t="shared" ref="AD31:AF31" si="12">AC31</f>
        <v>0</v>
      </c>
      <c r="AE31" s="215">
        <f t="shared" si="12"/>
        <v>0</v>
      </c>
      <c r="AF31" s="215">
        <f t="shared" si="12"/>
        <v>0</v>
      </c>
    </row>
    <row r="32" spans="2:32" ht="25" customHeight="1">
      <c r="B32" s="349"/>
      <c r="C32" s="88" t="s">
        <v>377</v>
      </c>
      <c r="D32" s="215"/>
      <c r="E32" s="89"/>
      <c r="F32" s="215"/>
      <c r="G32" s="218"/>
      <c r="H32" s="215">
        <f>H29+H30-H31</f>
        <v>0</v>
      </c>
      <c r="I32" s="215">
        <f t="shared" ref="I32:AF32" si="13">I29+I30-I31</f>
        <v>0</v>
      </c>
      <c r="J32" s="215">
        <f t="shared" si="13"/>
        <v>0</v>
      </c>
      <c r="K32" s="215">
        <f t="shared" si="13"/>
        <v>0</v>
      </c>
      <c r="L32" s="215">
        <f t="shared" si="13"/>
        <v>0</v>
      </c>
      <c r="M32" s="215">
        <f t="shared" si="13"/>
        <v>0</v>
      </c>
      <c r="N32" s="215">
        <f t="shared" si="13"/>
        <v>0</v>
      </c>
      <c r="O32" s="215">
        <f t="shared" si="13"/>
        <v>0</v>
      </c>
      <c r="P32" s="215">
        <f t="shared" si="13"/>
        <v>0</v>
      </c>
      <c r="Q32" s="215">
        <f t="shared" si="13"/>
        <v>0</v>
      </c>
      <c r="R32" s="215">
        <f t="shared" si="13"/>
        <v>0</v>
      </c>
      <c r="S32" s="215">
        <f t="shared" si="13"/>
        <v>0</v>
      </c>
      <c r="T32" s="215">
        <f t="shared" si="13"/>
        <v>0</v>
      </c>
      <c r="U32" s="215">
        <f t="shared" si="13"/>
        <v>0</v>
      </c>
      <c r="V32" s="215">
        <f t="shared" si="13"/>
        <v>0</v>
      </c>
      <c r="W32" s="215">
        <f t="shared" si="13"/>
        <v>0</v>
      </c>
      <c r="X32" s="215">
        <f t="shared" si="13"/>
        <v>0</v>
      </c>
      <c r="Y32" s="215">
        <f t="shared" si="13"/>
        <v>0</v>
      </c>
      <c r="Z32" s="215">
        <f t="shared" si="13"/>
        <v>0</v>
      </c>
      <c r="AA32" s="215">
        <f t="shared" si="13"/>
        <v>0</v>
      </c>
      <c r="AB32" s="215">
        <f t="shared" si="13"/>
        <v>0</v>
      </c>
      <c r="AC32" s="215">
        <f t="shared" si="13"/>
        <v>0</v>
      </c>
      <c r="AD32" s="215">
        <f t="shared" si="13"/>
        <v>0</v>
      </c>
      <c r="AE32" s="215">
        <f t="shared" si="13"/>
        <v>0</v>
      </c>
      <c r="AF32" s="215">
        <f t="shared" si="13"/>
        <v>0</v>
      </c>
    </row>
    <row r="33" spans="2:32" ht="25" customHeight="1">
      <c r="B33" s="348">
        <v>3</v>
      </c>
      <c r="C33" s="88" t="s">
        <v>378</v>
      </c>
      <c r="D33" s="88"/>
      <c r="E33" s="89" t="s">
        <v>111</v>
      </c>
      <c r="F33" s="215">
        <f>参数输入表!$H$200*参数输入表!$H$7</f>
        <v>0</v>
      </c>
      <c r="G33" s="215">
        <f>参数输入表!$H$200*参数输入表!$H$7+参数输入表!$H$200*参数输入表!$H$8</f>
        <v>0</v>
      </c>
      <c r="H33" s="219">
        <f>G33-H34</f>
        <v>0</v>
      </c>
      <c r="I33" s="219">
        <f t="shared" ref="I33:Y33" si="14">H33-I34</f>
        <v>0</v>
      </c>
      <c r="J33" s="219">
        <f t="shared" si="14"/>
        <v>0</v>
      </c>
      <c r="K33" s="219">
        <f t="shared" si="14"/>
        <v>0</v>
      </c>
      <c r="L33" s="219">
        <f t="shared" si="14"/>
        <v>0</v>
      </c>
      <c r="M33" s="219">
        <f t="shared" si="14"/>
        <v>0</v>
      </c>
      <c r="N33" s="219">
        <f t="shared" si="14"/>
        <v>0</v>
      </c>
      <c r="O33" s="219">
        <f t="shared" si="14"/>
        <v>0</v>
      </c>
      <c r="P33" s="219">
        <f t="shared" si="14"/>
        <v>0</v>
      </c>
      <c r="Q33" s="219">
        <f t="shared" si="14"/>
        <v>0</v>
      </c>
      <c r="R33" s="219">
        <f t="shared" si="14"/>
        <v>0</v>
      </c>
      <c r="S33" s="219">
        <f t="shared" si="14"/>
        <v>0</v>
      </c>
      <c r="T33" s="219">
        <f t="shared" si="14"/>
        <v>0</v>
      </c>
      <c r="U33" s="219">
        <f t="shared" si="14"/>
        <v>0</v>
      </c>
      <c r="V33" s="219">
        <f t="shared" si="14"/>
        <v>0</v>
      </c>
      <c r="W33" s="219">
        <f t="shared" si="14"/>
        <v>0</v>
      </c>
      <c r="X33" s="219">
        <f t="shared" si="14"/>
        <v>0</v>
      </c>
      <c r="Y33" s="219">
        <f t="shared" si="14"/>
        <v>0</v>
      </c>
      <c r="Z33" s="219">
        <f t="shared" ref="Z33" si="15">Y33-Z34</f>
        <v>0</v>
      </c>
      <c r="AA33" s="219">
        <f t="shared" ref="AA33" si="16">Z33-AA34</f>
        <v>0</v>
      </c>
      <c r="AB33" s="219">
        <f t="shared" ref="AB33" si="17">AA33-AB34</f>
        <v>0</v>
      </c>
      <c r="AC33" s="219">
        <f t="shared" ref="AC33" si="18">AB33-AC34</f>
        <v>0</v>
      </c>
      <c r="AD33" s="219">
        <f t="shared" ref="AD33" si="19">AC33-AD34</f>
        <v>0</v>
      </c>
      <c r="AE33" s="219">
        <f t="shared" ref="AE33" si="20">AD33-AE34</f>
        <v>0</v>
      </c>
      <c r="AF33" s="219">
        <f t="shared" ref="AF33" si="21">AE33-AF34</f>
        <v>0</v>
      </c>
    </row>
    <row r="34" spans="2:32" ht="25" customHeight="1">
      <c r="B34" s="349"/>
      <c r="C34" s="88" t="s">
        <v>379</v>
      </c>
      <c r="D34" s="215">
        <f>SUM(F34:AF34)</f>
        <v>0</v>
      </c>
      <c r="E34" s="89" t="s">
        <v>111</v>
      </c>
      <c r="F34" s="215"/>
      <c r="G34" s="215"/>
      <c r="H34" s="215">
        <f>IF(H26&lt;=$D$17,G33*(1-$D$18)/($D$17-H26+1),0)</f>
        <v>0</v>
      </c>
      <c r="I34" s="215">
        <f t="shared" ref="I34:AF34" si="22">IF(I26&lt;=$D$17,H33*(1-$D$18)/($D$17-I26+1),0)</f>
        <v>0</v>
      </c>
      <c r="J34" s="215">
        <f t="shared" si="22"/>
        <v>0</v>
      </c>
      <c r="K34" s="215">
        <f t="shared" si="22"/>
        <v>0</v>
      </c>
      <c r="L34" s="215">
        <f t="shared" si="22"/>
        <v>0</v>
      </c>
      <c r="M34" s="215">
        <f t="shared" si="22"/>
        <v>0</v>
      </c>
      <c r="N34" s="215">
        <f t="shared" si="22"/>
        <v>0</v>
      </c>
      <c r="O34" s="215">
        <f t="shared" si="22"/>
        <v>0</v>
      </c>
      <c r="P34" s="215">
        <f t="shared" si="22"/>
        <v>0</v>
      </c>
      <c r="Q34" s="215">
        <f t="shared" si="22"/>
        <v>0</v>
      </c>
      <c r="R34" s="215">
        <f t="shared" si="22"/>
        <v>0</v>
      </c>
      <c r="S34" s="215">
        <f t="shared" si="22"/>
        <v>0</v>
      </c>
      <c r="T34" s="215">
        <f t="shared" si="22"/>
        <v>0</v>
      </c>
      <c r="U34" s="215">
        <f t="shared" si="22"/>
        <v>0</v>
      </c>
      <c r="V34" s="215">
        <f t="shared" si="22"/>
        <v>0</v>
      </c>
      <c r="W34" s="215">
        <f t="shared" si="22"/>
        <v>0</v>
      </c>
      <c r="X34" s="215">
        <f t="shared" si="22"/>
        <v>0</v>
      </c>
      <c r="Y34" s="215">
        <f t="shared" si="22"/>
        <v>0</v>
      </c>
      <c r="Z34" s="215">
        <f t="shared" si="22"/>
        <v>0</v>
      </c>
      <c r="AA34" s="215">
        <f t="shared" si="22"/>
        <v>0</v>
      </c>
      <c r="AB34" s="215">
        <f t="shared" si="22"/>
        <v>0</v>
      </c>
      <c r="AC34" s="215">
        <f t="shared" si="22"/>
        <v>0</v>
      </c>
      <c r="AD34" s="215">
        <f t="shared" si="22"/>
        <v>0</v>
      </c>
      <c r="AE34" s="215">
        <f t="shared" si="22"/>
        <v>0</v>
      </c>
      <c r="AF34" s="215">
        <f t="shared" si="22"/>
        <v>0</v>
      </c>
    </row>
    <row r="35" spans="2:32" ht="23" customHeight="1">
      <c r="B35" s="351">
        <v>4</v>
      </c>
      <c r="C35" s="88" t="s">
        <v>380</v>
      </c>
      <c r="D35" s="215"/>
      <c r="E35" s="89" t="s">
        <v>111</v>
      </c>
      <c r="F35" s="215"/>
      <c r="G35" s="215"/>
      <c r="H35" s="215">
        <v>0</v>
      </c>
      <c r="I35" s="215">
        <f>H38</f>
        <v>0</v>
      </c>
      <c r="J35" s="215">
        <f t="shared" ref="J35:AF35" si="23">I38</f>
        <v>0</v>
      </c>
      <c r="K35" s="215">
        <f t="shared" si="23"/>
        <v>0</v>
      </c>
      <c r="L35" s="215">
        <f t="shared" si="23"/>
        <v>0</v>
      </c>
      <c r="M35" s="215">
        <f t="shared" si="23"/>
        <v>0</v>
      </c>
      <c r="N35" s="215">
        <f t="shared" si="23"/>
        <v>0</v>
      </c>
      <c r="O35" s="215">
        <f t="shared" si="23"/>
        <v>0</v>
      </c>
      <c r="P35" s="215">
        <f t="shared" si="23"/>
        <v>0</v>
      </c>
      <c r="Q35" s="215">
        <f t="shared" si="23"/>
        <v>0</v>
      </c>
      <c r="R35" s="215">
        <f t="shared" si="23"/>
        <v>0</v>
      </c>
      <c r="S35" s="215">
        <f t="shared" si="23"/>
        <v>384.42477876106199</v>
      </c>
      <c r="T35" s="215">
        <f t="shared" si="23"/>
        <v>344.07079646017701</v>
      </c>
      <c r="U35" s="215">
        <f t="shared" si="23"/>
        <v>303.71681415929203</v>
      </c>
      <c r="V35" s="215">
        <f t="shared" si="23"/>
        <v>263.36283185840699</v>
      </c>
      <c r="W35" s="215">
        <f t="shared" si="23"/>
        <v>223.00884955752201</v>
      </c>
      <c r="X35" s="215">
        <f t="shared" si="23"/>
        <v>182.654867256637</v>
      </c>
      <c r="Y35" s="215">
        <f t="shared" si="23"/>
        <v>142.300884955752</v>
      </c>
      <c r="Z35" s="215">
        <f t="shared" si="23"/>
        <v>101.946902654867</v>
      </c>
      <c r="AA35" s="215">
        <f t="shared" si="23"/>
        <v>61.592920353982201</v>
      </c>
      <c r="AB35" s="215">
        <f t="shared" si="23"/>
        <v>21.238938053097201</v>
      </c>
      <c r="AC35" s="215">
        <f t="shared" si="23"/>
        <v>21.238938053097201</v>
      </c>
      <c r="AD35" s="215">
        <f t="shared" si="23"/>
        <v>21.238938053097201</v>
      </c>
      <c r="AE35" s="215">
        <f t="shared" si="23"/>
        <v>21.238938053097201</v>
      </c>
      <c r="AF35" s="215">
        <f t="shared" si="23"/>
        <v>21.238938053097201</v>
      </c>
    </row>
    <row r="36" spans="2:32" ht="23" customHeight="1">
      <c r="B36" s="351"/>
      <c r="C36" s="88" t="s">
        <v>381</v>
      </c>
      <c r="D36" s="215"/>
      <c r="E36" s="89"/>
      <c r="F36" s="215"/>
      <c r="G36" s="215"/>
      <c r="H36" s="215">
        <f>参数输入表!H236/(1+参数输入表!$H$264)</f>
        <v>0</v>
      </c>
      <c r="I36" s="215">
        <f>参数输入表!H237/(1+参数输入表!$H$264)</f>
        <v>0</v>
      </c>
      <c r="J36" s="215">
        <f>参数输入表!H238/(1+参数输入表!$H$264)</f>
        <v>0</v>
      </c>
      <c r="K36" s="215">
        <f>参数输入表!H239/(1+参数输入表!$H$264)</f>
        <v>0</v>
      </c>
      <c r="L36" s="215">
        <f>参数输入表!H240/(1+参数输入表!$H$264)</f>
        <v>0</v>
      </c>
      <c r="M36" s="215">
        <f>参数输入表!H241/(1+参数输入表!$H$264)</f>
        <v>0</v>
      </c>
      <c r="N36" s="215">
        <f>参数输入表!H242/(1+参数输入表!$H$264)</f>
        <v>0</v>
      </c>
      <c r="O36" s="215">
        <f>参数输入表!H243/(1+参数输入表!$H$264)</f>
        <v>0</v>
      </c>
      <c r="P36" s="215">
        <f>参数输入表!H244/(1+参数输入表!$H$264)</f>
        <v>0</v>
      </c>
      <c r="Q36" s="215">
        <f>参数输入表!H245/(1+参数输入表!$H$264)</f>
        <v>0</v>
      </c>
      <c r="R36" s="215">
        <f>参数输入表!H246/(1+参数输入表!$H$264)</f>
        <v>424.77876106194702</v>
      </c>
      <c r="S36" s="215">
        <f>参数输入表!H247/(1+参数输入表!$H$264)</f>
        <v>0</v>
      </c>
      <c r="T36" s="215">
        <f>参数输入表!H248/(1+参数输入表!$H$264)</f>
        <v>0</v>
      </c>
      <c r="U36" s="215">
        <f>参数输入表!H249/(1+参数输入表!$H$264)</f>
        <v>0</v>
      </c>
      <c r="V36" s="215">
        <f>参数输入表!H250/(1+参数输入表!$H$264)</f>
        <v>0</v>
      </c>
      <c r="W36" s="215">
        <f>参数输入表!H251/(1+参数输入表!$H$264)</f>
        <v>0</v>
      </c>
      <c r="X36" s="215">
        <f>参数输入表!H252/(1+参数输入表!$H$264)</f>
        <v>0</v>
      </c>
      <c r="Y36" s="215">
        <f>参数输入表!H253/(1+参数输入表!$H$264)</f>
        <v>0</v>
      </c>
      <c r="Z36" s="215">
        <f>参数输入表!H254/(1+参数输入表!$H$264)</f>
        <v>0</v>
      </c>
      <c r="AA36" s="215">
        <f>参数输入表!H255/(1+参数输入表!$H$264)</f>
        <v>0</v>
      </c>
      <c r="AB36" s="215">
        <f>参数输入表!H256/(1+参数输入表!$H$264)</f>
        <v>0</v>
      </c>
      <c r="AC36" s="215">
        <f>参数输入表!H257/(1+参数输入表!$H$264)</f>
        <v>0</v>
      </c>
      <c r="AD36" s="215">
        <f>参数输入表!H258/(1+参数输入表!$H$264)</f>
        <v>0</v>
      </c>
      <c r="AE36" s="215">
        <f>参数输入表!H259/(1+参数输入表!$H$264)</f>
        <v>0</v>
      </c>
      <c r="AF36" s="215">
        <f>参数输入表!H260/(1+参数输入表!$H$264)</f>
        <v>0</v>
      </c>
    </row>
    <row r="37" spans="2:32" ht="23" customHeight="1">
      <c r="B37" s="351"/>
      <c r="C37" s="88" t="s">
        <v>382</v>
      </c>
      <c r="D37" s="215">
        <f>SUM(F37:AF37)</f>
        <v>403.53982300885002</v>
      </c>
      <c r="E37" s="89" t="s">
        <v>111</v>
      </c>
      <c r="F37" s="215"/>
      <c r="G37" s="215"/>
      <c r="H37" s="215">
        <v>0</v>
      </c>
      <c r="I37" s="215">
        <v>0</v>
      </c>
      <c r="J37" s="215">
        <v>0</v>
      </c>
      <c r="K37" s="215">
        <v>0</v>
      </c>
      <c r="L37" s="215">
        <v>0</v>
      </c>
      <c r="M37" s="215">
        <v>0</v>
      </c>
      <c r="N37" s="215">
        <v>0</v>
      </c>
      <c r="O37" s="215">
        <v>0</v>
      </c>
      <c r="P37" s="215">
        <v>0</v>
      </c>
      <c r="Q37" s="215">
        <f>Q36/D21</f>
        <v>0</v>
      </c>
      <c r="R37" s="215">
        <f>IF(参数输入表!$H$262&gt;(R26-$R$26),$R$36*(1-参数输入表!$H$263)/参数输入表!$H$262,0)</f>
        <v>40.353982300885001</v>
      </c>
      <c r="S37" s="215">
        <f>IF(参数输入表!$H$262&gt;(S26-$R$26),$R$36*(1-参数输入表!$H$263)/参数输入表!$H$262,0)</f>
        <v>40.353982300885001</v>
      </c>
      <c r="T37" s="215">
        <f>IF(参数输入表!$H$262&gt;(T26-$R$26),$R$36*(1-参数输入表!$H$263)/参数输入表!$H$262,0)</f>
        <v>40.353982300885001</v>
      </c>
      <c r="U37" s="215">
        <f>IF(参数输入表!$H$262&gt;(U26-$R$26),$R$36*(1-参数输入表!$H$263)/参数输入表!$H$262,0)</f>
        <v>40.353982300885001</v>
      </c>
      <c r="V37" s="215">
        <f>IF(参数输入表!$H$262&gt;(V26-$R$26),$R$36*(1-参数输入表!$H$263)/参数输入表!$H$262,0)</f>
        <v>40.353982300885001</v>
      </c>
      <c r="W37" s="215">
        <f>IF(参数输入表!$H$262&gt;(W26-$R$26),$R$36*(1-参数输入表!$H$263)/参数输入表!$H$262,0)</f>
        <v>40.353982300885001</v>
      </c>
      <c r="X37" s="215">
        <f>IF(参数输入表!$H$262&gt;(X26-$R$26),$R$36*(1-参数输入表!$H$263)/参数输入表!$H$262,0)</f>
        <v>40.353982300885001</v>
      </c>
      <c r="Y37" s="215">
        <f>IF(参数输入表!$H$262&gt;(Y26-$R$26),$R$36*(1-参数输入表!$H$263)/参数输入表!$H$262,0)</f>
        <v>40.353982300885001</v>
      </c>
      <c r="Z37" s="215">
        <f>IF(参数输入表!$H$262&gt;(Z26-$R$26),$R$36*(1-参数输入表!$H$263)/参数输入表!$H$262,0)</f>
        <v>40.353982300885001</v>
      </c>
      <c r="AA37" s="215">
        <f>IF(参数输入表!$H$262&gt;(AA26-$R$26),$R$36*(1-参数输入表!$H$263)/参数输入表!$H$262,0)</f>
        <v>40.353982300885001</v>
      </c>
      <c r="AB37" s="215">
        <f>IF(参数输入表!$H$262&gt;(AB26-$R$26),$R$36*(1-参数输入表!$H$263)/参数输入表!$H$262,0)</f>
        <v>0</v>
      </c>
      <c r="AC37" s="215">
        <f>IF(参数输入表!$H$262&gt;=(AC26-$R$26),$R$36*(1-参数输入表!$H$263)/参数输入表!$H$262,0)</f>
        <v>0</v>
      </c>
      <c r="AD37" s="215">
        <f>IF(参数输入表!$H$262&gt;=(AD26-$R$26),$R$36*(1-参数输入表!$H$263)/参数输入表!$H$262,0)</f>
        <v>0</v>
      </c>
      <c r="AE37" s="215">
        <f>IF(参数输入表!$H$262&gt;=(AE26-$R$26),$R$36*(1-参数输入表!$H$263)/参数输入表!$H$262,0)</f>
        <v>0</v>
      </c>
      <c r="AF37" s="215">
        <f>IF(参数输入表!$H$262&gt;=(AF26-$R$26),$R$36*(1-参数输入表!$H$263)/参数输入表!$H$262,0)</f>
        <v>0</v>
      </c>
    </row>
    <row r="38" spans="2:32" ht="23" customHeight="1">
      <c r="B38" s="351"/>
      <c r="C38" s="88" t="s">
        <v>383</v>
      </c>
      <c r="D38" s="215"/>
      <c r="E38" s="89"/>
      <c r="F38" s="215"/>
      <c r="G38" s="215"/>
      <c r="H38" s="215">
        <f>H35+H36-H37</f>
        <v>0</v>
      </c>
      <c r="I38" s="215">
        <f t="shared" ref="I38:AF38" si="24">I35+I36-I37</f>
        <v>0</v>
      </c>
      <c r="J38" s="215">
        <f t="shared" si="24"/>
        <v>0</v>
      </c>
      <c r="K38" s="215">
        <f t="shared" si="24"/>
        <v>0</v>
      </c>
      <c r="L38" s="215">
        <f t="shared" si="24"/>
        <v>0</v>
      </c>
      <c r="M38" s="215">
        <f t="shared" si="24"/>
        <v>0</v>
      </c>
      <c r="N38" s="215">
        <f t="shared" si="24"/>
        <v>0</v>
      </c>
      <c r="O38" s="215">
        <f t="shared" si="24"/>
        <v>0</v>
      </c>
      <c r="P38" s="215">
        <f t="shared" si="24"/>
        <v>0</v>
      </c>
      <c r="Q38" s="215">
        <f t="shared" si="24"/>
        <v>0</v>
      </c>
      <c r="R38" s="215">
        <f t="shared" si="24"/>
        <v>384.42477876106199</v>
      </c>
      <c r="S38" s="215">
        <f t="shared" si="24"/>
        <v>344.07079646017701</v>
      </c>
      <c r="T38" s="215">
        <f t="shared" si="24"/>
        <v>303.71681415929203</v>
      </c>
      <c r="U38" s="215">
        <f t="shared" si="24"/>
        <v>263.36283185840699</v>
      </c>
      <c r="V38" s="215">
        <f t="shared" si="24"/>
        <v>223.00884955752201</v>
      </c>
      <c r="W38" s="215">
        <f t="shared" si="24"/>
        <v>182.654867256637</v>
      </c>
      <c r="X38" s="215">
        <f t="shared" si="24"/>
        <v>142.300884955752</v>
      </c>
      <c r="Y38" s="215">
        <f t="shared" si="24"/>
        <v>101.946902654867</v>
      </c>
      <c r="Z38" s="215">
        <f t="shared" si="24"/>
        <v>61.592920353982201</v>
      </c>
      <c r="AA38" s="215">
        <f t="shared" si="24"/>
        <v>21.238938053097201</v>
      </c>
      <c r="AB38" s="215">
        <f t="shared" si="24"/>
        <v>21.238938053097201</v>
      </c>
      <c r="AC38" s="215">
        <f t="shared" si="24"/>
        <v>21.238938053097201</v>
      </c>
      <c r="AD38" s="215">
        <f t="shared" si="24"/>
        <v>21.238938053097201</v>
      </c>
      <c r="AE38" s="215">
        <f t="shared" si="24"/>
        <v>21.238938053097201</v>
      </c>
      <c r="AF38" s="215">
        <f t="shared" si="24"/>
        <v>21.238938053097201</v>
      </c>
    </row>
    <row r="39" spans="2:32" ht="30" customHeight="1">
      <c r="B39" s="220">
        <v>5</v>
      </c>
      <c r="C39" s="221" t="s">
        <v>384</v>
      </c>
      <c r="D39" s="222">
        <f ca="1">SUM(F39:AF39)</f>
        <v>23689.9702344383</v>
      </c>
      <c r="E39" s="89" t="s">
        <v>111</v>
      </c>
      <c r="F39" s="223">
        <f>F28+F31+F34+F37</f>
        <v>0</v>
      </c>
      <c r="G39" s="223">
        <f t="shared" ref="G39:AF39" si="25">G28+G31+G34+G37</f>
        <v>0</v>
      </c>
      <c r="H39" s="223">
        <f t="shared" ca="1" si="25"/>
        <v>1164.3215205714728</v>
      </c>
      <c r="I39" s="223">
        <f t="shared" ca="1" si="25"/>
        <v>1164.3215205714728</v>
      </c>
      <c r="J39" s="223">
        <f t="shared" ca="1" si="25"/>
        <v>1164.3215205714728</v>
      </c>
      <c r="K39" s="223">
        <f t="shared" ca="1" si="25"/>
        <v>1164.3215205714728</v>
      </c>
      <c r="L39" s="223">
        <f t="shared" ca="1" si="25"/>
        <v>1164.3215205714728</v>
      </c>
      <c r="M39" s="223">
        <f t="shared" ca="1" si="25"/>
        <v>1164.3215205714728</v>
      </c>
      <c r="N39" s="223">
        <f t="shared" ca="1" si="25"/>
        <v>1164.3215205714728</v>
      </c>
      <c r="O39" s="223">
        <f t="shared" ca="1" si="25"/>
        <v>1164.3215205714728</v>
      </c>
      <c r="P39" s="223">
        <f t="shared" ca="1" si="25"/>
        <v>1164.3215205714728</v>
      </c>
      <c r="Q39" s="223">
        <f t="shared" ca="1" si="25"/>
        <v>1164.3215205714728</v>
      </c>
      <c r="R39" s="223">
        <f t="shared" ca="1" si="25"/>
        <v>1204.6755028723578</v>
      </c>
      <c r="S39" s="223">
        <f t="shared" ca="1" si="25"/>
        <v>1204.6755028723578</v>
      </c>
      <c r="T39" s="223">
        <f t="shared" ca="1" si="25"/>
        <v>1204.6755028723578</v>
      </c>
      <c r="U39" s="223">
        <f t="shared" ca="1" si="25"/>
        <v>1204.6755028723578</v>
      </c>
      <c r="V39" s="223">
        <f t="shared" ca="1" si="25"/>
        <v>1204.6755028723578</v>
      </c>
      <c r="W39" s="223">
        <f t="shared" ca="1" si="25"/>
        <v>1204.6755028723578</v>
      </c>
      <c r="X39" s="223">
        <f t="shared" ca="1" si="25"/>
        <v>1204.6755028723578</v>
      </c>
      <c r="Y39" s="223">
        <f t="shared" ca="1" si="25"/>
        <v>1204.6755028723578</v>
      </c>
      <c r="Z39" s="223">
        <f t="shared" ca="1" si="25"/>
        <v>1204.6755028723578</v>
      </c>
      <c r="AA39" s="223">
        <f t="shared" ca="1" si="25"/>
        <v>1204.6755028723578</v>
      </c>
      <c r="AB39" s="223">
        <f t="shared" si="25"/>
        <v>0</v>
      </c>
      <c r="AC39" s="223">
        <f t="shared" si="25"/>
        <v>0</v>
      </c>
      <c r="AD39" s="223">
        <f t="shared" si="25"/>
        <v>0</v>
      </c>
      <c r="AE39" s="223">
        <f t="shared" si="25"/>
        <v>0</v>
      </c>
      <c r="AF39" s="223">
        <f t="shared" si="25"/>
        <v>0</v>
      </c>
    </row>
    <row r="42" spans="2:32">
      <c r="C42" s="196" t="s">
        <v>385</v>
      </c>
    </row>
    <row r="43" spans="2:32">
      <c r="C43" s="196"/>
    </row>
    <row r="44" spans="2:32">
      <c r="C44" s="75" t="s">
        <v>358</v>
      </c>
    </row>
    <row r="45" spans="2:32">
      <c r="C45" s="193" t="s">
        <v>114</v>
      </c>
      <c r="D45" s="194">
        <f ca="1">D2</f>
        <v>27083.100836986847</v>
      </c>
    </row>
    <row r="46" spans="2:32">
      <c r="C46" s="197" t="s">
        <v>30</v>
      </c>
      <c r="D46" s="198">
        <f>参数输入表!H120</f>
        <v>2571.0688249558398</v>
      </c>
    </row>
    <row r="47" spans="2:32">
      <c r="C47" s="197" t="s">
        <v>213</v>
      </c>
      <c r="D47" s="199">
        <f ca="1">D45-D46-参数输入表!H200</f>
        <v>24512.032012031006</v>
      </c>
      <c r="F47" s="196" t="s">
        <v>386</v>
      </c>
    </row>
    <row r="48" spans="2:32">
      <c r="C48" s="197" t="s">
        <v>361</v>
      </c>
      <c r="D48" s="198" t="s">
        <v>236</v>
      </c>
      <c r="F48" s="196" t="s">
        <v>387</v>
      </c>
    </row>
    <row r="49" spans="2:32">
      <c r="C49" s="197" t="s">
        <v>362</v>
      </c>
      <c r="D49" s="200">
        <f>参数输入表!H197</f>
        <v>20</v>
      </c>
    </row>
    <row r="50" spans="2:32">
      <c r="C50" s="201" t="s">
        <v>242</v>
      </c>
      <c r="D50" s="202">
        <f>参数输入表!H198</f>
        <v>0.05</v>
      </c>
    </row>
    <row r="52" spans="2:32">
      <c r="B52" s="75" t="s">
        <v>388</v>
      </c>
      <c r="D52" s="213"/>
      <c r="E52" s="195"/>
    </row>
    <row r="53" spans="2:32">
      <c r="B53" s="352" t="s">
        <v>14</v>
      </c>
      <c r="C53" s="352" t="s">
        <v>15</v>
      </c>
      <c r="D53" s="352" t="s">
        <v>311</v>
      </c>
      <c r="E53" s="352" t="s">
        <v>39</v>
      </c>
      <c r="F53" s="342" t="s">
        <v>43</v>
      </c>
      <c r="G53" s="342"/>
      <c r="H53" s="343" t="s">
        <v>54</v>
      </c>
      <c r="I53" s="343"/>
      <c r="J53" s="343"/>
      <c r="K53" s="343"/>
      <c r="L53" s="343"/>
      <c r="M53" s="343"/>
      <c r="N53" s="343"/>
      <c r="O53" s="343"/>
      <c r="P53" s="343"/>
      <c r="Q53" s="343"/>
      <c r="R53" s="343"/>
      <c r="S53" s="343"/>
      <c r="T53" s="343"/>
      <c r="U53" s="343"/>
      <c r="V53" s="343"/>
      <c r="W53" s="343"/>
      <c r="X53" s="343"/>
      <c r="Y53" s="343"/>
      <c r="Z53" s="343"/>
      <c r="AA53" s="343"/>
      <c r="AB53" s="343"/>
      <c r="AC53" s="343"/>
      <c r="AD53" s="343"/>
      <c r="AE53" s="343"/>
      <c r="AF53" s="343"/>
    </row>
    <row r="54" spans="2:32">
      <c r="B54" s="353"/>
      <c r="C54" s="353"/>
      <c r="D54" s="353"/>
      <c r="E54" s="353"/>
      <c r="F54" s="51">
        <v>1</v>
      </c>
      <c r="G54" s="51">
        <v>2</v>
      </c>
      <c r="H54" s="52">
        <v>1</v>
      </c>
      <c r="I54" s="52">
        <v>2</v>
      </c>
      <c r="J54" s="52">
        <v>3</v>
      </c>
      <c r="K54" s="52">
        <v>4</v>
      </c>
      <c r="L54" s="52">
        <v>5</v>
      </c>
      <c r="M54" s="52">
        <v>6</v>
      </c>
      <c r="N54" s="52">
        <v>7</v>
      </c>
      <c r="O54" s="52">
        <v>8</v>
      </c>
      <c r="P54" s="52">
        <v>9</v>
      </c>
      <c r="Q54" s="52">
        <v>10</v>
      </c>
      <c r="R54" s="52">
        <v>11</v>
      </c>
      <c r="S54" s="52">
        <v>12</v>
      </c>
      <c r="T54" s="52">
        <v>13</v>
      </c>
      <c r="U54" s="52">
        <v>14</v>
      </c>
      <c r="V54" s="52">
        <v>15</v>
      </c>
      <c r="W54" s="52">
        <v>16</v>
      </c>
      <c r="X54" s="52">
        <v>17</v>
      </c>
      <c r="Y54" s="52">
        <v>18</v>
      </c>
      <c r="Z54" s="52">
        <v>19</v>
      </c>
      <c r="AA54" s="52">
        <v>20</v>
      </c>
      <c r="AB54" s="52">
        <v>21</v>
      </c>
      <c r="AC54" s="52">
        <v>22</v>
      </c>
      <c r="AD54" s="52">
        <v>23</v>
      </c>
      <c r="AE54" s="52">
        <v>24</v>
      </c>
      <c r="AF54" s="52">
        <v>25</v>
      </c>
    </row>
    <row r="55" spans="2:32" ht="24" customHeight="1">
      <c r="B55" s="348">
        <v>1</v>
      </c>
      <c r="C55" s="88" t="s">
        <v>389</v>
      </c>
      <c r="D55" s="214"/>
      <c r="E55" s="89" t="s">
        <v>111</v>
      </c>
      <c r="F55" s="215">
        <f ca="1">F27</f>
        <v>23286.430411429461</v>
      </c>
      <c r="G55" s="216">
        <f>IF('表1-资金筹措及还本付息表'!G5=0,0,'表1-资金筹措及还本付息表'!F7+'表1-资金筹措及还本付息表'!G7-参数输入表!H120-参数输入表!H200)</f>
        <v>0</v>
      </c>
      <c r="H55" s="215">
        <f ca="1">IF('表1-资金筹措及还本付息表'!G5=0,F55-H56,G55-H56)</f>
        <v>22122.108890857988</v>
      </c>
      <c r="I55" s="215">
        <f t="shared" ref="I55" ca="1" si="26">H55-I56</f>
        <v>20957.787370286514</v>
      </c>
      <c r="J55" s="215">
        <f t="shared" ref="J55" ca="1" si="27">I55-J56</f>
        <v>19793.465849715041</v>
      </c>
      <c r="K55" s="215">
        <f t="shared" ref="K55" ca="1" si="28">J55-K56</f>
        <v>18629.144329143568</v>
      </c>
      <c r="L55" s="215">
        <f t="shared" ref="L55" ca="1" si="29">K55-L56</f>
        <v>17464.822808572095</v>
      </c>
      <c r="M55" s="215">
        <f t="shared" ref="M55" ca="1" si="30">L55-M56</f>
        <v>16300.501288000622</v>
      </c>
      <c r="N55" s="215">
        <f t="shared" ref="N55" ca="1" si="31">M55-N56</f>
        <v>15136.179767429148</v>
      </c>
      <c r="O55" s="215">
        <f t="shared" ref="O55" ca="1" si="32">N55-O56</f>
        <v>13971.858246857675</v>
      </c>
      <c r="P55" s="215">
        <f t="shared" ref="P55" ca="1" si="33">O55-P56</f>
        <v>12807.536726286202</v>
      </c>
      <c r="Q55" s="215">
        <f t="shared" ref="Q55" ca="1" si="34">P55-Q56</f>
        <v>11643.215205714729</v>
      </c>
      <c r="R55" s="215">
        <f t="shared" ref="R55" ca="1" si="35">Q55-R56</f>
        <v>10478.893685143255</v>
      </c>
      <c r="S55" s="215">
        <f t="shared" ref="S55" ca="1" si="36">R55-S56</f>
        <v>9314.5721645717822</v>
      </c>
      <c r="T55" s="215">
        <f t="shared" ref="T55" ca="1" si="37">S55-T56</f>
        <v>8150.250644000309</v>
      </c>
      <c r="U55" s="215">
        <f t="shared" ref="U55" ca="1" si="38">T55-U56</f>
        <v>6985.9291234288357</v>
      </c>
      <c r="V55" s="215">
        <f t="shared" ref="V55" ca="1" si="39">U55-V56</f>
        <v>5821.6076028573625</v>
      </c>
      <c r="W55" s="215">
        <f t="shared" ref="W55" ca="1" si="40">V55-W56</f>
        <v>4657.2860822858893</v>
      </c>
      <c r="X55" s="215">
        <f t="shared" ref="X55" ca="1" si="41">W55-X56</f>
        <v>3492.9645617144165</v>
      </c>
      <c r="Y55" s="215">
        <f t="shared" ref="Y55" ca="1" si="42">X55-Y56</f>
        <v>2328.6430411429437</v>
      </c>
      <c r="Z55" s="215">
        <f t="shared" ref="Z55" ca="1" si="43">Y55-Z56</f>
        <v>1164.321520571471</v>
      </c>
      <c r="AA55" s="215">
        <f t="shared" ref="AA55" ca="1" si="44">Z55-AA56</f>
        <v>-1.8189894035458565E-12</v>
      </c>
      <c r="AB55" s="215">
        <f t="shared" ref="AB55" ca="1" si="45">AA55-AB56</f>
        <v>-1.8189894035458565E-12</v>
      </c>
      <c r="AC55" s="215">
        <f t="shared" ref="AC55" ca="1" si="46">AB55-AC56</f>
        <v>-1.8189894035458565E-12</v>
      </c>
      <c r="AD55" s="215">
        <f t="shared" ref="AD55" ca="1" si="47">AC55-AD56</f>
        <v>-1.8189894035458565E-12</v>
      </c>
      <c r="AE55" s="215">
        <f t="shared" ref="AE55" ca="1" si="48">AD55-AE56</f>
        <v>-1.8189894035458565E-12</v>
      </c>
      <c r="AF55" s="215">
        <f t="shared" ref="AF55" ca="1" si="49">AE55-AF56</f>
        <v>-1.8189894035458565E-12</v>
      </c>
    </row>
    <row r="56" spans="2:32" ht="24" customHeight="1">
      <c r="B56" s="349"/>
      <c r="C56" s="88" t="s">
        <v>373</v>
      </c>
      <c r="D56" s="215">
        <f ca="1">SUM(F56:AF56)</f>
        <v>23286.430411429461</v>
      </c>
      <c r="E56" s="89" t="s">
        <v>111</v>
      </c>
      <c r="F56" s="215"/>
      <c r="G56" s="215"/>
      <c r="H56" s="217">
        <f ca="1">IF(H54&lt;=$D$49,$D$47*(1-$D$50)/($D$49-H54+1),0)</f>
        <v>1164.3215205714728</v>
      </c>
      <c r="I56" s="217">
        <f ca="1">I28</f>
        <v>1164.3215205714728</v>
      </c>
      <c r="J56" s="217">
        <f t="shared" ref="J56:AF56" ca="1" si="50">J28</f>
        <v>1164.3215205714728</v>
      </c>
      <c r="K56" s="217">
        <f t="shared" ca="1" si="50"/>
        <v>1164.3215205714728</v>
      </c>
      <c r="L56" s="217">
        <f t="shared" ca="1" si="50"/>
        <v>1164.3215205714728</v>
      </c>
      <c r="M56" s="217">
        <f t="shared" ca="1" si="50"/>
        <v>1164.3215205714728</v>
      </c>
      <c r="N56" s="217">
        <f t="shared" ca="1" si="50"/>
        <v>1164.3215205714728</v>
      </c>
      <c r="O56" s="217">
        <f t="shared" ca="1" si="50"/>
        <v>1164.3215205714728</v>
      </c>
      <c r="P56" s="217">
        <f t="shared" ca="1" si="50"/>
        <v>1164.3215205714728</v>
      </c>
      <c r="Q56" s="217">
        <f t="shared" ca="1" si="50"/>
        <v>1164.3215205714728</v>
      </c>
      <c r="R56" s="217">
        <f t="shared" ca="1" si="50"/>
        <v>1164.3215205714728</v>
      </c>
      <c r="S56" s="217">
        <f t="shared" ca="1" si="50"/>
        <v>1164.3215205714728</v>
      </c>
      <c r="T56" s="217">
        <f t="shared" ca="1" si="50"/>
        <v>1164.3215205714728</v>
      </c>
      <c r="U56" s="217">
        <f t="shared" ca="1" si="50"/>
        <v>1164.3215205714728</v>
      </c>
      <c r="V56" s="217">
        <f t="shared" ca="1" si="50"/>
        <v>1164.3215205714728</v>
      </c>
      <c r="W56" s="217">
        <f t="shared" ca="1" si="50"/>
        <v>1164.3215205714728</v>
      </c>
      <c r="X56" s="217">
        <f t="shared" ca="1" si="50"/>
        <v>1164.3215205714728</v>
      </c>
      <c r="Y56" s="217">
        <f t="shared" ca="1" si="50"/>
        <v>1164.3215205714728</v>
      </c>
      <c r="Z56" s="217">
        <f t="shared" ca="1" si="50"/>
        <v>1164.3215205714728</v>
      </c>
      <c r="AA56" s="217">
        <f t="shared" ca="1" si="50"/>
        <v>1164.3215205714728</v>
      </c>
      <c r="AB56" s="217">
        <f t="shared" si="50"/>
        <v>0</v>
      </c>
      <c r="AC56" s="217">
        <f t="shared" si="50"/>
        <v>0</v>
      </c>
      <c r="AD56" s="217">
        <f t="shared" si="50"/>
        <v>0</v>
      </c>
      <c r="AE56" s="217">
        <f t="shared" si="50"/>
        <v>0</v>
      </c>
      <c r="AF56" s="217">
        <f t="shared" si="50"/>
        <v>0</v>
      </c>
    </row>
    <row r="57" spans="2:32" ht="24" customHeight="1">
      <c r="B57" s="348">
        <v>2</v>
      </c>
      <c r="C57" s="88" t="s">
        <v>374</v>
      </c>
      <c r="D57" s="215"/>
      <c r="E57" s="89" t="s">
        <v>111</v>
      </c>
      <c r="F57" s="215"/>
      <c r="G57" s="218"/>
      <c r="H57" s="215">
        <v>0</v>
      </c>
      <c r="I57" s="215">
        <f>H60</f>
        <v>0</v>
      </c>
      <c r="J57" s="215">
        <f t="shared" ref="J57" si="51">I60</f>
        <v>0</v>
      </c>
      <c r="K57" s="215">
        <f t="shared" ref="K57" si="52">J60</f>
        <v>0</v>
      </c>
      <c r="L57" s="215">
        <f t="shared" ref="L57" si="53">K60</f>
        <v>0</v>
      </c>
      <c r="M57" s="215">
        <f t="shared" ref="M57" si="54">L60</f>
        <v>0</v>
      </c>
      <c r="N57" s="215">
        <f t="shared" ref="N57" si="55">M60</f>
        <v>0</v>
      </c>
      <c r="O57" s="215">
        <f t="shared" ref="O57" si="56">N60</f>
        <v>0</v>
      </c>
      <c r="P57" s="215">
        <f t="shared" ref="P57" si="57">O60</f>
        <v>0</v>
      </c>
      <c r="Q57" s="215">
        <f t="shared" ref="Q57" si="58">P60</f>
        <v>0</v>
      </c>
      <c r="R57" s="215">
        <f t="shared" ref="R57" si="59">Q60</f>
        <v>0</v>
      </c>
      <c r="S57" s="215">
        <f t="shared" ref="S57" si="60">R60</f>
        <v>0</v>
      </c>
      <c r="T57" s="215">
        <f t="shared" ref="T57" si="61">S60</f>
        <v>0</v>
      </c>
      <c r="U57" s="215">
        <f t="shared" ref="U57" si="62">T60</f>
        <v>0</v>
      </c>
      <c r="V57" s="215">
        <f t="shared" ref="V57" si="63">U60</f>
        <v>0</v>
      </c>
      <c r="W57" s="215">
        <f t="shared" ref="W57" si="64">V60</f>
        <v>0</v>
      </c>
      <c r="X57" s="215">
        <f t="shared" ref="X57" si="65">W60</f>
        <v>0</v>
      </c>
      <c r="Y57" s="215">
        <f t="shared" ref="Y57" si="66">X60</f>
        <v>0</v>
      </c>
      <c r="Z57" s="215">
        <f t="shared" ref="Z57" si="67">Y60</f>
        <v>0</v>
      </c>
      <c r="AA57" s="215">
        <f t="shared" ref="AA57" si="68">Z60</f>
        <v>0</v>
      </c>
      <c r="AB57" s="215">
        <f t="shared" ref="AB57" si="69">AA60</f>
        <v>0</v>
      </c>
      <c r="AC57" s="215">
        <f t="shared" ref="AC57" si="70">AB60</f>
        <v>0</v>
      </c>
      <c r="AD57" s="215">
        <f t="shared" ref="AD57" si="71">AC60</f>
        <v>0</v>
      </c>
      <c r="AE57" s="215">
        <f t="shared" ref="AE57" si="72">AD60</f>
        <v>0</v>
      </c>
      <c r="AF57" s="215">
        <f t="shared" ref="AF57" si="73">AE60</f>
        <v>0</v>
      </c>
    </row>
    <row r="58" spans="2:32" ht="24" customHeight="1">
      <c r="B58" s="350"/>
      <c r="C58" s="88" t="s">
        <v>375</v>
      </c>
      <c r="D58" s="215"/>
      <c r="E58" s="89"/>
      <c r="F58" s="215"/>
      <c r="G58" s="218"/>
      <c r="H58" s="215">
        <f>H30</f>
        <v>0</v>
      </c>
      <c r="I58" s="215">
        <f t="shared" ref="I58:AF58" si="74">I30</f>
        <v>0</v>
      </c>
      <c r="J58" s="215">
        <f t="shared" si="74"/>
        <v>0</v>
      </c>
      <c r="K58" s="215">
        <f t="shared" si="74"/>
        <v>0</v>
      </c>
      <c r="L58" s="215">
        <f t="shared" si="74"/>
        <v>0</v>
      </c>
      <c r="M58" s="215">
        <f t="shared" si="74"/>
        <v>0</v>
      </c>
      <c r="N58" s="215">
        <f t="shared" si="74"/>
        <v>0</v>
      </c>
      <c r="O58" s="215">
        <f t="shared" si="74"/>
        <v>0</v>
      </c>
      <c r="P58" s="215">
        <f t="shared" si="74"/>
        <v>0</v>
      </c>
      <c r="Q58" s="215">
        <f t="shared" si="74"/>
        <v>0</v>
      </c>
      <c r="R58" s="215">
        <f t="shared" si="74"/>
        <v>0</v>
      </c>
      <c r="S58" s="215">
        <f t="shared" si="74"/>
        <v>0</v>
      </c>
      <c r="T58" s="215">
        <f t="shared" si="74"/>
        <v>0</v>
      </c>
      <c r="U58" s="215">
        <f t="shared" si="74"/>
        <v>0</v>
      </c>
      <c r="V58" s="215">
        <f t="shared" si="74"/>
        <v>0</v>
      </c>
      <c r="W58" s="215">
        <f t="shared" si="74"/>
        <v>0</v>
      </c>
      <c r="X58" s="215">
        <f t="shared" si="74"/>
        <v>0</v>
      </c>
      <c r="Y58" s="215">
        <f t="shared" si="74"/>
        <v>0</v>
      </c>
      <c r="Z58" s="215">
        <f t="shared" si="74"/>
        <v>0</v>
      </c>
      <c r="AA58" s="215">
        <f t="shared" si="74"/>
        <v>0</v>
      </c>
      <c r="AB58" s="215">
        <f t="shared" si="74"/>
        <v>0</v>
      </c>
      <c r="AC58" s="215">
        <f t="shared" si="74"/>
        <v>0</v>
      </c>
      <c r="AD58" s="215">
        <f t="shared" si="74"/>
        <v>0</v>
      </c>
      <c r="AE58" s="215">
        <f t="shared" si="74"/>
        <v>0</v>
      </c>
      <c r="AF58" s="215">
        <f t="shared" si="74"/>
        <v>0</v>
      </c>
    </row>
    <row r="59" spans="2:32" ht="24" customHeight="1">
      <c r="B59" s="350"/>
      <c r="C59" s="88" t="s">
        <v>376</v>
      </c>
      <c r="D59" s="215">
        <f>SUM(F59:AF59)</f>
        <v>0</v>
      </c>
      <c r="E59" s="89" t="s">
        <v>111</v>
      </c>
      <c r="F59" s="215"/>
      <c r="G59" s="218"/>
      <c r="H59" s="215">
        <f>H58/$D$14</f>
        <v>0</v>
      </c>
      <c r="I59" s="215">
        <f>H59</f>
        <v>0</v>
      </c>
      <c r="J59" s="215">
        <f t="shared" ref="J59" si="75">I59</f>
        <v>0</v>
      </c>
      <c r="K59" s="215">
        <f t="shared" ref="K59" si="76">J59</f>
        <v>0</v>
      </c>
      <c r="L59" s="215">
        <f t="shared" ref="L59" si="77">K59</f>
        <v>0</v>
      </c>
      <c r="M59" s="215">
        <f>M58/$D$14</f>
        <v>0</v>
      </c>
      <c r="N59" s="215">
        <f t="shared" ref="N59" si="78">M59</f>
        <v>0</v>
      </c>
      <c r="O59" s="215">
        <f t="shared" ref="O59" si="79">N59</f>
        <v>0</v>
      </c>
      <c r="P59" s="215">
        <f t="shared" ref="P59" si="80">O59</f>
        <v>0</v>
      </c>
      <c r="Q59" s="215">
        <f t="shared" ref="Q59" si="81">P59</f>
        <v>0</v>
      </c>
      <c r="R59" s="215">
        <f>R58/$D$14</f>
        <v>0</v>
      </c>
      <c r="S59" s="215">
        <f t="shared" ref="S59" si="82">R59</f>
        <v>0</v>
      </c>
      <c r="T59" s="215">
        <f t="shared" ref="T59" si="83">S59</f>
        <v>0</v>
      </c>
      <c r="U59" s="215">
        <f t="shared" ref="U59" si="84">T59</f>
        <v>0</v>
      </c>
      <c r="V59" s="215">
        <f t="shared" ref="V59" si="85">U59</f>
        <v>0</v>
      </c>
      <c r="W59" s="215">
        <f>W58/$D$14</f>
        <v>0</v>
      </c>
      <c r="X59" s="215">
        <f t="shared" ref="X59" si="86">W59</f>
        <v>0</v>
      </c>
      <c r="Y59" s="215">
        <f t="shared" ref="Y59" si="87">X59</f>
        <v>0</v>
      </c>
      <c r="Z59" s="215">
        <f t="shared" ref="Z59" si="88">Y59</f>
        <v>0</v>
      </c>
      <c r="AA59" s="215">
        <f t="shared" ref="AA59" si="89">Z59</f>
        <v>0</v>
      </c>
      <c r="AB59" s="215">
        <f>AB58/$D$14</f>
        <v>0</v>
      </c>
      <c r="AC59" s="215">
        <f>AB59</f>
        <v>0</v>
      </c>
      <c r="AD59" s="215">
        <f t="shared" ref="AD59" si="90">AC59</f>
        <v>0</v>
      </c>
      <c r="AE59" s="215">
        <f t="shared" ref="AE59:AF59" si="91">AD59</f>
        <v>0</v>
      </c>
      <c r="AF59" s="215">
        <f t="shared" si="91"/>
        <v>0</v>
      </c>
    </row>
    <row r="60" spans="2:32" ht="24" customHeight="1">
      <c r="B60" s="349"/>
      <c r="C60" s="88" t="s">
        <v>377</v>
      </c>
      <c r="D60" s="215"/>
      <c r="E60" s="89"/>
      <c r="F60" s="215"/>
      <c r="G60" s="218"/>
      <c r="H60" s="215">
        <f>H57+H58-H59</f>
        <v>0</v>
      </c>
      <c r="I60" s="215">
        <f t="shared" ref="I60:AF60" si="92">I57+I58-I59</f>
        <v>0</v>
      </c>
      <c r="J60" s="215">
        <f t="shared" si="92"/>
        <v>0</v>
      </c>
      <c r="K60" s="215">
        <f t="shared" si="92"/>
        <v>0</v>
      </c>
      <c r="L60" s="215">
        <f t="shared" si="92"/>
        <v>0</v>
      </c>
      <c r="M60" s="215">
        <f t="shared" si="92"/>
        <v>0</v>
      </c>
      <c r="N60" s="215">
        <f t="shared" si="92"/>
        <v>0</v>
      </c>
      <c r="O60" s="215">
        <f t="shared" si="92"/>
        <v>0</v>
      </c>
      <c r="P60" s="215">
        <f t="shared" si="92"/>
        <v>0</v>
      </c>
      <c r="Q60" s="215">
        <f t="shared" si="92"/>
        <v>0</v>
      </c>
      <c r="R60" s="215">
        <f t="shared" si="92"/>
        <v>0</v>
      </c>
      <c r="S60" s="215">
        <f t="shared" si="92"/>
        <v>0</v>
      </c>
      <c r="T60" s="215">
        <f t="shared" si="92"/>
        <v>0</v>
      </c>
      <c r="U60" s="215">
        <f t="shared" si="92"/>
        <v>0</v>
      </c>
      <c r="V60" s="215">
        <f t="shared" si="92"/>
        <v>0</v>
      </c>
      <c r="W60" s="215">
        <f t="shared" si="92"/>
        <v>0</v>
      </c>
      <c r="X60" s="215">
        <f t="shared" si="92"/>
        <v>0</v>
      </c>
      <c r="Y60" s="215">
        <f t="shared" si="92"/>
        <v>0</v>
      </c>
      <c r="Z60" s="215">
        <f t="shared" si="92"/>
        <v>0</v>
      </c>
      <c r="AA60" s="215">
        <f t="shared" si="92"/>
        <v>0</v>
      </c>
      <c r="AB60" s="215">
        <f t="shared" si="92"/>
        <v>0</v>
      </c>
      <c r="AC60" s="215">
        <f t="shared" si="92"/>
        <v>0</v>
      </c>
      <c r="AD60" s="215">
        <f t="shared" si="92"/>
        <v>0</v>
      </c>
      <c r="AE60" s="215">
        <f t="shared" si="92"/>
        <v>0</v>
      </c>
      <c r="AF60" s="215">
        <f t="shared" si="92"/>
        <v>0</v>
      </c>
    </row>
    <row r="61" spans="2:32" ht="24" customHeight="1">
      <c r="B61" s="348">
        <v>3</v>
      </c>
      <c r="C61" s="88" t="s">
        <v>378</v>
      </c>
      <c r="D61" s="88"/>
      <c r="E61" s="89" t="s">
        <v>111</v>
      </c>
      <c r="F61" s="215">
        <f>参数输入表!$H$200*参数输入表!$H$7</f>
        <v>0</v>
      </c>
      <c r="G61" s="215">
        <f>参数输入表!$H$200*参数输入表!$H$7+参数输入表!$H$200*参数输入表!$H$8</f>
        <v>0</v>
      </c>
      <c r="H61" s="219">
        <f>G61-H62</f>
        <v>0</v>
      </c>
      <c r="I61" s="219">
        <f t="shared" ref="I61" si="93">H61-I62</f>
        <v>0</v>
      </c>
      <c r="J61" s="219">
        <f t="shared" ref="J61" si="94">I61-J62</f>
        <v>0</v>
      </c>
      <c r="K61" s="219">
        <f t="shared" ref="K61" si="95">J61-K62</f>
        <v>0</v>
      </c>
      <c r="L61" s="219">
        <f t="shared" ref="L61" si="96">K61-L62</f>
        <v>0</v>
      </c>
      <c r="M61" s="219">
        <f t="shared" ref="M61" si="97">L61-M62</f>
        <v>0</v>
      </c>
      <c r="N61" s="219">
        <f t="shared" ref="N61" si="98">M61-N62</f>
        <v>0</v>
      </c>
      <c r="O61" s="219">
        <f t="shared" ref="O61" si="99">N61-O62</f>
        <v>0</v>
      </c>
      <c r="P61" s="219">
        <f t="shared" ref="P61" si="100">O61-P62</f>
        <v>0</v>
      </c>
      <c r="Q61" s="219">
        <f t="shared" ref="Q61" si="101">P61-Q62</f>
        <v>0</v>
      </c>
      <c r="R61" s="219">
        <f t="shared" ref="R61" si="102">Q61-R62</f>
        <v>0</v>
      </c>
      <c r="S61" s="219">
        <f t="shared" ref="S61" si="103">R61-S62</f>
        <v>0</v>
      </c>
      <c r="T61" s="219">
        <f t="shared" ref="T61" si="104">S61-T62</f>
        <v>0</v>
      </c>
      <c r="U61" s="219">
        <f t="shared" ref="U61" si="105">T61-U62</f>
        <v>0</v>
      </c>
      <c r="V61" s="219">
        <f t="shared" ref="V61" si="106">U61-V62</f>
        <v>0</v>
      </c>
      <c r="W61" s="219">
        <f t="shared" ref="W61" si="107">V61-W62</f>
        <v>0</v>
      </c>
      <c r="X61" s="219">
        <f t="shared" ref="X61" si="108">W61-X62</f>
        <v>0</v>
      </c>
      <c r="Y61" s="219">
        <f t="shared" ref="Y61" si="109">X61-Y62</f>
        <v>0</v>
      </c>
      <c r="Z61" s="219">
        <f t="shared" ref="Z61" si="110">Y61-Z62</f>
        <v>0</v>
      </c>
      <c r="AA61" s="219">
        <f t="shared" ref="AA61" si="111">Z61-AA62</f>
        <v>0</v>
      </c>
      <c r="AB61" s="219">
        <f t="shared" ref="AB61" si="112">AA61-AB62</f>
        <v>0</v>
      </c>
      <c r="AC61" s="219">
        <f t="shared" ref="AC61" si="113">AB61-AC62</f>
        <v>0</v>
      </c>
      <c r="AD61" s="219">
        <f t="shared" ref="AD61" si="114">AC61-AD62</f>
        <v>0</v>
      </c>
      <c r="AE61" s="219">
        <f t="shared" ref="AE61" si="115">AD61-AE62</f>
        <v>0</v>
      </c>
      <c r="AF61" s="219">
        <f t="shared" ref="AF61" si="116">AE61-AF62</f>
        <v>0</v>
      </c>
    </row>
    <row r="62" spans="2:32" ht="24" customHeight="1">
      <c r="B62" s="349"/>
      <c r="C62" s="88" t="s">
        <v>379</v>
      </c>
      <c r="D62" s="215">
        <f>SUM(F62:AF62)</f>
        <v>0</v>
      </c>
      <c r="E62" s="89" t="s">
        <v>111</v>
      </c>
      <c r="F62" s="215"/>
      <c r="G62" s="215"/>
      <c r="H62" s="215">
        <f>IF(H54&lt;=$D$17,G61*(1-$D$18)/($D$17-H26+1),0)</f>
        <v>0</v>
      </c>
      <c r="I62" s="215">
        <f t="shared" ref="I62:AF62" si="117">IF(I54&lt;=$D$17,H61*(1-$D$18)/($D$17-I26+1),0)</f>
        <v>0</v>
      </c>
      <c r="J62" s="215">
        <f t="shared" si="117"/>
        <v>0</v>
      </c>
      <c r="K62" s="215">
        <f t="shared" si="117"/>
        <v>0</v>
      </c>
      <c r="L62" s="215">
        <f t="shared" si="117"/>
        <v>0</v>
      </c>
      <c r="M62" s="215">
        <f t="shared" si="117"/>
        <v>0</v>
      </c>
      <c r="N62" s="215">
        <f t="shared" si="117"/>
        <v>0</v>
      </c>
      <c r="O62" s="215">
        <f t="shared" si="117"/>
        <v>0</v>
      </c>
      <c r="P62" s="215">
        <f t="shared" si="117"/>
        <v>0</v>
      </c>
      <c r="Q62" s="215">
        <f t="shared" si="117"/>
        <v>0</v>
      </c>
      <c r="R62" s="215">
        <f t="shared" si="117"/>
        <v>0</v>
      </c>
      <c r="S62" s="215">
        <f t="shared" si="117"/>
        <v>0</v>
      </c>
      <c r="T62" s="215">
        <f t="shared" si="117"/>
        <v>0</v>
      </c>
      <c r="U62" s="215">
        <f t="shared" si="117"/>
        <v>0</v>
      </c>
      <c r="V62" s="215">
        <f t="shared" si="117"/>
        <v>0</v>
      </c>
      <c r="W62" s="215">
        <f t="shared" si="117"/>
        <v>0</v>
      </c>
      <c r="X62" s="215">
        <f t="shared" si="117"/>
        <v>0</v>
      </c>
      <c r="Y62" s="215">
        <f t="shared" si="117"/>
        <v>0</v>
      </c>
      <c r="Z62" s="215">
        <f t="shared" si="117"/>
        <v>0</v>
      </c>
      <c r="AA62" s="215">
        <f t="shared" si="117"/>
        <v>0</v>
      </c>
      <c r="AB62" s="215">
        <f t="shared" si="117"/>
        <v>0</v>
      </c>
      <c r="AC62" s="215">
        <f t="shared" si="117"/>
        <v>0</v>
      </c>
      <c r="AD62" s="215">
        <f t="shared" si="117"/>
        <v>0</v>
      </c>
      <c r="AE62" s="215">
        <f t="shared" si="117"/>
        <v>0</v>
      </c>
      <c r="AF62" s="215">
        <f t="shared" si="117"/>
        <v>0</v>
      </c>
    </row>
    <row r="63" spans="2:32" ht="24" customHeight="1">
      <c r="B63" s="351">
        <v>4</v>
      </c>
      <c r="C63" s="88" t="s">
        <v>380</v>
      </c>
      <c r="D63" s="215"/>
      <c r="E63" s="89" t="s">
        <v>111</v>
      </c>
      <c r="F63" s="215"/>
      <c r="G63" s="215"/>
      <c r="H63" s="215">
        <f>H35</f>
        <v>0</v>
      </c>
      <c r="I63" s="215">
        <f t="shared" ref="I63:AF66" si="118">I35</f>
        <v>0</v>
      </c>
      <c r="J63" s="215">
        <f t="shared" si="118"/>
        <v>0</v>
      </c>
      <c r="K63" s="215">
        <f t="shared" si="118"/>
        <v>0</v>
      </c>
      <c r="L63" s="215">
        <f t="shared" si="118"/>
        <v>0</v>
      </c>
      <c r="M63" s="215">
        <f t="shared" si="118"/>
        <v>0</v>
      </c>
      <c r="N63" s="215">
        <f t="shared" si="118"/>
        <v>0</v>
      </c>
      <c r="O63" s="215">
        <f t="shared" si="118"/>
        <v>0</v>
      </c>
      <c r="P63" s="215">
        <f t="shared" si="118"/>
        <v>0</v>
      </c>
      <c r="Q63" s="215">
        <f t="shared" si="118"/>
        <v>0</v>
      </c>
      <c r="R63" s="215">
        <f t="shared" si="118"/>
        <v>0</v>
      </c>
      <c r="S63" s="215">
        <f t="shared" si="118"/>
        <v>384.42477876106199</v>
      </c>
      <c r="T63" s="215">
        <f t="shared" si="118"/>
        <v>344.07079646017701</v>
      </c>
      <c r="U63" s="215">
        <f t="shared" si="118"/>
        <v>303.71681415929203</v>
      </c>
      <c r="V63" s="215">
        <f t="shared" si="118"/>
        <v>263.36283185840699</v>
      </c>
      <c r="W63" s="215">
        <f t="shared" si="118"/>
        <v>223.00884955752201</v>
      </c>
      <c r="X63" s="215">
        <f t="shared" si="118"/>
        <v>182.654867256637</v>
      </c>
      <c r="Y63" s="215">
        <f t="shared" si="118"/>
        <v>142.300884955752</v>
      </c>
      <c r="Z63" s="215">
        <f t="shared" si="118"/>
        <v>101.946902654867</v>
      </c>
      <c r="AA63" s="215">
        <f t="shared" si="118"/>
        <v>61.592920353982201</v>
      </c>
      <c r="AB63" s="215">
        <f t="shared" si="118"/>
        <v>21.238938053097201</v>
      </c>
      <c r="AC63" s="215">
        <f t="shared" si="118"/>
        <v>21.238938053097201</v>
      </c>
      <c r="AD63" s="215">
        <f t="shared" si="118"/>
        <v>21.238938053097201</v>
      </c>
      <c r="AE63" s="215">
        <f t="shared" si="118"/>
        <v>21.238938053097201</v>
      </c>
      <c r="AF63" s="215">
        <f t="shared" si="118"/>
        <v>21.238938053097201</v>
      </c>
    </row>
    <row r="64" spans="2:32" ht="24" customHeight="1">
      <c r="B64" s="351"/>
      <c r="C64" s="88" t="s">
        <v>381</v>
      </c>
      <c r="D64" s="215"/>
      <c r="E64" s="89"/>
      <c r="F64" s="215"/>
      <c r="G64" s="215"/>
      <c r="H64" s="215">
        <f t="shared" ref="H64:W66" si="119">H36</f>
        <v>0</v>
      </c>
      <c r="I64" s="215">
        <f t="shared" si="119"/>
        <v>0</v>
      </c>
      <c r="J64" s="215">
        <f t="shared" si="119"/>
        <v>0</v>
      </c>
      <c r="K64" s="215">
        <f t="shared" si="119"/>
        <v>0</v>
      </c>
      <c r="L64" s="215">
        <f t="shared" si="119"/>
        <v>0</v>
      </c>
      <c r="M64" s="215">
        <f t="shared" si="119"/>
        <v>0</v>
      </c>
      <c r="N64" s="215">
        <f t="shared" si="119"/>
        <v>0</v>
      </c>
      <c r="O64" s="215">
        <f t="shared" si="119"/>
        <v>0</v>
      </c>
      <c r="P64" s="215">
        <f t="shared" si="119"/>
        <v>0</v>
      </c>
      <c r="Q64" s="216">
        <f t="shared" si="119"/>
        <v>0</v>
      </c>
      <c r="R64" s="215">
        <f t="shared" si="119"/>
        <v>424.77876106194702</v>
      </c>
      <c r="S64" s="215">
        <f t="shared" si="119"/>
        <v>0</v>
      </c>
      <c r="T64" s="215">
        <f t="shared" si="119"/>
        <v>0</v>
      </c>
      <c r="U64" s="215">
        <f t="shared" si="119"/>
        <v>0</v>
      </c>
      <c r="V64" s="215">
        <f t="shared" si="119"/>
        <v>0</v>
      </c>
      <c r="W64" s="215">
        <f t="shared" si="119"/>
        <v>0</v>
      </c>
      <c r="X64" s="215">
        <f t="shared" si="118"/>
        <v>0</v>
      </c>
      <c r="Y64" s="215">
        <f t="shared" si="118"/>
        <v>0</v>
      </c>
      <c r="Z64" s="215">
        <f t="shared" si="118"/>
        <v>0</v>
      </c>
      <c r="AA64" s="215">
        <f t="shared" si="118"/>
        <v>0</v>
      </c>
      <c r="AB64" s="215">
        <f t="shared" si="118"/>
        <v>0</v>
      </c>
      <c r="AC64" s="215">
        <f t="shared" si="118"/>
        <v>0</v>
      </c>
      <c r="AD64" s="215">
        <f t="shared" si="118"/>
        <v>0</v>
      </c>
      <c r="AE64" s="215">
        <f t="shared" si="118"/>
        <v>0</v>
      </c>
      <c r="AF64" s="215">
        <f t="shared" si="118"/>
        <v>0</v>
      </c>
    </row>
    <row r="65" spans="2:32" ht="24" customHeight="1">
      <c r="B65" s="351"/>
      <c r="C65" s="88" t="s">
        <v>382</v>
      </c>
      <c r="D65" s="215">
        <f>SUM(F65:AF65)</f>
        <v>403.53982300885002</v>
      </c>
      <c r="E65" s="89" t="s">
        <v>111</v>
      </c>
      <c r="F65" s="215"/>
      <c r="G65" s="215"/>
      <c r="H65" s="215">
        <f t="shared" si="119"/>
        <v>0</v>
      </c>
      <c r="I65" s="215">
        <f t="shared" si="118"/>
        <v>0</v>
      </c>
      <c r="J65" s="215">
        <f t="shared" si="118"/>
        <v>0</v>
      </c>
      <c r="K65" s="215">
        <f t="shared" si="118"/>
        <v>0</v>
      </c>
      <c r="L65" s="215">
        <f t="shared" si="118"/>
        <v>0</v>
      </c>
      <c r="M65" s="215">
        <f t="shared" si="118"/>
        <v>0</v>
      </c>
      <c r="N65" s="215">
        <f t="shared" si="118"/>
        <v>0</v>
      </c>
      <c r="O65" s="215">
        <f t="shared" si="118"/>
        <v>0</v>
      </c>
      <c r="P65" s="215">
        <f t="shared" si="118"/>
        <v>0</v>
      </c>
      <c r="Q65" s="215">
        <f t="shared" si="118"/>
        <v>0</v>
      </c>
      <c r="R65" s="215">
        <f t="shared" si="118"/>
        <v>40.353982300885001</v>
      </c>
      <c r="S65" s="215">
        <f t="shared" si="118"/>
        <v>40.353982300885001</v>
      </c>
      <c r="T65" s="215">
        <f t="shared" si="118"/>
        <v>40.353982300885001</v>
      </c>
      <c r="U65" s="215">
        <f t="shared" si="118"/>
        <v>40.353982300885001</v>
      </c>
      <c r="V65" s="215">
        <f t="shared" si="118"/>
        <v>40.353982300885001</v>
      </c>
      <c r="W65" s="215">
        <f t="shared" si="118"/>
        <v>40.353982300885001</v>
      </c>
      <c r="X65" s="215">
        <f t="shared" si="118"/>
        <v>40.353982300885001</v>
      </c>
      <c r="Y65" s="215">
        <f t="shared" si="118"/>
        <v>40.353982300885001</v>
      </c>
      <c r="Z65" s="215">
        <f t="shared" si="118"/>
        <v>40.353982300885001</v>
      </c>
      <c r="AA65" s="215">
        <f t="shared" si="118"/>
        <v>40.353982300885001</v>
      </c>
      <c r="AB65" s="215">
        <f t="shared" si="118"/>
        <v>0</v>
      </c>
      <c r="AC65" s="215">
        <f t="shared" si="118"/>
        <v>0</v>
      </c>
      <c r="AD65" s="215">
        <f t="shared" si="118"/>
        <v>0</v>
      </c>
      <c r="AE65" s="215">
        <f t="shared" si="118"/>
        <v>0</v>
      </c>
      <c r="AF65" s="215">
        <f t="shared" si="118"/>
        <v>0</v>
      </c>
    </row>
    <row r="66" spans="2:32" ht="24" customHeight="1">
      <c r="B66" s="351"/>
      <c r="C66" s="88" t="s">
        <v>383</v>
      </c>
      <c r="D66" s="215"/>
      <c r="E66" s="89"/>
      <c r="F66" s="215"/>
      <c r="G66" s="215"/>
      <c r="H66" s="215">
        <f t="shared" si="119"/>
        <v>0</v>
      </c>
      <c r="I66" s="215">
        <f t="shared" si="118"/>
        <v>0</v>
      </c>
      <c r="J66" s="215">
        <f t="shared" si="118"/>
        <v>0</v>
      </c>
      <c r="K66" s="215">
        <f t="shared" si="118"/>
        <v>0</v>
      </c>
      <c r="L66" s="215">
        <f t="shared" si="118"/>
        <v>0</v>
      </c>
      <c r="M66" s="215">
        <f t="shared" si="118"/>
        <v>0</v>
      </c>
      <c r="N66" s="215">
        <f t="shared" si="118"/>
        <v>0</v>
      </c>
      <c r="O66" s="215">
        <f t="shared" si="118"/>
        <v>0</v>
      </c>
      <c r="P66" s="215">
        <f t="shared" si="118"/>
        <v>0</v>
      </c>
      <c r="Q66" s="215">
        <f t="shared" si="118"/>
        <v>0</v>
      </c>
      <c r="R66" s="215">
        <f t="shared" si="118"/>
        <v>384.42477876106199</v>
      </c>
      <c r="S66" s="215">
        <f t="shared" si="118"/>
        <v>344.07079646017701</v>
      </c>
      <c r="T66" s="215">
        <f t="shared" si="118"/>
        <v>303.71681415929203</v>
      </c>
      <c r="U66" s="215">
        <f t="shared" si="118"/>
        <v>263.36283185840699</v>
      </c>
      <c r="V66" s="215">
        <f t="shared" si="118"/>
        <v>223.00884955752201</v>
      </c>
      <c r="W66" s="215">
        <f t="shared" si="118"/>
        <v>182.654867256637</v>
      </c>
      <c r="X66" s="215">
        <f t="shared" si="118"/>
        <v>142.300884955752</v>
      </c>
      <c r="Y66" s="215">
        <f t="shared" si="118"/>
        <v>101.946902654867</v>
      </c>
      <c r="Z66" s="215">
        <f t="shared" si="118"/>
        <v>61.592920353982201</v>
      </c>
      <c r="AA66" s="215">
        <f t="shared" si="118"/>
        <v>21.238938053097201</v>
      </c>
      <c r="AB66" s="215">
        <f t="shared" si="118"/>
        <v>21.238938053097201</v>
      </c>
      <c r="AC66" s="215">
        <f t="shared" si="118"/>
        <v>21.238938053097201</v>
      </c>
      <c r="AD66" s="215">
        <f t="shared" si="118"/>
        <v>21.238938053097201</v>
      </c>
      <c r="AE66" s="215">
        <f t="shared" si="118"/>
        <v>21.238938053097201</v>
      </c>
      <c r="AF66" s="215">
        <f t="shared" si="118"/>
        <v>21.238938053097201</v>
      </c>
    </row>
    <row r="67" spans="2:32" ht="24" customHeight="1">
      <c r="B67" s="220">
        <v>5</v>
      </c>
      <c r="C67" s="221" t="s">
        <v>384</v>
      </c>
      <c r="D67" s="222">
        <f ca="1">SUM(F67:AF67)</f>
        <v>23689.9702344383</v>
      </c>
      <c r="E67" s="89" t="s">
        <v>111</v>
      </c>
      <c r="F67" s="223">
        <f>F56+F59+F62+F65</f>
        <v>0</v>
      </c>
      <c r="G67" s="223">
        <f t="shared" ref="G67:AF67" si="120">G56+G59+G62+G65</f>
        <v>0</v>
      </c>
      <c r="H67" s="223">
        <f t="shared" ca="1" si="120"/>
        <v>1164.3215205714728</v>
      </c>
      <c r="I67" s="223">
        <f t="shared" ca="1" si="120"/>
        <v>1164.3215205714728</v>
      </c>
      <c r="J67" s="223">
        <f t="shared" ca="1" si="120"/>
        <v>1164.3215205714728</v>
      </c>
      <c r="K67" s="223">
        <f t="shared" ca="1" si="120"/>
        <v>1164.3215205714728</v>
      </c>
      <c r="L67" s="223">
        <f t="shared" ca="1" si="120"/>
        <v>1164.3215205714728</v>
      </c>
      <c r="M67" s="223">
        <f t="shared" ca="1" si="120"/>
        <v>1164.3215205714728</v>
      </c>
      <c r="N67" s="223">
        <f t="shared" ca="1" si="120"/>
        <v>1164.3215205714728</v>
      </c>
      <c r="O67" s="223">
        <f t="shared" ca="1" si="120"/>
        <v>1164.3215205714728</v>
      </c>
      <c r="P67" s="223">
        <f t="shared" ca="1" si="120"/>
        <v>1164.3215205714728</v>
      </c>
      <c r="Q67" s="223">
        <f t="shared" ca="1" si="120"/>
        <v>1164.3215205714728</v>
      </c>
      <c r="R67" s="223">
        <f t="shared" ca="1" si="120"/>
        <v>1204.6755028723578</v>
      </c>
      <c r="S67" s="223">
        <f t="shared" ca="1" si="120"/>
        <v>1204.6755028723578</v>
      </c>
      <c r="T67" s="223">
        <f t="shared" ca="1" si="120"/>
        <v>1204.6755028723578</v>
      </c>
      <c r="U67" s="223">
        <f t="shared" ca="1" si="120"/>
        <v>1204.6755028723578</v>
      </c>
      <c r="V67" s="223">
        <f t="shared" ca="1" si="120"/>
        <v>1204.6755028723578</v>
      </c>
      <c r="W67" s="223">
        <f t="shared" ca="1" si="120"/>
        <v>1204.6755028723578</v>
      </c>
      <c r="X67" s="223">
        <f t="shared" ca="1" si="120"/>
        <v>1204.6755028723578</v>
      </c>
      <c r="Y67" s="223">
        <f t="shared" ca="1" si="120"/>
        <v>1204.6755028723578</v>
      </c>
      <c r="Z67" s="223">
        <f t="shared" ca="1" si="120"/>
        <v>1204.6755028723578</v>
      </c>
      <c r="AA67" s="223">
        <f t="shared" ca="1" si="120"/>
        <v>1204.6755028723578</v>
      </c>
      <c r="AB67" s="223">
        <f t="shared" si="120"/>
        <v>0</v>
      </c>
      <c r="AC67" s="223">
        <f t="shared" si="120"/>
        <v>0</v>
      </c>
      <c r="AD67" s="223">
        <f t="shared" si="120"/>
        <v>0</v>
      </c>
      <c r="AE67" s="223">
        <f t="shared" si="120"/>
        <v>0</v>
      </c>
      <c r="AF67" s="223">
        <f t="shared" si="120"/>
        <v>0</v>
      </c>
    </row>
  </sheetData>
  <mergeCells count="20">
    <mergeCell ref="F25:G25"/>
    <mergeCell ref="H25:AF25"/>
    <mergeCell ref="F53:G53"/>
    <mergeCell ref="H53:AF53"/>
    <mergeCell ref="B25:B26"/>
    <mergeCell ref="B27:B28"/>
    <mergeCell ref="B29:B32"/>
    <mergeCell ref="B33:B34"/>
    <mergeCell ref="B35:B38"/>
    <mergeCell ref="B53:B54"/>
    <mergeCell ref="D25:D26"/>
    <mergeCell ref="D53:D54"/>
    <mergeCell ref="E25:E26"/>
    <mergeCell ref="E53:E54"/>
    <mergeCell ref="B55:B56"/>
    <mergeCell ref="B57:B60"/>
    <mergeCell ref="B61:B62"/>
    <mergeCell ref="B63:B66"/>
    <mergeCell ref="C25:C26"/>
    <mergeCell ref="C53:C54"/>
  </mergeCells>
  <phoneticPr fontId="51"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F68"/>
  <sheetViews>
    <sheetView showGridLines="0" zoomScale="70" zoomScaleNormal="70" workbookViewId="0">
      <pane xSplit="4" ySplit="4" topLeftCell="E5" activePane="bottomRight" state="frozen"/>
      <selection pane="topRight"/>
      <selection pane="bottomLeft"/>
      <selection pane="bottomRight" activeCell="T23" sqref="T23"/>
    </sheetView>
  </sheetViews>
  <sheetFormatPr defaultColWidth="8.81640625" defaultRowHeight="16.5"/>
  <cols>
    <col min="1" max="1" width="4.453125" style="74" customWidth="1"/>
    <col min="2" max="2" width="8.81640625" style="74"/>
    <col min="3" max="3" width="46.81640625" style="74" customWidth="1"/>
    <col min="4" max="4" width="14.6328125" style="74" customWidth="1"/>
    <col min="5" max="7" width="8.81640625" style="74"/>
    <col min="8" max="8" width="12.54296875" style="74" customWidth="1"/>
    <col min="9" max="25" width="13.54296875" style="74" customWidth="1"/>
    <col min="26" max="32" width="12" style="74" customWidth="1"/>
    <col min="33" max="16384" width="8.81640625" style="74"/>
  </cols>
  <sheetData>
    <row r="1" spans="2:32" ht="9" customHeight="1"/>
    <row r="2" spans="2:32" ht="18.5" customHeight="1">
      <c r="B2" s="75" t="s">
        <v>390</v>
      </c>
    </row>
    <row r="3" spans="2:32">
      <c r="B3" s="354" t="s">
        <v>14</v>
      </c>
      <c r="C3" s="354" t="s">
        <v>323</v>
      </c>
      <c r="D3" s="354" t="s">
        <v>311</v>
      </c>
      <c r="E3" s="354" t="s">
        <v>39</v>
      </c>
      <c r="F3" s="342" t="s">
        <v>43</v>
      </c>
      <c r="G3" s="342"/>
      <c r="H3" s="343" t="s">
        <v>54</v>
      </c>
      <c r="I3" s="343"/>
      <c r="J3" s="343"/>
      <c r="K3" s="343"/>
      <c r="L3" s="343"/>
      <c r="M3" s="343"/>
      <c r="N3" s="343"/>
      <c r="O3" s="343"/>
      <c r="P3" s="343"/>
      <c r="Q3" s="343"/>
      <c r="R3" s="343"/>
      <c r="S3" s="343"/>
      <c r="T3" s="343"/>
      <c r="U3" s="343"/>
      <c r="V3" s="343"/>
      <c r="W3" s="343"/>
      <c r="X3" s="343"/>
      <c r="Y3" s="343"/>
      <c r="Z3" s="343"/>
      <c r="AA3" s="343"/>
      <c r="AB3" s="343"/>
      <c r="AC3" s="343"/>
      <c r="AD3" s="343"/>
      <c r="AE3" s="343"/>
      <c r="AF3" s="343"/>
    </row>
    <row r="4" spans="2:32">
      <c r="B4" s="355"/>
      <c r="C4" s="355"/>
      <c r="D4" s="355"/>
      <c r="E4" s="355"/>
      <c r="F4" s="51">
        <v>1</v>
      </c>
      <c r="G4" s="51">
        <v>2</v>
      </c>
      <c r="H4" s="52">
        <v>1</v>
      </c>
      <c r="I4" s="52">
        <v>2</v>
      </c>
      <c r="J4" s="52">
        <v>3</v>
      </c>
      <c r="K4" s="52">
        <v>4</v>
      </c>
      <c r="L4" s="52">
        <v>5</v>
      </c>
      <c r="M4" s="52">
        <v>6</v>
      </c>
      <c r="N4" s="52">
        <v>7</v>
      </c>
      <c r="O4" s="52">
        <v>8</v>
      </c>
      <c r="P4" s="52">
        <v>9</v>
      </c>
      <c r="Q4" s="52">
        <v>10</v>
      </c>
      <c r="R4" s="52">
        <v>11</v>
      </c>
      <c r="S4" s="52">
        <v>12</v>
      </c>
      <c r="T4" s="52">
        <v>13</v>
      </c>
      <c r="U4" s="52">
        <v>14</v>
      </c>
      <c r="V4" s="52">
        <v>15</v>
      </c>
      <c r="W4" s="52">
        <v>16</v>
      </c>
      <c r="X4" s="52">
        <v>17</v>
      </c>
      <c r="Y4" s="52">
        <v>18</v>
      </c>
      <c r="Z4" s="52">
        <v>19</v>
      </c>
      <c r="AA4" s="52">
        <v>20</v>
      </c>
      <c r="AB4" s="52">
        <v>21</v>
      </c>
      <c r="AC4" s="52">
        <v>22</v>
      </c>
      <c r="AD4" s="52">
        <v>23</v>
      </c>
      <c r="AE4" s="52">
        <v>24</v>
      </c>
      <c r="AF4" s="52">
        <v>25</v>
      </c>
    </row>
    <row r="5" spans="2:32">
      <c r="B5" s="99" t="s">
        <v>344</v>
      </c>
      <c r="C5" s="100" t="s">
        <v>391</v>
      </c>
      <c r="D5" s="55">
        <f t="shared" ref="D5" ca="1" si="0">SUM(F5:AF5)</f>
        <v>46821.458344288614</v>
      </c>
      <c r="E5" s="106" t="s">
        <v>111</v>
      </c>
      <c r="F5" s="137"/>
      <c r="G5" s="137"/>
      <c r="H5" s="137">
        <f ca="1">H6+H15+H16+H19+H20</f>
        <v>2517.4607670568594</v>
      </c>
      <c r="I5" s="137">
        <f t="shared" ref="I5:AF5" ca="1" si="1">I6+I15+I16+I19+I20</f>
        <v>2465.4612134498448</v>
      </c>
      <c r="J5" s="137">
        <f t="shared" ca="1" si="1"/>
        <v>2413.4616598428302</v>
      </c>
      <c r="K5" s="137">
        <f t="shared" ca="1" si="1"/>
        <v>2361.4621062358151</v>
      </c>
      <c r="L5" s="137">
        <f t="shared" ca="1" si="1"/>
        <v>2309.4625526288005</v>
      </c>
      <c r="M5" s="137">
        <f t="shared" ca="1" si="1"/>
        <v>2308.720861371874</v>
      </c>
      <c r="N5" s="137">
        <f t="shared" ca="1" si="1"/>
        <v>2256.7213077648594</v>
      </c>
      <c r="O5" s="137">
        <f t="shared" ca="1" si="1"/>
        <v>2204.7217541578448</v>
      </c>
      <c r="P5" s="137">
        <f t="shared" ca="1" si="1"/>
        <v>2152.7222005508297</v>
      </c>
      <c r="Q5" s="137">
        <f t="shared" ca="1" si="1"/>
        <v>2100.7226469438151</v>
      </c>
      <c r="R5" s="137">
        <f t="shared" ca="1" si="1"/>
        <v>2140.3349379877736</v>
      </c>
      <c r="S5" s="137">
        <f t="shared" ca="1" si="1"/>
        <v>2088.335384380759</v>
      </c>
      <c r="T5" s="137">
        <f t="shared" ca="1" si="1"/>
        <v>2036.3358307737442</v>
      </c>
      <c r="U5" s="137">
        <f t="shared" ca="1" si="1"/>
        <v>1984.3362771667294</v>
      </c>
      <c r="V5" s="137">
        <f t="shared" ca="1" si="1"/>
        <v>1932.3367235597148</v>
      </c>
      <c r="W5" s="137">
        <f t="shared" ca="1" si="1"/>
        <v>1931.5950323027882</v>
      </c>
      <c r="X5" s="137">
        <f t="shared" ca="1" si="1"/>
        <v>1931.5950323027882</v>
      </c>
      <c r="Y5" s="137">
        <f t="shared" ca="1" si="1"/>
        <v>1931.5950323027882</v>
      </c>
      <c r="Z5" s="137">
        <f t="shared" ca="1" si="1"/>
        <v>1931.5950323027882</v>
      </c>
      <c r="AA5" s="137">
        <f t="shared" ca="1" si="1"/>
        <v>1931.5950323027882</v>
      </c>
      <c r="AB5" s="137">
        <f t="shared" ca="1" si="1"/>
        <v>778.17739178051954</v>
      </c>
      <c r="AC5" s="137">
        <f t="shared" ca="1" si="1"/>
        <v>778.17739178051954</v>
      </c>
      <c r="AD5" s="137">
        <f t="shared" ca="1" si="1"/>
        <v>778.17739178051954</v>
      </c>
      <c r="AE5" s="137">
        <f t="shared" ca="1" si="1"/>
        <v>778.17739178051954</v>
      </c>
      <c r="AF5" s="137">
        <f t="shared" ca="1" si="1"/>
        <v>778.17739178051954</v>
      </c>
    </row>
    <row r="6" spans="2:32">
      <c r="B6" s="99">
        <v>1</v>
      </c>
      <c r="C6" s="100" t="s">
        <v>183</v>
      </c>
      <c r="D6" s="55">
        <f t="shared" ref="D6:D19" ca="1" si="2">SUM(F6:AF6)</f>
        <v>38919.309910694952</v>
      </c>
      <c r="E6" s="106"/>
      <c r="F6" s="137"/>
      <c r="G6" s="137"/>
      <c r="H6" s="137">
        <f ca="1">SUM(H7:H14)</f>
        <v>1670.979382921561</v>
      </c>
      <c r="I6" s="137">
        <f t="shared" ref="I6:AF6" ca="1" si="3">SUM(I7:I14)</f>
        <v>1670.979382921561</v>
      </c>
      <c r="J6" s="137">
        <f t="shared" ca="1" si="3"/>
        <v>1670.979382921561</v>
      </c>
      <c r="K6" s="137">
        <f t="shared" ca="1" si="3"/>
        <v>1670.979382921561</v>
      </c>
      <c r="L6" s="137">
        <f t="shared" ca="1" si="3"/>
        <v>1670.979382921561</v>
      </c>
      <c r="M6" s="137">
        <f t="shared" ca="1" si="3"/>
        <v>1722.2372452716495</v>
      </c>
      <c r="N6" s="137">
        <f t="shared" ca="1" si="3"/>
        <v>1722.2372452716495</v>
      </c>
      <c r="O6" s="137">
        <f t="shared" ca="1" si="3"/>
        <v>1722.2372452716495</v>
      </c>
      <c r="P6" s="137">
        <f t="shared" ca="1" si="3"/>
        <v>1722.2372452716495</v>
      </c>
      <c r="Q6" s="137">
        <f t="shared" ca="1" si="3"/>
        <v>1722.2372452716495</v>
      </c>
      <c r="R6" s="137">
        <f t="shared" ca="1" si="3"/>
        <v>1813.8490899226229</v>
      </c>
      <c r="S6" s="137">
        <f t="shared" ca="1" si="3"/>
        <v>1813.8490899226229</v>
      </c>
      <c r="T6" s="137">
        <f t="shared" ca="1" si="3"/>
        <v>1813.8490899226229</v>
      </c>
      <c r="U6" s="137">
        <f t="shared" ca="1" si="3"/>
        <v>1813.8490899226229</v>
      </c>
      <c r="V6" s="137">
        <f t="shared" ca="1" si="3"/>
        <v>1813.8490899226229</v>
      </c>
      <c r="W6" s="137">
        <f t="shared" ca="1" si="3"/>
        <v>1865.1069522727107</v>
      </c>
      <c r="X6" s="137">
        <f t="shared" ca="1" si="3"/>
        <v>1865.1069522727107</v>
      </c>
      <c r="Y6" s="137">
        <f t="shared" ca="1" si="3"/>
        <v>1865.1069522727107</v>
      </c>
      <c r="Z6" s="137">
        <f t="shared" ca="1" si="3"/>
        <v>1865.1069522727107</v>
      </c>
      <c r="AA6" s="137">
        <f t="shared" ca="1" si="3"/>
        <v>1865.1069522727107</v>
      </c>
      <c r="AB6" s="137">
        <f t="shared" si="3"/>
        <v>711.68931175044202</v>
      </c>
      <c r="AC6" s="137">
        <f t="shared" si="3"/>
        <v>711.68931175044202</v>
      </c>
      <c r="AD6" s="137">
        <f t="shared" si="3"/>
        <v>711.68931175044202</v>
      </c>
      <c r="AE6" s="137">
        <f t="shared" si="3"/>
        <v>711.68931175044202</v>
      </c>
      <c r="AF6" s="137">
        <f t="shared" si="3"/>
        <v>711.68931175044202</v>
      </c>
    </row>
    <row r="7" spans="2:32">
      <c r="B7" s="56">
        <v>1.1000000000000001</v>
      </c>
      <c r="C7" s="173" t="s">
        <v>159</v>
      </c>
      <c r="D7" s="59">
        <f t="shared" si="2"/>
        <v>3600</v>
      </c>
      <c r="E7" s="106" t="s">
        <v>111</v>
      </c>
      <c r="F7" s="137"/>
      <c r="G7" s="137"/>
      <c r="H7" s="137">
        <f>参数输入表!$H$141*参数输入表!$H$13/(1+参数输入表!$H$146)</f>
        <v>144</v>
      </c>
      <c r="I7" s="137">
        <f>参数输入表!$H$141*参数输入表!$H$13/(1+参数输入表!$H$146)</f>
        <v>144</v>
      </c>
      <c r="J7" s="137">
        <f>参数输入表!$H$141*参数输入表!$H$13/(1+参数输入表!$H$146)</f>
        <v>144</v>
      </c>
      <c r="K7" s="137">
        <f>参数输入表!$H$141*参数输入表!$H$13/(1+参数输入表!$H$146)</f>
        <v>144</v>
      </c>
      <c r="L7" s="137">
        <f>参数输入表!$H$141*参数输入表!$H$13/(1+参数输入表!$H$146)</f>
        <v>144</v>
      </c>
      <c r="M7" s="137">
        <f>参数输入表!$H$142*参数输入表!$H$13/(1+参数输入表!$H$146)</f>
        <v>144</v>
      </c>
      <c r="N7" s="137">
        <f>参数输入表!$H$142*参数输入表!$H$13/(1+参数输入表!$H$146)</f>
        <v>144</v>
      </c>
      <c r="O7" s="137">
        <f>参数输入表!$H$142*参数输入表!$H$13/(1+参数输入表!$H$146)</f>
        <v>144</v>
      </c>
      <c r="P7" s="137">
        <f>参数输入表!$H$142*参数输入表!$H$13/(1+参数输入表!$H$146)</f>
        <v>144</v>
      </c>
      <c r="Q7" s="137">
        <f>参数输入表!$H$142*参数输入表!$H$13/(1+参数输入表!$H$146)</f>
        <v>144</v>
      </c>
      <c r="R7" s="137">
        <f>参数输入表!$H$143*参数输入表!$H$13/(1+参数输入表!$H$146)</f>
        <v>144</v>
      </c>
      <c r="S7" s="137">
        <f>参数输入表!$H$143*参数输入表!$H$13/(1+参数输入表!$H$146)</f>
        <v>144</v>
      </c>
      <c r="T7" s="137">
        <f>参数输入表!$H$143*参数输入表!$H$13/(1+参数输入表!$H$146)</f>
        <v>144</v>
      </c>
      <c r="U7" s="137">
        <f>参数输入表!$H$143*参数输入表!$H$13/(1+参数输入表!$H$146)</f>
        <v>144</v>
      </c>
      <c r="V7" s="137">
        <f>参数输入表!$H$143*参数输入表!$H$13/(1+参数输入表!$H$146)</f>
        <v>144</v>
      </c>
      <c r="W7" s="137">
        <f>参数输入表!$H$144*参数输入表!$H$13/(1+参数输入表!$H$146)</f>
        <v>144</v>
      </c>
      <c r="X7" s="137">
        <f>参数输入表!$H$144*参数输入表!$H$13/(1+参数输入表!$H$146)</f>
        <v>144</v>
      </c>
      <c r="Y7" s="137">
        <f>参数输入表!$H$144*参数输入表!$H$13/(1+参数输入表!$H$146)</f>
        <v>144</v>
      </c>
      <c r="Z7" s="137">
        <f>参数输入表!$H$144*参数输入表!$H$13/(1+参数输入表!$H$146)</f>
        <v>144</v>
      </c>
      <c r="AA7" s="137">
        <f>参数输入表!$H$144*参数输入表!$H$13/(1+参数输入表!$H$146)</f>
        <v>144</v>
      </c>
      <c r="AB7" s="137">
        <f>参数输入表!$H$145*参数输入表!$H$13/(1+参数输入表!$H$146)</f>
        <v>144</v>
      </c>
      <c r="AC7" s="137">
        <f>参数输入表!$H$145*参数输入表!$H$13/(1+参数输入表!$H$146)</f>
        <v>144</v>
      </c>
      <c r="AD7" s="137">
        <f>参数输入表!$H$145*参数输入表!$H$13/(1+参数输入表!$H$146)</f>
        <v>144</v>
      </c>
      <c r="AE7" s="137">
        <f>参数输入表!$H$145*参数输入表!$H$13/(1+参数输入表!$H$146)</f>
        <v>144</v>
      </c>
      <c r="AF7" s="137">
        <f>参数输入表!$H$145*参数输入表!$H$13/(1+参数输入表!$H$146)</f>
        <v>144</v>
      </c>
    </row>
    <row r="8" spans="2:32">
      <c r="B8" s="107">
        <v>1.2</v>
      </c>
      <c r="C8" s="174" t="s">
        <v>171</v>
      </c>
      <c r="D8" s="59">
        <f t="shared" si="2"/>
        <v>3619.3396762566199</v>
      </c>
      <c r="E8" s="106" t="s">
        <v>111</v>
      </c>
      <c r="F8" s="137"/>
      <c r="G8" s="137"/>
      <c r="H8" s="59">
        <f>(参数输入表!$H$113-参数输入表!$H$120)*参数输入表!$H$150/(1+参数输入表!$H$155)</f>
        <v>48.257862350088303</v>
      </c>
      <c r="I8" s="59">
        <f>(参数输入表!$H$113-参数输入表!$H$120)*参数输入表!$H$150/(1+参数输入表!$H$155)</f>
        <v>48.257862350088303</v>
      </c>
      <c r="J8" s="59">
        <f>(参数输入表!$H$113-参数输入表!$H$120)*参数输入表!$H$150/(1+参数输入表!$H$155)</f>
        <v>48.257862350088303</v>
      </c>
      <c r="K8" s="59">
        <f>(参数输入表!$H$113-参数输入表!$H$120)*参数输入表!$H$150/(1+参数输入表!$H$155)</f>
        <v>48.257862350088303</v>
      </c>
      <c r="L8" s="59">
        <f>(参数输入表!$H$113-参数输入表!$H$120)*参数输入表!$H$150/(1+参数输入表!$H$155)</f>
        <v>48.257862350088303</v>
      </c>
      <c r="M8" s="59">
        <f>(参数输入表!$H$113-参数输入表!$H$120)*参数输入表!$H$151/(1+参数输入表!$H$155)</f>
        <v>96.515724700176605</v>
      </c>
      <c r="N8" s="59">
        <f>(参数输入表!$H$113-参数输入表!$H$120)*参数输入表!$H$151/(1+参数输入表!$H$155)</f>
        <v>96.515724700176605</v>
      </c>
      <c r="O8" s="59">
        <f>(参数输入表!$H$113-参数输入表!$H$120)*参数输入表!$H$151/(1+参数输入表!$H$155)</f>
        <v>96.515724700176605</v>
      </c>
      <c r="P8" s="59">
        <f>(参数输入表!$H$113-参数输入表!$H$120)*参数输入表!$H$151/(1+参数输入表!$H$155)</f>
        <v>96.515724700176605</v>
      </c>
      <c r="Q8" s="59">
        <f>(参数输入表!$H$113-参数输入表!$H$120)*参数输入表!$H$151/(1+参数输入表!$H$155)</f>
        <v>96.515724700176605</v>
      </c>
      <c r="R8" s="59">
        <f>(参数输入表!$H$113-参数输入表!$H$120)*参数输入表!$H$152/(1+参数输入表!$H$155)</f>
        <v>144.77358705026501</v>
      </c>
      <c r="S8" s="59">
        <f>(参数输入表!$H$113-参数输入表!$H$120)*参数输入表!$H$152/(1+参数输入表!$H$155)</f>
        <v>144.77358705026501</v>
      </c>
      <c r="T8" s="59">
        <f>(参数输入表!$H$113-参数输入表!$H$120)*参数输入表!$H$152/(1+参数输入表!$H$155)</f>
        <v>144.77358705026501</v>
      </c>
      <c r="U8" s="59">
        <f>(参数输入表!$H$113-参数输入表!$H$120)*参数输入表!$H$152/(1+参数输入表!$H$155)</f>
        <v>144.77358705026501</v>
      </c>
      <c r="V8" s="59">
        <f>(参数输入表!$H$113-参数输入表!$H$120)*参数输入表!$H$152/(1+参数输入表!$H$155)</f>
        <v>144.77358705026501</v>
      </c>
      <c r="W8" s="59">
        <f>(参数输入表!$H$113-参数输入表!$H$120)*参数输入表!$H$153/(1+参数输入表!$H$155)</f>
        <v>193.03144940035301</v>
      </c>
      <c r="X8" s="59">
        <f>(参数输入表!$H$113-参数输入表!$H$120)*参数输入表!$H$153/(1+参数输入表!$H$155)</f>
        <v>193.03144940035301</v>
      </c>
      <c r="Y8" s="59">
        <f>(参数输入表!$H$113-参数输入表!$H$120)*参数输入表!$H$153/(1+参数输入表!$H$155)</f>
        <v>193.03144940035301</v>
      </c>
      <c r="Z8" s="59">
        <f>(参数输入表!$H$113-参数输入表!$H$120)*参数输入表!$H$153/(1+参数输入表!$H$155)</f>
        <v>193.03144940035301</v>
      </c>
      <c r="AA8" s="59">
        <f>(参数输入表!$H$113-参数输入表!$H$120)*参数输入表!$H$153/(1+参数输入表!$H$155)</f>
        <v>193.03144940035301</v>
      </c>
      <c r="AB8" s="59">
        <f>(参数输入表!$H$113-参数输入表!$H$120)*参数输入表!$H$154/(1+参数输入表!$H$155)</f>
        <v>241.28931175044201</v>
      </c>
      <c r="AC8" s="59">
        <f>(参数输入表!$H$113-参数输入表!$H$120)*参数输入表!$H$154/(1+参数输入表!$H$155)</f>
        <v>241.28931175044201</v>
      </c>
      <c r="AD8" s="59">
        <f>(参数输入表!$H$113-参数输入表!$H$120)*参数输入表!$H$154/(1+参数输入表!$H$155)</f>
        <v>241.28931175044201</v>
      </c>
      <c r="AE8" s="59">
        <f>(参数输入表!$H$113-参数输入表!$H$120)*参数输入表!$H$154/(1+参数输入表!$H$155)</f>
        <v>241.28931175044201</v>
      </c>
      <c r="AF8" s="59">
        <f>(参数输入表!$H$113-参数输入表!$H$120)*参数输入表!$H$154/(1+参数输入表!$H$155)</f>
        <v>241.28931175044201</v>
      </c>
    </row>
    <row r="9" spans="2:32">
      <c r="B9" s="107">
        <v>1.3</v>
      </c>
      <c r="C9" s="175" t="s">
        <v>182</v>
      </c>
      <c r="D9" s="59">
        <f t="shared" si="2"/>
        <v>3360</v>
      </c>
      <c r="E9" s="106" t="s">
        <v>111</v>
      </c>
      <c r="F9" s="137"/>
      <c r="G9" s="137"/>
      <c r="H9" s="59">
        <f>(参数输入表!$H$167*参数输入表!$H$170+参数输入表!$H$168*参数输入表!$H$171)*(1+参数输入表!$H$172)*(1+参数输入表!$H$173*(H4-1))/(1+参数输入表!$H$174)</f>
        <v>134.4</v>
      </c>
      <c r="I9" s="59">
        <f>(参数输入表!$H$167*参数输入表!$H$170+参数输入表!$H$168*参数输入表!$H$171)*(1+参数输入表!$H$172)*(1+参数输入表!$H$173*(I4-1))/(1+参数输入表!$H$174)</f>
        <v>134.4</v>
      </c>
      <c r="J9" s="59">
        <f>(参数输入表!$H$167*参数输入表!$H$170+参数输入表!$H$168*参数输入表!$H$171)*(1+参数输入表!$H$172)*(1+参数输入表!$H$173*(J4-1))/(1+参数输入表!$H$174)</f>
        <v>134.4</v>
      </c>
      <c r="K9" s="59">
        <f>(参数输入表!$H$167*参数输入表!$H$170+参数输入表!$H$168*参数输入表!$H$171)*(1+参数输入表!$H$172)*(1+参数输入表!$H$173*(K4-1))/(1+参数输入表!$H$174)</f>
        <v>134.4</v>
      </c>
      <c r="L9" s="59">
        <f>(参数输入表!$H$167*参数输入表!$H$170+参数输入表!$H$168*参数输入表!$H$171)*(1+参数输入表!$H$172)*(1+参数输入表!$H$173*(L4-1))/(1+参数输入表!$H$174)</f>
        <v>134.4</v>
      </c>
      <c r="M9" s="59">
        <f>(参数输入表!$H$167*参数输入表!$H$170+参数输入表!$H$168*参数输入表!$H$171)*(1+参数输入表!$H$172)*(1+参数输入表!$H$173*(M4-1))/(1+参数输入表!$H$174)</f>
        <v>134.4</v>
      </c>
      <c r="N9" s="59">
        <f>(参数输入表!$H$167*参数输入表!$H$170+参数输入表!$H$168*参数输入表!$H$171)*(1+参数输入表!$H$172)*(1+参数输入表!$H$173*(N4-1))/(1+参数输入表!$H$174)</f>
        <v>134.4</v>
      </c>
      <c r="O9" s="59">
        <f>(参数输入表!$H$167*参数输入表!$H$170+参数输入表!$H$168*参数输入表!$H$171)*(1+参数输入表!$H$172)*(1+参数输入表!$H$173*(O4-1))/(1+参数输入表!$H$174)</f>
        <v>134.4</v>
      </c>
      <c r="P9" s="59">
        <f>(参数输入表!$H$167*参数输入表!$H$170+参数输入表!$H$168*参数输入表!$H$171)*(1+参数输入表!$H$172)*(1+参数输入表!$H$173*(P4-1))/(1+参数输入表!$H$174)</f>
        <v>134.4</v>
      </c>
      <c r="Q9" s="59">
        <f>(参数输入表!$H$167*参数输入表!$H$170+参数输入表!$H$168*参数输入表!$H$171)*(1+参数输入表!$H$172)*(1+参数输入表!$H$173*(Q4-1))/(1+参数输入表!$H$174)</f>
        <v>134.4</v>
      </c>
      <c r="R9" s="59">
        <f>(参数输入表!$H$167*参数输入表!$H$170+参数输入表!$H$168*参数输入表!$H$171)*(1+参数输入表!$H$172)*(1+参数输入表!$H$173*(R4-1))/(1+参数输入表!$H$174)</f>
        <v>134.4</v>
      </c>
      <c r="S9" s="59">
        <f>(参数输入表!$H$167*参数输入表!$H$170+参数输入表!$H$168*参数输入表!$H$171)*(1+参数输入表!$H$172)*(1+参数输入表!$H$173*(S4-1))/(1+参数输入表!$H$174)</f>
        <v>134.4</v>
      </c>
      <c r="T9" s="59">
        <f>(参数输入表!$H$167*参数输入表!$H$170+参数输入表!$H$168*参数输入表!$H$171)*(1+参数输入表!$H$172)*(1+参数输入表!$H$173*(T4-1))/(1+参数输入表!$H$174)</f>
        <v>134.4</v>
      </c>
      <c r="U9" s="59">
        <f>(参数输入表!$H$167*参数输入表!$H$170+参数输入表!$H$168*参数输入表!$H$171)*(1+参数输入表!$H$172)*(1+参数输入表!$H$173*(U4-1))/(1+参数输入表!$H$174)</f>
        <v>134.4</v>
      </c>
      <c r="V9" s="59">
        <f>(参数输入表!$H$167*参数输入表!$H$170+参数输入表!$H$168*参数输入表!$H$171)*(1+参数输入表!$H$172)*(1+参数输入表!$H$173*(V4-1))/(1+参数输入表!$H$174)</f>
        <v>134.4</v>
      </c>
      <c r="W9" s="59">
        <f>(参数输入表!$H$167*参数输入表!$H$170+参数输入表!$H$168*参数输入表!$H$171)*(1+参数输入表!$H$172)*(1+参数输入表!$H$173*(W4-1))/(1+参数输入表!$H$174)</f>
        <v>134.4</v>
      </c>
      <c r="X9" s="59">
        <f>(参数输入表!$H$167*参数输入表!$H$170+参数输入表!$H$168*参数输入表!$H$171)*(1+参数输入表!$H$172)*(1+参数输入表!$H$173*(X4-1))/(1+参数输入表!$H$174)</f>
        <v>134.4</v>
      </c>
      <c r="Y9" s="59">
        <f>(参数输入表!$H$167*参数输入表!$H$170+参数输入表!$H$168*参数输入表!$H$171)*(1+参数输入表!$H$172)*(1+参数输入表!$H$173*(Y4-1))/(1+参数输入表!$H$174)</f>
        <v>134.4</v>
      </c>
      <c r="Z9" s="59">
        <f>(参数输入表!$H$167*参数输入表!$H$170+参数输入表!$H$168*参数输入表!$H$171)*(1+参数输入表!$H$172)*(1+参数输入表!$H$173*(Z4-1))/(1+参数输入表!$H$174)</f>
        <v>134.4</v>
      </c>
      <c r="AA9" s="59">
        <f>(参数输入表!$H$167*参数输入表!$H$170+参数输入表!$H$168*参数输入表!$H$171)*(1+参数输入表!$H$172)*(1+参数输入表!$H$173*(AA4-1))/(1+参数输入表!$H$174)</f>
        <v>134.4</v>
      </c>
      <c r="AB9" s="59">
        <f>(参数输入表!$H$167*参数输入表!$H$170+参数输入表!$H$168*参数输入表!$H$171)*(1+参数输入表!$H$172)*(1+参数输入表!$H$173*(AB4-1))/(1+参数输入表!$H$174)</f>
        <v>134.4</v>
      </c>
      <c r="AC9" s="59">
        <f>(参数输入表!$H$167*参数输入表!$H$170+参数输入表!$H$168*参数输入表!$H$171)*(1+参数输入表!$H$172)*(1+参数输入表!$H$173*(AC4-1))/(1+参数输入表!$H$174)</f>
        <v>134.4</v>
      </c>
      <c r="AD9" s="59">
        <f>(参数输入表!$H$167*参数输入表!$H$170+参数输入表!$H$168*参数输入表!$H$171)*(1+参数输入表!$H$172)*(1+参数输入表!$H$173*(AD4-1))/(1+参数输入表!$H$174)</f>
        <v>134.4</v>
      </c>
      <c r="AE9" s="59">
        <f>(参数输入表!$H$167*参数输入表!$H$170+参数输入表!$H$168*参数输入表!$H$171)*(1+参数输入表!$H$172)*(1+参数输入表!$H$173*(AE4-1))/(1+参数输入表!$H$174)</f>
        <v>134.4</v>
      </c>
      <c r="AF9" s="59">
        <f>(参数输入表!$H$167*参数输入表!$H$170+参数输入表!$H$168*参数输入表!$H$171)*(1+参数输入表!$H$172)*(1+参数输入表!$H$173*(AF4-1))/(1+参数输入表!$H$174)</f>
        <v>134.4</v>
      </c>
    </row>
    <row r="10" spans="2:32">
      <c r="B10" s="107">
        <v>1.4</v>
      </c>
      <c r="C10" s="176" t="s">
        <v>392</v>
      </c>
      <c r="D10" s="59">
        <f t="shared" si="2"/>
        <v>0</v>
      </c>
      <c r="E10" s="106" t="s">
        <v>111</v>
      </c>
      <c r="F10" s="137"/>
      <c r="G10" s="137"/>
      <c r="H10" s="59">
        <f>'表2-折旧摊销表'!H31</f>
        <v>0</v>
      </c>
      <c r="I10" s="59">
        <f>'表2-折旧摊销表'!I31</f>
        <v>0</v>
      </c>
      <c r="J10" s="59">
        <f>'表2-折旧摊销表'!J31</f>
        <v>0</v>
      </c>
      <c r="K10" s="59">
        <f>'表2-折旧摊销表'!K31</f>
        <v>0</v>
      </c>
      <c r="L10" s="59">
        <f>'表2-折旧摊销表'!L31</f>
        <v>0</v>
      </c>
      <c r="M10" s="59">
        <f>'表2-折旧摊销表'!M31</f>
        <v>0</v>
      </c>
      <c r="N10" s="59">
        <f>'表2-折旧摊销表'!N31</f>
        <v>0</v>
      </c>
      <c r="O10" s="59">
        <f>'表2-折旧摊销表'!O31</f>
        <v>0</v>
      </c>
      <c r="P10" s="59">
        <f>'表2-折旧摊销表'!P31</f>
        <v>0</v>
      </c>
      <c r="Q10" s="59">
        <f>'表2-折旧摊销表'!Q31</f>
        <v>0</v>
      </c>
      <c r="R10" s="59">
        <f>'表2-折旧摊销表'!R31</f>
        <v>0</v>
      </c>
      <c r="S10" s="59">
        <f>'表2-折旧摊销表'!S31</f>
        <v>0</v>
      </c>
      <c r="T10" s="59">
        <f>'表2-折旧摊销表'!T31</f>
        <v>0</v>
      </c>
      <c r="U10" s="59">
        <f>'表2-折旧摊销表'!U31</f>
        <v>0</v>
      </c>
      <c r="V10" s="59">
        <f>'表2-折旧摊销表'!V31</f>
        <v>0</v>
      </c>
      <c r="W10" s="59">
        <f>'表2-折旧摊销表'!W31</f>
        <v>0</v>
      </c>
      <c r="X10" s="59">
        <f>'表2-折旧摊销表'!X31</f>
        <v>0</v>
      </c>
      <c r="Y10" s="59">
        <f>'表2-折旧摊销表'!Y31</f>
        <v>0</v>
      </c>
      <c r="Z10" s="59">
        <f>'表2-折旧摊销表'!Z31</f>
        <v>0</v>
      </c>
      <c r="AA10" s="59">
        <f>'表2-折旧摊销表'!AA31</f>
        <v>0</v>
      </c>
      <c r="AB10" s="59">
        <f>'表2-折旧摊销表'!AB31</f>
        <v>0</v>
      </c>
      <c r="AC10" s="59">
        <f>'表2-折旧摊销表'!AC31</f>
        <v>0</v>
      </c>
      <c r="AD10" s="59">
        <f>'表2-折旧摊销表'!AD31</f>
        <v>0</v>
      </c>
      <c r="AE10" s="59">
        <f>'表2-折旧摊销表'!AE31</f>
        <v>0</v>
      </c>
      <c r="AF10" s="59">
        <f>'表2-折旧摊销表'!AF31</f>
        <v>0</v>
      </c>
    </row>
    <row r="11" spans="2:32" s="172" customFormat="1">
      <c r="B11" s="177">
        <v>1.5</v>
      </c>
      <c r="C11" s="178" t="s">
        <v>393</v>
      </c>
      <c r="D11" s="179">
        <f t="shared" ca="1" si="2"/>
        <v>23689.9702344383</v>
      </c>
      <c r="E11" s="180" t="s">
        <v>111</v>
      </c>
      <c r="F11" s="181"/>
      <c r="G11" s="181"/>
      <c r="H11" s="179">
        <f ca="1">'表2-折旧摊销表'!H28+'表2-折旧摊销表'!H34+'表2-折旧摊销表'!H37</f>
        <v>1164.3215205714728</v>
      </c>
      <c r="I11" s="179">
        <f ca="1">'表2-折旧摊销表'!I28+'表2-折旧摊销表'!I34+'表2-折旧摊销表'!I37</f>
        <v>1164.3215205714728</v>
      </c>
      <c r="J11" s="179">
        <f ca="1">'表2-折旧摊销表'!J28+'表2-折旧摊销表'!J34+'表2-折旧摊销表'!J37</f>
        <v>1164.3215205714728</v>
      </c>
      <c r="K11" s="179">
        <f ca="1">'表2-折旧摊销表'!K28+'表2-折旧摊销表'!K34+'表2-折旧摊销表'!K37</f>
        <v>1164.3215205714728</v>
      </c>
      <c r="L11" s="179">
        <f ca="1">'表2-折旧摊销表'!L28+'表2-折旧摊销表'!L34+'表2-折旧摊销表'!L37</f>
        <v>1164.3215205714728</v>
      </c>
      <c r="M11" s="179">
        <f ca="1">'表2-折旧摊销表'!M28+'表2-折旧摊销表'!M34+'表2-折旧摊销表'!M37</f>
        <v>1164.3215205714728</v>
      </c>
      <c r="N11" s="179">
        <f ca="1">'表2-折旧摊销表'!N28+'表2-折旧摊销表'!N34+'表2-折旧摊销表'!N37</f>
        <v>1164.3215205714728</v>
      </c>
      <c r="O11" s="179">
        <f ca="1">'表2-折旧摊销表'!O28+'表2-折旧摊销表'!O34+'表2-折旧摊销表'!O37</f>
        <v>1164.3215205714728</v>
      </c>
      <c r="P11" s="179">
        <f ca="1">'表2-折旧摊销表'!P28+'表2-折旧摊销表'!P34+'表2-折旧摊销表'!P37</f>
        <v>1164.3215205714728</v>
      </c>
      <c r="Q11" s="179">
        <f ca="1">'表2-折旧摊销表'!Q28+'表2-折旧摊销表'!Q34+'表2-折旧摊销表'!Q37</f>
        <v>1164.3215205714728</v>
      </c>
      <c r="R11" s="179">
        <f ca="1">'表2-折旧摊销表'!R28+'表2-折旧摊销表'!R34+'表2-折旧摊销表'!R37</f>
        <v>1204.6755028723578</v>
      </c>
      <c r="S11" s="179">
        <f ca="1">'表2-折旧摊销表'!S28+'表2-折旧摊销表'!S34+'表2-折旧摊销表'!S37</f>
        <v>1204.6755028723578</v>
      </c>
      <c r="T11" s="179">
        <f ca="1">'表2-折旧摊销表'!T28+'表2-折旧摊销表'!T34+'表2-折旧摊销表'!T37</f>
        <v>1204.6755028723578</v>
      </c>
      <c r="U11" s="179">
        <f ca="1">'表2-折旧摊销表'!U28+'表2-折旧摊销表'!U34+'表2-折旧摊销表'!U37</f>
        <v>1204.6755028723578</v>
      </c>
      <c r="V11" s="179">
        <f ca="1">'表2-折旧摊销表'!V28+'表2-折旧摊销表'!V34+'表2-折旧摊销表'!V37</f>
        <v>1204.6755028723578</v>
      </c>
      <c r="W11" s="179">
        <f ca="1">'表2-折旧摊销表'!W28+'表2-折旧摊销表'!W34+'表2-折旧摊销表'!W37</f>
        <v>1204.6755028723578</v>
      </c>
      <c r="X11" s="179">
        <f ca="1">'表2-折旧摊销表'!X28+'表2-折旧摊销表'!X34+'表2-折旧摊销表'!X37</f>
        <v>1204.6755028723578</v>
      </c>
      <c r="Y11" s="179">
        <f ca="1">'表2-折旧摊销表'!Y28+'表2-折旧摊销表'!Y34+'表2-折旧摊销表'!Y37</f>
        <v>1204.6755028723578</v>
      </c>
      <c r="Z11" s="179">
        <f ca="1">'表2-折旧摊销表'!Z28+'表2-折旧摊销表'!Z34+'表2-折旧摊销表'!Z37</f>
        <v>1204.6755028723578</v>
      </c>
      <c r="AA11" s="179">
        <f ca="1">'表2-折旧摊销表'!AA28+'表2-折旧摊销表'!AA34+'表2-折旧摊销表'!AA37</f>
        <v>1204.6755028723578</v>
      </c>
      <c r="AB11" s="179">
        <f>'表2-折旧摊销表'!AB28+'表2-折旧摊销表'!AB34+'表2-折旧摊销表'!AB37</f>
        <v>0</v>
      </c>
      <c r="AC11" s="179">
        <f>'表2-折旧摊销表'!AC28+'表2-折旧摊销表'!AC34+'表2-折旧摊销表'!AC37</f>
        <v>0</v>
      </c>
      <c r="AD11" s="179">
        <f>'表2-折旧摊销表'!AD28+'表2-折旧摊销表'!AD34+'表2-折旧摊销表'!AD37</f>
        <v>0</v>
      </c>
      <c r="AE11" s="179">
        <f>'表2-折旧摊销表'!AE28+'表2-折旧摊销表'!AE34+'表2-折旧摊销表'!AE37</f>
        <v>0</v>
      </c>
      <c r="AF11" s="179">
        <f>'表2-折旧摊销表'!AF28+'表2-折旧摊销表'!AF34+'表2-折旧摊销表'!AF37</f>
        <v>0</v>
      </c>
    </row>
    <row r="12" spans="2:32">
      <c r="B12" s="56">
        <v>1.6</v>
      </c>
      <c r="C12" s="182" t="s">
        <v>21</v>
      </c>
      <c r="D12" s="59">
        <f t="shared" si="2"/>
        <v>3000</v>
      </c>
      <c r="E12" s="106" t="s">
        <v>111</v>
      </c>
      <c r="F12" s="137"/>
      <c r="G12" s="137"/>
      <c r="H12" s="59">
        <f>参数输入表!$H$175*参数输入表!$H$13/(1+参数输入表!$H$176)</f>
        <v>120</v>
      </c>
      <c r="I12" s="59">
        <f>参数输入表!$H$175*参数输入表!$H$13/(1+参数输入表!$H$176)</f>
        <v>120</v>
      </c>
      <c r="J12" s="59">
        <f>参数输入表!$H$175*参数输入表!$H$13/(1+参数输入表!$H$176)</f>
        <v>120</v>
      </c>
      <c r="K12" s="59">
        <f>参数输入表!$H$175*参数输入表!$H$13/(1+参数输入表!$H$176)</f>
        <v>120</v>
      </c>
      <c r="L12" s="59">
        <f>参数输入表!$H$175*参数输入表!$H$13/(1+参数输入表!$H$176)</f>
        <v>120</v>
      </c>
      <c r="M12" s="59">
        <f>参数输入表!$H$175*参数输入表!$H$13/(1+参数输入表!$H$176)</f>
        <v>120</v>
      </c>
      <c r="N12" s="59">
        <f>参数输入表!$H$175*参数输入表!$H$13/(1+参数输入表!$H$176)</f>
        <v>120</v>
      </c>
      <c r="O12" s="59">
        <f>参数输入表!$H$175*参数输入表!$H$13/(1+参数输入表!$H$176)</f>
        <v>120</v>
      </c>
      <c r="P12" s="59">
        <f>参数输入表!$H$175*参数输入表!$H$13/(1+参数输入表!$H$176)</f>
        <v>120</v>
      </c>
      <c r="Q12" s="59">
        <f>参数输入表!$H$175*参数输入表!$H$13/(1+参数输入表!$H$176)</f>
        <v>120</v>
      </c>
      <c r="R12" s="59">
        <f>参数输入表!$H$175*参数输入表!$H$13/(1+参数输入表!$H$176)</f>
        <v>120</v>
      </c>
      <c r="S12" s="59">
        <f>参数输入表!$H$175*参数输入表!$H$13/(1+参数输入表!$H$176)</f>
        <v>120</v>
      </c>
      <c r="T12" s="59">
        <f>参数输入表!$H$175*参数输入表!$H$13/(1+参数输入表!$H$176)</f>
        <v>120</v>
      </c>
      <c r="U12" s="59">
        <f>参数输入表!$H$175*参数输入表!$H$13/(1+参数输入表!$H$176)</f>
        <v>120</v>
      </c>
      <c r="V12" s="59">
        <f>参数输入表!$H$175*参数输入表!$H$13/(1+参数输入表!$H$176)</f>
        <v>120</v>
      </c>
      <c r="W12" s="59">
        <f>参数输入表!$H$175*参数输入表!$H$13/(1+参数输入表!$H$176)</f>
        <v>120</v>
      </c>
      <c r="X12" s="59">
        <f>参数输入表!$H$175*参数输入表!$H$13/(1+参数输入表!$H$176)</f>
        <v>120</v>
      </c>
      <c r="Y12" s="59">
        <f>参数输入表!$H$175*参数输入表!$H$13/(1+参数输入表!$H$176)</f>
        <v>120</v>
      </c>
      <c r="Z12" s="59">
        <f>参数输入表!$H$175*参数输入表!$H$13/(1+参数输入表!$H$176)</f>
        <v>120</v>
      </c>
      <c r="AA12" s="59">
        <f>参数输入表!$H$175*参数输入表!$H$13/(1+参数输入表!$H$176)</f>
        <v>120</v>
      </c>
      <c r="AB12" s="59">
        <f>参数输入表!$H$175*参数输入表!$H$13/(1+参数输入表!$H$176)</f>
        <v>120</v>
      </c>
      <c r="AC12" s="59">
        <f>参数输入表!$H$175*参数输入表!$H$13/(1+参数输入表!$H$176)</f>
        <v>120</v>
      </c>
      <c r="AD12" s="59">
        <f>参数输入表!$H$175*参数输入表!$H$13/(1+参数输入表!$H$176)</f>
        <v>120</v>
      </c>
      <c r="AE12" s="59">
        <f>参数输入表!$H$175*参数输入表!$H$13/(1+参数输入表!$H$176)</f>
        <v>120</v>
      </c>
      <c r="AF12" s="59">
        <f>参数输入表!$H$175*参数输入表!$H$13/(1+参数输入表!$H$176)</f>
        <v>120</v>
      </c>
    </row>
    <row r="13" spans="2:32">
      <c r="B13" s="56">
        <v>1.7</v>
      </c>
      <c r="C13" s="182" t="s">
        <v>208</v>
      </c>
      <c r="D13" s="59">
        <f t="shared" si="2"/>
        <v>0</v>
      </c>
      <c r="E13" s="106" t="s">
        <v>111</v>
      </c>
      <c r="F13" s="137"/>
      <c r="G13" s="137"/>
      <c r="H13" s="59">
        <f>参数输入表!$H$191*参数输入表!$H$13*1000/10000/(1+参数输入表!$H$192)</f>
        <v>0</v>
      </c>
      <c r="I13" s="59">
        <f>参数输入表!$H$191*参数输入表!$H$13*1000/10000/(1+参数输入表!$H$192)</f>
        <v>0</v>
      </c>
      <c r="J13" s="59">
        <f>参数输入表!$H$191*参数输入表!$H$13*1000/10000/(1+参数输入表!$H$192)</f>
        <v>0</v>
      </c>
      <c r="K13" s="59">
        <f>参数输入表!$H$191*参数输入表!$H$13*1000/10000/(1+参数输入表!$H$192)</f>
        <v>0</v>
      </c>
      <c r="L13" s="59">
        <f>参数输入表!$H$191*参数输入表!$H$13*1000/10000/(1+参数输入表!$H$192)</f>
        <v>0</v>
      </c>
      <c r="M13" s="59">
        <f>参数输入表!$H$191*参数输入表!$H$13*1000/10000/(1+参数输入表!$H$192)</f>
        <v>0</v>
      </c>
      <c r="N13" s="59">
        <f>参数输入表!$H$191*参数输入表!$H$13*1000/10000/(1+参数输入表!$H$192)</f>
        <v>0</v>
      </c>
      <c r="O13" s="59">
        <f>参数输入表!$H$191*参数输入表!$H$13*1000/10000/(1+参数输入表!$H$192)</f>
        <v>0</v>
      </c>
      <c r="P13" s="59">
        <f>参数输入表!$H$191*参数输入表!$H$13*1000/10000/(1+参数输入表!$H$192)</f>
        <v>0</v>
      </c>
      <c r="Q13" s="59">
        <f>参数输入表!$H$191*参数输入表!$H$13*1000/10000/(1+参数输入表!$H$192)</f>
        <v>0</v>
      </c>
      <c r="R13" s="59">
        <f>参数输入表!$H$191*参数输入表!$H$13*1000/10000/(1+参数输入表!$H$192)</f>
        <v>0</v>
      </c>
      <c r="S13" s="59">
        <f>参数输入表!$H$191*参数输入表!$H$13*1000/10000/(1+参数输入表!$H$192)</f>
        <v>0</v>
      </c>
      <c r="T13" s="59">
        <f>参数输入表!$H$191*参数输入表!$H$13*1000/10000/(1+参数输入表!$H$192)</f>
        <v>0</v>
      </c>
      <c r="U13" s="59">
        <f>参数输入表!$H$191*参数输入表!$H$13*1000/10000/(1+参数输入表!$H$192)</f>
        <v>0</v>
      </c>
      <c r="V13" s="59">
        <f>参数输入表!$H$191*参数输入表!$H$13*1000/10000/(1+参数输入表!$H$192)</f>
        <v>0</v>
      </c>
      <c r="W13" s="59">
        <f>参数输入表!$H$191*参数输入表!$H$13*1000/10000/(1+参数输入表!$H$192)</f>
        <v>0</v>
      </c>
      <c r="X13" s="59">
        <f>参数输入表!$H$191*参数输入表!$H$13*1000/10000/(1+参数输入表!$H$192)</f>
        <v>0</v>
      </c>
      <c r="Y13" s="59">
        <f>参数输入表!$H$191*参数输入表!$H$13*1000/10000/(1+参数输入表!$H$192)</f>
        <v>0</v>
      </c>
      <c r="Z13" s="59">
        <f>参数输入表!$H$191*参数输入表!$H$13*1000/10000/(1+参数输入表!$H$192)</f>
        <v>0</v>
      </c>
      <c r="AA13" s="59">
        <f>参数输入表!$H$191*参数输入表!$H$13*1000/10000/(1+参数输入表!$H$192)</f>
        <v>0</v>
      </c>
      <c r="AB13" s="59">
        <f>参数输入表!$H$191*参数输入表!$H$13*1000/10000/(1+参数输入表!$H$192)</f>
        <v>0</v>
      </c>
      <c r="AC13" s="59">
        <f>参数输入表!$H$191*参数输入表!$H$13*1000/10000/(1+参数输入表!$H$192)</f>
        <v>0</v>
      </c>
      <c r="AD13" s="59">
        <f>参数输入表!$H$191*参数输入表!$H$13*1000/10000/(1+参数输入表!$H$192)</f>
        <v>0</v>
      </c>
      <c r="AE13" s="59">
        <f>参数输入表!$H$191*参数输入表!$H$13*1000/10000/(1+参数输入表!$H$192)</f>
        <v>0</v>
      </c>
      <c r="AF13" s="59">
        <f>参数输入表!$H$191*参数输入表!$H$13*1000/10000/(1+参数输入表!$H$192)</f>
        <v>0</v>
      </c>
    </row>
    <row r="14" spans="2:32">
      <c r="B14" s="56">
        <v>1.8</v>
      </c>
      <c r="C14" s="182" t="s">
        <v>199</v>
      </c>
      <c r="D14" s="59">
        <f t="shared" si="2"/>
        <v>1650</v>
      </c>
      <c r="E14" s="106" t="s">
        <v>111</v>
      </c>
      <c r="F14" s="137"/>
      <c r="G14" s="137"/>
      <c r="H14" s="59">
        <f>参数输入表!$H$178*参数输入表!$H$179/10000*(1+参数输入表!$H$181)/(1+参数输入表!$H$186)</f>
        <v>60</v>
      </c>
      <c r="I14" s="59">
        <f>参数输入表!$H$178*参数输入表!$H$179/10000*(1+参数输入表!$H$181)/(1+参数输入表!$H$186)</f>
        <v>60</v>
      </c>
      <c r="J14" s="59">
        <f>参数输入表!$H$178*参数输入表!$H$179/10000*(1+参数输入表!$H$181)/(1+参数输入表!$H$186)</f>
        <v>60</v>
      </c>
      <c r="K14" s="59">
        <f>参数输入表!$H$178*参数输入表!$H$179/10000*(1+参数输入表!$H$181)/(1+参数输入表!$H$186)</f>
        <v>60</v>
      </c>
      <c r="L14" s="59">
        <f>参数输入表!$H$178*参数输入表!$H$179/10000*(1+参数输入表!$H$181)/(1+参数输入表!$H$186)</f>
        <v>60</v>
      </c>
      <c r="M14" s="59">
        <f>参数输入表!$H$178*参数输入表!$H$179/10000*(1+参数输入表!$H$182)/(1+参数输入表!$H$186)</f>
        <v>63</v>
      </c>
      <c r="N14" s="59">
        <f>参数输入表!$H$178*参数输入表!$H$179/10000*(1+参数输入表!$H$182)/(1+参数输入表!$H$186)</f>
        <v>63</v>
      </c>
      <c r="O14" s="59">
        <f>参数输入表!$H$178*参数输入表!$H$179/10000*(1+参数输入表!$H$182)/(1+参数输入表!$H$186)</f>
        <v>63</v>
      </c>
      <c r="P14" s="59">
        <f>参数输入表!$H$178*参数输入表!$H$179/10000*(1+参数输入表!$H$182)/(1+参数输入表!$H$186)</f>
        <v>63</v>
      </c>
      <c r="Q14" s="59">
        <f>参数输入表!$H$178*参数输入表!$H$179/10000*(1+参数输入表!$H$182)/(1+参数输入表!$H$186)</f>
        <v>63</v>
      </c>
      <c r="R14" s="59">
        <f>参数输入表!$H$178*参数输入表!$H$179/10000*(1+参数输入表!$H$183)/(1+参数输入表!$H$186)</f>
        <v>66</v>
      </c>
      <c r="S14" s="59">
        <f>参数输入表!$H$178*参数输入表!$H$179/10000*(1+参数输入表!$H$183)/(1+参数输入表!$H$186)</f>
        <v>66</v>
      </c>
      <c r="T14" s="59">
        <f>参数输入表!$H$178*参数输入表!$H$179/10000*(1+参数输入表!$H$183)/(1+参数输入表!$H$186)</f>
        <v>66</v>
      </c>
      <c r="U14" s="59">
        <f>参数输入表!$H$178*参数输入表!$H$179/10000*(1+参数输入表!$H$183)/(1+参数输入表!$H$186)</f>
        <v>66</v>
      </c>
      <c r="V14" s="59">
        <f>参数输入表!$H$178*参数输入表!$H$179/10000*(1+参数输入表!$H$183)/(1+参数输入表!$H$186)</f>
        <v>66</v>
      </c>
      <c r="W14" s="59">
        <f>参数输入表!$H$178*参数输入表!$H$179/10000*(1+参数输入表!$H$184)/(1+参数输入表!$H$186)</f>
        <v>69</v>
      </c>
      <c r="X14" s="59">
        <f>参数输入表!$H$178*参数输入表!$H$179/10000*(1+参数输入表!$H$184)/(1+参数输入表!$H$186)</f>
        <v>69</v>
      </c>
      <c r="Y14" s="59">
        <f>参数输入表!$H$178*参数输入表!$H$179/10000*(1+参数输入表!$H$184)/(1+参数输入表!$H$186)</f>
        <v>69</v>
      </c>
      <c r="Z14" s="59">
        <f>参数输入表!$H$178*参数输入表!$H$179/10000*(1+参数输入表!$H$184)/(1+参数输入表!$H$186)</f>
        <v>69</v>
      </c>
      <c r="AA14" s="59">
        <f>参数输入表!$H$178*参数输入表!$H$179/10000*(1+参数输入表!$H$184)/(1+参数输入表!$H$186)</f>
        <v>69</v>
      </c>
      <c r="AB14" s="59">
        <f>参数输入表!$H$178*参数输入表!$H$179/10000*(1+参数输入表!$H$185)/(1+参数输入表!$H$186)</f>
        <v>72</v>
      </c>
      <c r="AC14" s="59">
        <f>参数输入表!$H$178*参数输入表!$H$179/10000*(1+参数输入表!$H$185)/(1+参数输入表!$H$186)</f>
        <v>72</v>
      </c>
      <c r="AD14" s="59">
        <f>参数输入表!$H$178*参数输入表!$H$179/10000*(1+参数输入表!$H$185)/(1+参数输入表!$H$186)</f>
        <v>72</v>
      </c>
      <c r="AE14" s="59">
        <f>参数输入表!$H$178*参数输入表!$H$179/10000*(1+参数输入表!$H$185)/(1+参数输入表!$H$186)</f>
        <v>72</v>
      </c>
      <c r="AF14" s="59">
        <f>参数输入表!$H$178*参数输入表!$H$179/10000*(1+参数输入表!$H$185)/(1+参数输入表!$H$186)</f>
        <v>72</v>
      </c>
    </row>
    <row r="15" spans="2:32" ht="21" customHeight="1">
      <c r="B15" s="99">
        <v>2</v>
      </c>
      <c r="C15" s="100" t="s">
        <v>394</v>
      </c>
      <c r="D15" s="55">
        <f t="shared" si="2"/>
        <v>0</v>
      </c>
      <c r="E15" s="106" t="s">
        <v>111</v>
      </c>
      <c r="F15" s="106"/>
      <c r="G15" s="106"/>
      <c r="H15" s="55">
        <v>0</v>
      </c>
      <c r="I15" s="55">
        <v>0</v>
      </c>
      <c r="J15" s="55">
        <v>0</v>
      </c>
      <c r="K15" s="55">
        <v>0</v>
      </c>
      <c r="L15" s="55">
        <v>0</v>
      </c>
      <c r="M15" s="55">
        <v>0</v>
      </c>
      <c r="N15" s="55">
        <v>0</v>
      </c>
      <c r="O15" s="55">
        <v>0</v>
      </c>
      <c r="P15" s="55">
        <v>0</v>
      </c>
      <c r="Q15" s="55">
        <v>0</v>
      </c>
      <c r="R15" s="55">
        <v>0</v>
      </c>
      <c r="S15" s="55">
        <v>0</v>
      </c>
      <c r="T15" s="55">
        <v>0</v>
      </c>
      <c r="U15" s="55">
        <v>0</v>
      </c>
      <c r="V15" s="55">
        <v>0</v>
      </c>
      <c r="W15" s="55">
        <v>0</v>
      </c>
      <c r="X15" s="55">
        <v>0</v>
      </c>
      <c r="Y15" s="55">
        <v>0</v>
      </c>
      <c r="Z15" s="55">
        <v>0</v>
      </c>
      <c r="AA15" s="55">
        <v>0</v>
      </c>
      <c r="AB15" s="55">
        <v>0</v>
      </c>
      <c r="AC15" s="55">
        <v>0</v>
      </c>
      <c r="AD15" s="55">
        <v>0</v>
      </c>
      <c r="AE15" s="55">
        <v>0</v>
      </c>
      <c r="AF15" s="55">
        <v>0</v>
      </c>
    </row>
    <row r="16" spans="2:32" ht="21" customHeight="1">
      <c r="B16" s="99">
        <v>3</v>
      </c>
      <c r="C16" s="100" t="s">
        <v>178</v>
      </c>
      <c r="D16" s="55">
        <f t="shared" ca="1" si="2"/>
        <v>1532.0020007519374</v>
      </c>
      <c r="E16" s="106" t="s">
        <v>111</v>
      </c>
      <c r="F16" s="106"/>
      <c r="G16" s="106"/>
      <c r="H16" s="55">
        <f t="shared" ref="H16:AF16" ca="1" si="4">SUM(H17:H18)</f>
        <v>61.280080030077514</v>
      </c>
      <c r="I16" s="55">
        <f t="shared" ca="1" si="4"/>
        <v>61.280080030077514</v>
      </c>
      <c r="J16" s="55">
        <f t="shared" ca="1" si="4"/>
        <v>61.280080030077514</v>
      </c>
      <c r="K16" s="55">
        <f t="shared" ca="1" si="4"/>
        <v>61.280080030077514</v>
      </c>
      <c r="L16" s="55">
        <f t="shared" ca="1" si="4"/>
        <v>61.280080030077514</v>
      </c>
      <c r="M16" s="55">
        <f t="shared" ca="1" si="4"/>
        <v>61.280080030077514</v>
      </c>
      <c r="N16" s="55">
        <f t="shared" ca="1" si="4"/>
        <v>61.280080030077514</v>
      </c>
      <c r="O16" s="55">
        <f t="shared" ca="1" si="4"/>
        <v>61.280080030077514</v>
      </c>
      <c r="P16" s="55">
        <f t="shared" ca="1" si="4"/>
        <v>61.280080030077514</v>
      </c>
      <c r="Q16" s="55">
        <f t="shared" ca="1" si="4"/>
        <v>61.280080030077514</v>
      </c>
      <c r="R16" s="55">
        <f t="shared" ca="1" si="4"/>
        <v>61.280080030077514</v>
      </c>
      <c r="S16" s="55">
        <f t="shared" ca="1" si="4"/>
        <v>61.280080030077514</v>
      </c>
      <c r="T16" s="55">
        <f t="shared" ca="1" si="4"/>
        <v>61.280080030077514</v>
      </c>
      <c r="U16" s="55">
        <f t="shared" ca="1" si="4"/>
        <v>61.280080030077514</v>
      </c>
      <c r="V16" s="55">
        <f t="shared" ca="1" si="4"/>
        <v>61.280080030077514</v>
      </c>
      <c r="W16" s="55">
        <f t="shared" ca="1" si="4"/>
        <v>61.280080030077514</v>
      </c>
      <c r="X16" s="55">
        <f t="shared" ca="1" si="4"/>
        <v>61.280080030077514</v>
      </c>
      <c r="Y16" s="55">
        <f t="shared" ca="1" si="4"/>
        <v>61.280080030077514</v>
      </c>
      <c r="Z16" s="55">
        <f t="shared" ca="1" si="4"/>
        <v>61.280080030077514</v>
      </c>
      <c r="AA16" s="55">
        <f t="shared" ca="1" si="4"/>
        <v>61.280080030077514</v>
      </c>
      <c r="AB16" s="55">
        <f t="shared" ca="1" si="4"/>
        <v>61.280080030077514</v>
      </c>
      <c r="AC16" s="55">
        <f t="shared" ca="1" si="4"/>
        <v>61.280080030077514</v>
      </c>
      <c r="AD16" s="55">
        <f t="shared" ca="1" si="4"/>
        <v>61.280080030077514</v>
      </c>
      <c r="AE16" s="55">
        <f t="shared" ca="1" si="4"/>
        <v>61.280080030077514</v>
      </c>
      <c r="AF16" s="55">
        <f t="shared" ca="1" si="4"/>
        <v>61.280080030077514</v>
      </c>
    </row>
    <row r="17" spans="2:32" ht="21" customHeight="1">
      <c r="B17" s="107">
        <v>3.1</v>
      </c>
      <c r="C17" s="176" t="s">
        <v>395</v>
      </c>
      <c r="D17" s="59">
        <f t="shared" ca="1" si="2"/>
        <v>1532.0020007519374</v>
      </c>
      <c r="E17" s="106" t="s">
        <v>111</v>
      </c>
      <c r="F17" s="106"/>
      <c r="G17" s="106"/>
      <c r="H17" s="59">
        <f ca="1">'表2-折旧摊销表'!$D$4*参数输入表!$H$159/(1+参数输入表!$H$164)</f>
        <v>61.280080030077514</v>
      </c>
      <c r="I17" s="59">
        <f ca="1">'表2-折旧摊销表'!$D$4*参数输入表!$H$159/(1+参数输入表!$H$164)</f>
        <v>61.280080030077514</v>
      </c>
      <c r="J17" s="59">
        <f ca="1">'表2-折旧摊销表'!$D$4*参数输入表!$H$159/(1+参数输入表!$H$164)</f>
        <v>61.280080030077514</v>
      </c>
      <c r="K17" s="59">
        <f ca="1">'表2-折旧摊销表'!$D$4*参数输入表!$H$159/(1+参数输入表!$H$164)</f>
        <v>61.280080030077514</v>
      </c>
      <c r="L17" s="59">
        <f ca="1">'表2-折旧摊销表'!$D$4*参数输入表!$H$159/(1+参数输入表!$H$164)</f>
        <v>61.280080030077514</v>
      </c>
      <c r="M17" s="59">
        <f ca="1">'表2-折旧摊销表'!$D$4*参数输入表!$H$160/(1+参数输入表!$H$164)</f>
        <v>61.280080030077514</v>
      </c>
      <c r="N17" s="59">
        <f ca="1">'表2-折旧摊销表'!$D$4*参数输入表!$H$160/(1+参数输入表!$H$164)</f>
        <v>61.280080030077514</v>
      </c>
      <c r="O17" s="59">
        <f ca="1">'表2-折旧摊销表'!$D$4*参数输入表!$H$160/(1+参数输入表!$H$164)</f>
        <v>61.280080030077514</v>
      </c>
      <c r="P17" s="59">
        <f ca="1">'表2-折旧摊销表'!$D$4*参数输入表!$H$160/(1+参数输入表!$H$164)</f>
        <v>61.280080030077514</v>
      </c>
      <c r="Q17" s="59">
        <f ca="1">'表2-折旧摊销表'!$D$4*参数输入表!$H$160/(1+参数输入表!$H$164)</f>
        <v>61.280080030077514</v>
      </c>
      <c r="R17" s="59">
        <f ca="1">'表2-折旧摊销表'!$D$4*参数输入表!$H$161/(1+参数输入表!$H$164)</f>
        <v>61.280080030077514</v>
      </c>
      <c r="S17" s="59">
        <f ca="1">'表2-折旧摊销表'!$D$4*参数输入表!$H$161/(1+参数输入表!$H$164)</f>
        <v>61.280080030077514</v>
      </c>
      <c r="T17" s="59">
        <f ca="1">'表2-折旧摊销表'!$D$4*参数输入表!$H$161/(1+参数输入表!$H$164)</f>
        <v>61.280080030077514</v>
      </c>
      <c r="U17" s="59">
        <f ca="1">'表2-折旧摊销表'!$D$4*参数输入表!$H$161/(1+参数输入表!$H$164)</f>
        <v>61.280080030077514</v>
      </c>
      <c r="V17" s="59">
        <f ca="1">'表2-折旧摊销表'!$D$4*参数输入表!$H$161/(1+参数输入表!$H$164)</f>
        <v>61.280080030077514</v>
      </c>
      <c r="W17" s="59">
        <f ca="1">'表2-折旧摊销表'!$D$4*参数输入表!$H$162/(1+参数输入表!$H$164)</f>
        <v>61.280080030077514</v>
      </c>
      <c r="X17" s="59">
        <f ca="1">'表2-折旧摊销表'!$D$4*参数输入表!$H$162/(1+参数输入表!$H$164)</f>
        <v>61.280080030077514</v>
      </c>
      <c r="Y17" s="59">
        <f ca="1">'表2-折旧摊销表'!$D$4*参数输入表!$H$162/(1+参数输入表!$H$164)</f>
        <v>61.280080030077514</v>
      </c>
      <c r="Z17" s="59">
        <f ca="1">'表2-折旧摊销表'!$D$4*参数输入表!$H$162/(1+参数输入表!$H$164)</f>
        <v>61.280080030077514</v>
      </c>
      <c r="AA17" s="59">
        <f ca="1">'表2-折旧摊销表'!$D$4*参数输入表!$H$162/(1+参数输入表!$H$164)</f>
        <v>61.280080030077514</v>
      </c>
      <c r="AB17" s="59">
        <f ca="1">'表2-折旧摊销表'!$D$4*参数输入表!$H$163/(1+参数输入表!$H$164)</f>
        <v>61.280080030077514</v>
      </c>
      <c r="AC17" s="59">
        <f ca="1">'表2-折旧摊销表'!$D$4*参数输入表!$H$163/(1+参数输入表!$H$164)</f>
        <v>61.280080030077514</v>
      </c>
      <c r="AD17" s="59">
        <f ca="1">'表2-折旧摊销表'!$D$4*参数输入表!$H$163/(1+参数输入表!$H$164)</f>
        <v>61.280080030077514</v>
      </c>
      <c r="AE17" s="59">
        <f ca="1">'表2-折旧摊销表'!$D$4*参数输入表!$H$163/(1+参数输入表!$H$164)</f>
        <v>61.280080030077514</v>
      </c>
      <c r="AF17" s="59">
        <f ca="1">'表2-折旧摊销表'!$D$4*参数输入表!$H$163/(1+参数输入表!$H$164)</f>
        <v>61.280080030077514</v>
      </c>
    </row>
    <row r="18" spans="2:32" ht="21" customHeight="1">
      <c r="B18" s="56">
        <v>3.2</v>
      </c>
      <c r="C18" s="182" t="s">
        <v>206</v>
      </c>
      <c r="D18" s="59">
        <f t="shared" ca="1" si="2"/>
        <v>0</v>
      </c>
      <c r="E18" s="106" t="s">
        <v>111</v>
      </c>
      <c r="F18" s="106"/>
      <c r="G18" s="106"/>
      <c r="H18" s="59">
        <v>0</v>
      </c>
      <c r="I18" s="59">
        <v>0</v>
      </c>
      <c r="J18" s="59">
        <v>0</v>
      </c>
      <c r="K18" s="59">
        <v>0</v>
      </c>
      <c r="L18" s="59">
        <v>0</v>
      </c>
      <c r="M18" s="59">
        <v>0</v>
      </c>
      <c r="N18" s="59">
        <v>0</v>
      </c>
      <c r="O18" s="59">
        <v>0</v>
      </c>
      <c r="P18" s="59">
        <v>0</v>
      </c>
      <c r="Q18" s="59">
        <v>0</v>
      </c>
      <c r="R18" s="59">
        <v>0</v>
      </c>
      <c r="S18" s="59">
        <v>0</v>
      </c>
      <c r="T18" s="59">
        <v>0</v>
      </c>
      <c r="U18" s="59">
        <v>0</v>
      </c>
      <c r="V18" s="59">
        <v>0</v>
      </c>
      <c r="W18" s="59">
        <v>0</v>
      </c>
      <c r="X18" s="59">
        <v>0</v>
      </c>
      <c r="Y18" s="59">
        <v>0</v>
      </c>
      <c r="Z18" s="59">
        <v>0</v>
      </c>
      <c r="AA18" s="59">
        <v>0</v>
      </c>
      <c r="AB18" s="59">
        <v>0</v>
      </c>
      <c r="AC18" s="59">
        <v>0</v>
      </c>
      <c r="AD18" s="59">
        <v>0</v>
      </c>
      <c r="AE18" s="59">
        <v>0</v>
      </c>
      <c r="AF18" s="59">
        <f ca="1">参数输入表!H189*参数输入表!H188/(1+参数输入表!$H$190)</f>
        <v>0</v>
      </c>
    </row>
    <row r="19" spans="2:32" ht="21" customHeight="1">
      <c r="B19" s="99">
        <v>4</v>
      </c>
      <c r="C19" s="100" t="s">
        <v>396</v>
      </c>
      <c r="D19" s="55">
        <f t="shared" si="2"/>
        <v>0</v>
      </c>
      <c r="E19" s="106" t="s">
        <v>111</v>
      </c>
      <c r="F19" s="106"/>
      <c r="G19" s="106"/>
      <c r="H19" s="55">
        <v>0</v>
      </c>
      <c r="I19" s="55">
        <v>0</v>
      </c>
      <c r="J19" s="55">
        <v>0</v>
      </c>
      <c r="K19" s="55">
        <v>0</v>
      </c>
      <c r="L19" s="55">
        <v>0</v>
      </c>
      <c r="M19" s="55">
        <v>0</v>
      </c>
      <c r="N19" s="55">
        <v>0</v>
      </c>
      <c r="O19" s="55">
        <v>0</v>
      </c>
      <c r="P19" s="55">
        <v>0</v>
      </c>
      <c r="Q19" s="55">
        <v>0</v>
      </c>
      <c r="R19" s="55">
        <v>0</v>
      </c>
      <c r="S19" s="55">
        <v>0</v>
      </c>
      <c r="T19" s="55">
        <v>0</v>
      </c>
      <c r="U19" s="55">
        <v>0</v>
      </c>
      <c r="V19" s="55">
        <v>0</v>
      </c>
      <c r="W19" s="55">
        <v>0</v>
      </c>
      <c r="X19" s="55">
        <v>0</v>
      </c>
      <c r="Y19" s="55">
        <v>0</v>
      </c>
      <c r="Z19" s="55">
        <v>0</v>
      </c>
      <c r="AA19" s="55">
        <v>0</v>
      </c>
      <c r="AB19" s="55">
        <v>0</v>
      </c>
      <c r="AC19" s="55">
        <v>0</v>
      </c>
      <c r="AD19" s="55">
        <v>0</v>
      </c>
      <c r="AE19" s="55">
        <v>0</v>
      </c>
      <c r="AF19" s="55">
        <v>0</v>
      </c>
    </row>
    <row r="20" spans="2:32" ht="21" customHeight="1">
      <c r="B20" s="86">
        <v>5</v>
      </c>
      <c r="C20" s="85" t="s">
        <v>397</v>
      </c>
      <c r="D20" s="55">
        <f t="shared" ref="D20:D48" ca="1" si="5">SUM(F20:AF20)</f>
        <v>6370.1464328417605</v>
      </c>
      <c r="E20" s="106" t="s">
        <v>111</v>
      </c>
      <c r="F20" s="106"/>
      <c r="G20" s="106"/>
      <c r="H20" s="55">
        <f ca="1">SUM(H21:H23)</f>
        <v>785.20130410522108</v>
      </c>
      <c r="I20" s="55">
        <f t="shared" ref="I20:AF20" ca="1" si="6">SUM(I21:I23)</f>
        <v>733.20175049820625</v>
      </c>
      <c r="J20" s="55">
        <f t="shared" ca="1" si="6"/>
        <v>681.20219689119153</v>
      </c>
      <c r="K20" s="55">
        <f t="shared" ca="1" si="6"/>
        <v>629.2026432841767</v>
      </c>
      <c r="L20" s="55">
        <f t="shared" ca="1" si="6"/>
        <v>577.20308967716198</v>
      </c>
      <c r="M20" s="55">
        <f t="shared" ca="1" si="6"/>
        <v>525.20353607014715</v>
      </c>
      <c r="N20" s="55">
        <f t="shared" ca="1" si="6"/>
        <v>473.20398246313249</v>
      </c>
      <c r="O20" s="55">
        <f t="shared" ca="1" si="6"/>
        <v>421.20442885611772</v>
      </c>
      <c r="P20" s="55">
        <f t="shared" ca="1" si="6"/>
        <v>369.20487524910294</v>
      </c>
      <c r="Q20" s="55">
        <f t="shared" ca="1" si="6"/>
        <v>317.20532164208817</v>
      </c>
      <c r="R20" s="55">
        <f t="shared" ca="1" si="6"/>
        <v>265.20576803507339</v>
      </c>
      <c r="S20" s="55">
        <f t="shared" ca="1" si="6"/>
        <v>213.20621442805864</v>
      </c>
      <c r="T20" s="55">
        <f t="shared" ca="1" si="6"/>
        <v>161.2066608210439</v>
      </c>
      <c r="U20" s="55">
        <f t="shared" ca="1" si="6"/>
        <v>109.20710721402915</v>
      </c>
      <c r="V20" s="55">
        <f t="shared" ca="1" si="6"/>
        <v>57.207553607014411</v>
      </c>
      <c r="W20" s="55">
        <f t="shared" ca="1" si="6"/>
        <v>5.2080000000000002</v>
      </c>
      <c r="X20" s="55">
        <f t="shared" ca="1" si="6"/>
        <v>5.2080000000000002</v>
      </c>
      <c r="Y20" s="55">
        <f t="shared" ca="1" si="6"/>
        <v>5.2080000000000002</v>
      </c>
      <c r="Z20" s="55">
        <f t="shared" ca="1" si="6"/>
        <v>5.2080000000000002</v>
      </c>
      <c r="AA20" s="55">
        <f t="shared" ca="1" si="6"/>
        <v>5.2080000000000002</v>
      </c>
      <c r="AB20" s="55">
        <f t="shared" ca="1" si="6"/>
        <v>5.2080000000000002</v>
      </c>
      <c r="AC20" s="55">
        <f t="shared" ca="1" si="6"/>
        <v>5.2080000000000002</v>
      </c>
      <c r="AD20" s="55">
        <f t="shared" ca="1" si="6"/>
        <v>5.2080000000000002</v>
      </c>
      <c r="AE20" s="55">
        <f t="shared" ca="1" si="6"/>
        <v>5.2080000000000002</v>
      </c>
      <c r="AF20" s="55">
        <f t="shared" ca="1" si="6"/>
        <v>5.2080000000000002</v>
      </c>
    </row>
    <row r="21" spans="2:32" ht="21" customHeight="1">
      <c r="B21" s="107">
        <v>5.0999999999999996</v>
      </c>
      <c r="C21" s="175" t="s">
        <v>398</v>
      </c>
      <c r="D21" s="59">
        <f t="shared" ca="1" si="5"/>
        <v>6239.9464328417653</v>
      </c>
      <c r="E21" s="106" t="s">
        <v>111</v>
      </c>
      <c r="F21" s="106"/>
      <c r="G21" s="106"/>
      <c r="H21" s="59">
        <f ca="1">'表1-资金筹措及还本付息表'!H53</f>
        <v>779.99330410522111</v>
      </c>
      <c r="I21" s="59">
        <f ca="1">'表1-资金筹措及还本付息表'!I53</f>
        <v>727.99375049820628</v>
      </c>
      <c r="J21" s="59">
        <f ca="1">'表1-资金筹措及还本付息表'!J53</f>
        <v>675.99419689119156</v>
      </c>
      <c r="K21" s="59">
        <f ca="1">'表1-资金筹措及还本付息表'!K53</f>
        <v>623.99464328417673</v>
      </c>
      <c r="L21" s="59">
        <f ca="1">'表1-资金筹措及还本付息表'!L53</f>
        <v>571.99508967716201</v>
      </c>
      <c r="M21" s="59">
        <f ca="1">'表1-资金筹措及还本付息表'!M53</f>
        <v>519.99553607014718</v>
      </c>
      <c r="N21" s="59">
        <f ca="1">'表1-资金筹措及还本付息表'!N53</f>
        <v>467.99598246313246</v>
      </c>
      <c r="O21" s="59">
        <f ca="1">'表1-资金筹措及还本付息表'!O53</f>
        <v>415.99642885611769</v>
      </c>
      <c r="P21" s="59">
        <f ca="1">'表1-资金筹措及还本付息表'!P53</f>
        <v>363.99687524910291</v>
      </c>
      <c r="Q21" s="59">
        <f ca="1">'表1-资金筹措及还本付息表'!Q53</f>
        <v>311.99732164208814</v>
      </c>
      <c r="R21" s="59">
        <f ca="1">'表1-资金筹措及还本付息表'!R53</f>
        <v>259.99776803507336</v>
      </c>
      <c r="S21" s="59">
        <f ca="1">'表1-资金筹措及还本付息表'!S53</f>
        <v>207.99821442805865</v>
      </c>
      <c r="T21" s="59">
        <f ca="1">'表1-资金筹措及还本付息表'!T53</f>
        <v>155.9986608210439</v>
      </c>
      <c r="U21" s="59">
        <f ca="1">'表1-资金筹措及还本付息表'!U53</f>
        <v>103.99910721402915</v>
      </c>
      <c r="V21" s="59">
        <f ca="1">'表1-资金筹措及还本付息表'!V53</f>
        <v>51.999553607014413</v>
      </c>
      <c r="W21" s="59">
        <f>'表1-资金筹措及还本付息表'!W53</f>
        <v>0</v>
      </c>
      <c r="X21" s="59">
        <f>'表1-资金筹措及还本付息表'!X53</f>
        <v>0</v>
      </c>
      <c r="Y21" s="59">
        <f>'表1-资金筹措及还本付息表'!Y53</f>
        <v>0</v>
      </c>
      <c r="Z21" s="59">
        <f>'表1-资金筹措及还本付息表'!Z53</f>
        <v>0</v>
      </c>
      <c r="AA21" s="59">
        <f>'表1-资金筹措及还本付息表'!AA53</f>
        <v>0</v>
      </c>
      <c r="AB21" s="59">
        <f>'表1-资金筹措及还本付息表'!AB53</f>
        <v>0</v>
      </c>
      <c r="AC21" s="59">
        <f>'表1-资金筹措及还本付息表'!AC53</f>
        <v>0</v>
      </c>
      <c r="AD21" s="59">
        <f>'表1-资金筹措及还本付息表'!AD53</f>
        <v>0</v>
      </c>
      <c r="AE21" s="59">
        <f>'表1-资金筹措及还本付息表'!AE53</f>
        <v>0</v>
      </c>
      <c r="AF21" s="59">
        <f>'表1-资金筹措及还本付息表'!AF53</f>
        <v>0</v>
      </c>
    </row>
    <row r="22" spans="2:32" s="172" customFormat="1" ht="21" customHeight="1">
      <c r="B22" s="177">
        <v>5.2</v>
      </c>
      <c r="C22" s="178" t="s">
        <v>399</v>
      </c>
      <c r="D22" s="179">
        <f t="shared" si="5"/>
        <v>130.19999999999999</v>
      </c>
      <c r="E22" s="180" t="s">
        <v>111</v>
      </c>
      <c r="F22" s="180"/>
      <c r="G22" s="180"/>
      <c r="H22" s="179">
        <f>'表1-资金筹措及还本付息表'!H63</f>
        <v>5.2080000000000002</v>
      </c>
      <c r="I22" s="179">
        <f>H22</f>
        <v>5.2080000000000002</v>
      </c>
      <c r="J22" s="179">
        <f t="shared" ref="J22:AF22" si="7">I22</f>
        <v>5.2080000000000002</v>
      </c>
      <c r="K22" s="179">
        <f t="shared" si="7"/>
        <v>5.2080000000000002</v>
      </c>
      <c r="L22" s="179">
        <f t="shared" si="7"/>
        <v>5.2080000000000002</v>
      </c>
      <c r="M22" s="179">
        <f t="shared" si="7"/>
        <v>5.2080000000000002</v>
      </c>
      <c r="N22" s="179">
        <f t="shared" si="7"/>
        <v>5.2080000000000002</v>
      </c>
      <c r="O22" s="179">
        <f t="shared" si="7"/>
        <v>5.2080000000000002</v>
      </c>
      <c r="P22" s="179">
        <f t="shared" si="7"/>
        <v>5.2080000000000002</v>
      </c>
      <c r="Q22" s="179">
        <f t="shared" si="7"/>
        <v>5.2080000000000002</v>
      </c>
      <c r="R22" s="179">
        <f t="shared" si="7"/>
        <v>5.2080000000000002</v>
      </c>
      <c r="S22" s="179">
        <f t="shared" si="7"/>
        <v>5.2080000000000002</v>
      </c>
      <c r="T22" s="179">
        <f t="shared" si="7"/>
        <v>5.2080000000000002</v>
      </c>
      <c r="U22" s="179">
        <f t="shared" si="7"/>
        <v>5.2080000000000002</v>
      </c>
      <c r="V22" s="179">
        <f t="shared" si="7"/>
        <v>5.2080000000000002</v>
      </c>
      <c r="W22" s="179">
        <f t="shared" si="7"/>
        <v>5.2080000000000002</v>
      </c>
      <c r="X22" s="179">
        <f t="shared" si="7"/>
        <v>5.2080000000000002</v>
      </c>
      <c r="Y22" s="179">
        <f t="shared" si="7"/>
        <v>5.2080000000000002</v>
      </c>
      <c r="Z22" s="179">
        <f t="shared" si="7"/>
        <v>5.2080000000000002</v>
      </c>
      <c r="AA22" s="179">
        <f t="shared" si="7"/>
        <v>5.2080000000000002</v>
      </c>
      <c r="AB22" s="179">
        <f t="shared" si="7"/>
        <v>5.2080000000000002</v>
      </c>
      <c r="AC22" s="179">
        <f t="shared" si="7"/>
        <v>5.2080000000000002</v>
      </c>
      <c r="AD22" s="179">
        <f t="shared" si="7"/>
        <v>5.2080000000000002</v>
      </c>
      <c r="AE22" s="179">
        <f t="shared" si="7"/>
        <v>5.2080000000000002</v>
      </c>
      <c r="AF22" s="179">
        <f t="shared" si="7"/>
        <v>5.2080000000000002</v>
      </c>
    </row>
    <row r="23" spans="2:32" ht="21" customHeight="1">
      <c r="B23" s="107">
        <v>5.3</v>
      </c>
      <c r="C23" s="175" t="s">
        <v>400</v>
      </c>
      <c r="D23" s="59">
        <f t="shared" ca="1" si="5"/>
        <v>0</v>
      </c>
      <c r="E23" s="106" t="s">
        <v>111</v>
      </c>
      <c r="F23" s="106"/>
      <c r="G23" s="106"/>
      <c r="H23" s="59">
        <f ca="1">'表1-资金筹措及还本付息表'!H73</f>
        <v>0</v>
      </c>
      <c r="I23" s="59">
        <f ca="1">'表1-资金筹措及还本付息表'!I73</f>
        <v>0</v>
      </c>
      <c r="J23" s="59">
        <f ca="1">'表1-资金筹措及还本付息表'!J73</f>
        <v>0</v>
      </c>
      <c r="K23" s="59">
        <f ca="1">'表1-资金筹措及还本付息表'!K73</f>
        <v>0</v>
      </c>
      <c r="L23" s="59">
        <f ca="1">'表1-资金筹措及还本付息表'!L73</f>
        <v>0</v>
      </c>
      <c r="M23" s="59">
        <f ca="1">'表1-资金筹措及还本付息表'!M73</f>
        <v>0</v>
      </c>
      <c r="N23" s="59">
        <f ca="1">'表1-资金筹措及还本付息表'!N73</f>
        <v>0</v>
      </c>
      <c r="O23" s="59">
        <f ca="1">'表1-资金筹措及还本付息表'!O73</f>
        <v>0</v>
      </c>
      <c r="P23" s="59">
        <f ca="1">'表1-资金筹措及还本付息表'!P73</f>
        <v>0</v>
      </c>
      <c r="Q23" s="59">
        <f ca="1">'表1-资金筹措及还本付息表'!Q73</f>
        <v>0</v>
      </c>
      <c r="R23" s="59">
        <f ca="1">'表1-资金筹措及还本付息表'!R73</f>
        <v>0</v>
      </c>
      <c r="S23" s="59">
        <f ca="1">'表1-资金筹措及还本付息表'!S73</f>
        <v>0</v>
      </c>
      <c r="T23" s="59">
        <f ca="1">'表1-资金筹措及还本付息表'!T73</f>
        <v>0</v>
      </c>
      <c r="U23" s="59">
        <f ca="1">'表1-资金筹措及还本付息表'!U73</f>
        <v>0</v>
      </c>
      <c r="V23" s="59">
        <f ca="1">'表1-资金筹措及还本付息表'!V73</f>
        <v>0</v>
      </c>
      <c r="W23" s="59">
        <f ca="1">'表1-资金筹措及还本付息表'!W73</f>
        <v>0</v>
      </c>
      <c r="X23" s="59">
        <f ca="1">'表1-资金筹措及还本付息表'!X73</f>
        <v>0</v>
      </c>
      <c r="Y23" s="59">
        <f ca="1">'表1-资金筹措及还本付息表'!Y73</f>
        <v>0</v>
      </c>
      <c r="Z23" s="59">
        <f ca="1">'表1-资金筹措及还本付息表'!Z73</f>
        <v>0</v>
      </c>
      <c r="AA23" s="59">
        <f ca="1">'表1-资金筹措及还本付息表'!AA73</f>
        <v>0</v>
      </c>
      <c r="AB23" s="59">
        <f ca="1">'表1-资金筹措及还本付息表'!AB73</f>
        <v>0</v>
      </c>
      <c r="AC23" s="59">
        <f ca="1">'表1-资金筹措及还本付息表'!AC73</f>
        <v>0</v>
      </c>
      <c r="AD23" s="59">
        <f ca="1">'表1-资金筹措及还本付息表'!AD73</f>
        <v>0</v>
      </c>
      <c r="AE23" s="59">
        <f ca="1">'表1-资金筹措及还本付息表'!AE73</f>
        <v>0</v>
      </c>
      <c r="AF23" s="59">
        <f ca="1">'表1-资金筹措及还本付息表'!AF73</f>
        <v>0</v>
      </c>
    </row>
    <row r="24" spans="2:32" ht="21" customHeight="1">
      <c r="B24" s="86" t="s">
        <v>345</v>
      </c>
      <c r="C24" s="139" t="s">
        <v>246</v>
      </c>
      <c r="D24" s="55">
        <f t="shared" si="5"/>
        <v>0</v>
      </c>
      <c r="E24" s="106" t="s">
        <v>111</v>
      </c>
      <c r="F24" s="106"/>
      <c r="G24" s="106"/>
      <c r="H24" s="55">
        <f>参数输入表!$H$267/(1+参数输入表!$H$271)</f>
        <v>0</v>
      </c>
      <c r="I24" s="55">
        <f>参数输入表!$H$267/(1+参数输入表!$H$271)</f>
        <v>0</v>
      </c>
      <c r="J24" s="55">
        <f>参数输入表!$H$267/(1+参数输入表!$H$271)</f>
        <v>0</v>
      </c>
      <c r="K24" s="55">
        <f>参数输入表!$H$267/(1+参数输入表!$H$271)</f>
        <v>0</v>
      </c>
      <c r="L24" s="55">
        <f>参数输入表!$H$267/(1+参数输入表!$H$271)</f>
        <v>0</v>
      </c>
      <c r="M24" s="55">
        <f>参数输入表!$H$267/(1+参数输入表!$H$271)</f>
        <v>0</v>
      </c>
      <c r="N24" s="55">
        <f>参数输入表!$H$267/(1+参数输入表!$H$271)</f>
        <v>0</v>
      </c>
      <c r="O24" s="55">
        <f>参数输入表!$H$267/(1+参数输入表!$H$271)</f>
        <v>0</v>
      </c>
      <c r="P24" s="55">
        <f>参数输入表!$H$267/(1+参数输入表!$H$271)</f>
        <v>0</v>
      </c>
      <c r="Q24" s="55">
        <f>参数输入表!$H$267/(1+参数输入表!$H$271)</f>
        <v>0</v>
      </c>
      <c r="R24" s="55">
        <f>参数输入表!$H$267/(1+参数输入表!$H$271)</f>
        <v>0</v>
      </c>
      <c r="S24" s="55">
        <f>参数输入表!$H$267/(1+参数输入表!$H$271)</f>
        <v>0</v>
      </c>
      <c r="T24" s="55">
        <f>参数输入表!$H$267/(1+参数输入表!$H$271)</f>
        <v>0</v>
      </c>
      <c r="U24" s="55">
        <f>参数输入表!$H$267/(1+参数输入表!$H$271)</f>
        <v>0</v>
      </c>
      <c r="V24" s="55">
        <f>参数输入表!$H$267/(1+参数输入表!$H$271)</f>
        <v>0</v>
      </c>
      <c r="W24" s="55">
        <f>参数输入表!$H$267/(1+参数输入表!$H$271)</f>
        <v>0</v>
      </c>
      <c r="X24" s="55">
        <f>参数输入表!$H$267/(1+参数输入表!$H$271)</f>
        <v>0</v>
      </c>
      <c r="Y24" s="55">
        <f>参数输入表!$H$267/(1+参数输入表!$H$271)</f>
        <v>0</v>
      </c>
      <c r="Z24" s="55">
        <f>参数输入表!$H$267/(1+参数输入表!$H$271)</f>
        <v>0</v>
      </c>
      <c r="AA24" s="55">
        <f>参数输入表!$H$267/(1+参数输入表!$H$271)</f>
        <v>0</v>
      </c>
      <c r="AB24" s="55">
        <f>参数输入表!$H$267/(1+参数输入表!$H$271)</f>
        <v>0</v>
      </c>
      <c r="AC24" s="55">
        <f>参数输入表!$H$267/(1+参数输入表!$H$271)</f>
        <v>0</v>
      </c>
      <c r="AD24" s="55">
        <f>参数输入表!$H$267/(1+参数输入表!$H$271)</f>
        <v>0</v>
      </c>
      <c r="AE24" s="55">
        <f>参数输入表!$H$267/(1+参数输入表!$H$271)</f>
        <v>0</v>
      </c>
      <c r="AF24" s="55">
        <f>参数输入表!$H$267/(1+参数输入表!$H$271)</f>
        <v>0</v>
      </c>
    </row>
    <row r="25" spans="2:32" ht="21" customHeight="1">
      <c r="B25" s="183"/>
      <c r="C25" s="184"/>
      <c r="D25" s="185"/>
      <c r="E25" s="186"/>
      <c r="F25" s="186"/>
      <c r="G25" s="186"/>
      <c r="H25" s="185"/>
      <c r="I25" s="185"/>
      <c r="J25" s="185"/>
      <c r="K25" s="185"/>
      <c r="L25" s="185"/>
      <c r="M25" s="185"/>
      <c r="N25" s="185"/>
      <c r="O25" s="185"/>
      <c r="P25" s="185"/>
      <c r="Q25" s="185"/>
      <c r="R25" s="185"/>
      <c r="S25" s="185"/>
      <c r="T25" s="185"/>
      <c r="U25" s="185"/>
      <c r="V25" s="185"/>
      <c r="W25" s="185"/>
      <c r="X25" s="185"/>
      <c r="Y25" s="185"/>
      <c r="Z25" s="185"/>
      <c r="AA25" s="185"/>
      <c r="AB25" s="185"/>
      <c r="AC25" s="185"/>
      <c r="AD25" s="185"/>
      <c r="AE25" s="185"/>
      <c r="AF25" s="185"/>
    </row>
    <row r="26" spans="2:32" ht="21" customHeight="1">
      <c r="B26" s="75" t="s">
        <v>401</v>
      </c>
      <c r="C26" s="184"/>
      <c r="D26" s="185"/>
      <c r="E26" s="186"/>
      <c r="F26" s="186"/>
      <c r="G26" s="186"/>
      <c r="H26" s="185"/>
      <c r="I26" s="185"/>
      <c r="J26" s="185"/>
      <c r="K26" s="185"/>
      <c r="L26" s="185"/>
      <c r="M26" s="185"/>
      <c r="N26" s="185"/>
      <c r="O26" s="185"/>
      <c r="P26" s="185"/>
      <c r="Q26" s="185"/>
      <c r="R26" s="185"/>
      <c r="S26" s="185"/>
      <c r="T26" s="185"/>
      <c r="U26" s="185"/>
      <c r="V26" s="185"/>
      <c r="W26" s="185"/>
      <c r="X26" s="185"/>
      <c r="Y26" s="185"/>
      <c r="Z26" s="185"/>
      <c r="AA26" s="185"/>
      <c r="AB26" s="185"/>
      <c r="AC26" s="185"/>
      <c r="AD26" s="185"/>
      <c r="AE26" s="185"/>
      <c r="AF26" s="185"/>
    </row>
    <row r="27" spans="2:32" ht="21" customHeight="1">
      <c r="B27" s="354" t="s">
        <v>14</v>
      </c>
      <c r="C27" s="354" t="s">
        <v>323</v>
      </c>
      <c r="D27" s="354" t="s">
        <v>311</v>
      </c>
      <c r="E27" s="354" t="s">
        <v>39</v>
      </c>
      <c r="F27" s="342" t="s">
        <v>43</v>
      </c>
      <c r="G27" s="342"/>
      <c r="H27" s="343" t="s">
        <v>54</v>
      </c>
      <c r="I27" s="343"/>
      <c r="J27" s="343"/>
      <c r="K27" s="343"/>
      <c r="L27" s="343"/>
      <c r="M27" s="343"/>
      <c r="N27" s="343"/>
      <c r="O27" s="343"/>
      <c r="P27" s="343"/>
      <c r="Q27" s="343"/>
      <c r="R27" s="343"/>
      <c r="S27" s="343"/>
      <c r="T27" s="343"/>
      <c r="U27" s="343"/>
      <c r="V27" s="343"/>
      <c r="W27" s="343"/>
      <c r="X27" s="343"/>
      <c r="Y27" s="343"/>
      <c r="Z27" s="343"/>
      <c r="AA27" s="343"/>
      <c r="AB27" s="343"/>
      <c r="AC27" s="343"/>
      <c r="AD27" s="343"/>
      <c r="AE27" s="343"/>
      <c r="AF27" s="343"/>
    </row>
    <row r="28" spans="2:32" ht="21" customHeight="1">
      <c r="B28" s="355"/>
      <c r="C28" s="355"/>
      <c r="D28" s="355"/>
      <c r="E28" s="355"/>
      <c r="F28" s="51">
        <v>1</v>
      </c>
      <c r="G28" s="51">
        <v>2</v>
      </c>
      <c r="H28" s="52">
        <v>1</v>
      </c>
      <c r="I28" s="52">
        <v>2</v>
      </c>
      <c r="J28" s="52">
        <v>3</v>
      </c>
      <c r="K28" s="52">
        <v>4</v>
      </c>
      <c r="L28" s="52">
        <v>5</v>
      </c>
      <c r="M28" s="52">
        <v>6</v>
      </c>
      <c r="N28" s="52">
        <v>7</v>
      </c>
      <c r="O28" s="52">
        <v>8</v>
      </c>
      <c r="P28" s="52">
        <v>9</v>
      </c>
      <c r="Q28" s="52">
        <v>10</v>
      </c>
      <c r="R28" s="52">
        <v>11</v>
      </c>
      <c r="S28" s="52">
        <v>12</v>
      </c>
      <c r="T28" s="52">
        <v>13</v>
      </c>
      <c r="U28" s="52">
        <v>14</v>
      </c>
      <c r="V28" s="52">
        <v>15</v>
      </c>
      <c r="W28" s="52">
        <v>16</v>
      </c>
      <c r="X28" s="52">
        <v>17</v>
      </c>
      <c r="Y28" s="52">
        <v>18</v>
      </c>
      <c r="Z28" s="52">
        <v>19</v>
      </c>
      <c r="AA28" s="52">
        <v>20</v>
      </c>
      <c r="AB28" s="52">
        <v>21</v>
      </c>
      <c r="AC28" s="52">
        <v>22</v>
      </c>
      <c r="AD28" s="52">
        <v>23</v>
      </c>
      <c r="AE28" s="52">
        <v>24</v>
      </c>
      <c r="AF28" s="52">
        <v>25</v>
      </c>
    </row>
    <row r="29" spans="2:32" ht="21" customHeight="1">
      <c r="B29" s="99" t="s">
        <v>344</v>
      </c>
      <c r="C29" s="100" t="s">
        <v>391</v>
      </c>
      <c r="D29" s="55">
        <f t="shared" ref="D29" ca="1" si="8">SUM(F29:AF29)</f>
        <v>40451.311911446865</v>
      </c>
      <c r="E29" s="106" t="s">
        <v>111</v>
      </c>
      <c r="F29" s="137"/>
      <c r="G29" s="137"/>
      <c r="H29" s="137">
        <f ca="1">H30+H39+H40+H43</f>
        <v>1732.2594629516384</v>
      </c>
      <c r="I29" s="137">
        <f t="shared" ref="I29:AF29" ca="1" si="9">I30+I39+I40+I43</f>
        <v>1732.2594629516384</v>
      </c>
      <c r="J29" s="137">
        <f t="shared" ca="1" si="9"/>
        <v>1732.2594629516384</v>
      </c>
      <c r="K29" s="137">
        <f t="shared" ca="1" si="9"/>
        <v>1732.2594629516384</v>
      </c>
      <c r="L29" s="137">
        <f t="shared" ca="1" si="9"/>
        <v>1732.2594629516384</v>
      </c>
      <c r="M29" s="137">
        <f t="shared" ca="1" si="9"/>
        <v>1783.5173253017269</v>
      </c>
      <c r="N29" s="137">
        <f t="shared" ca="1" si="9"/>
        <v>1783.5173253017269</v>
      </c>
      <c r="O29" s="137">
        <f t="shared" ca="1" si="9"/>
        <v>1783.5173253017269</v>
      </c>
      <c r="P29" s="137">
        <f t="shared" ca="1" si="9"/>
        <v>1783.5173253017269</v>
      </c>
      <c r="Q29" s="137">
        <f t="shared" ca="1" si="9"/>
        <v>1783.5173253017269</v>
      </c>
      <c r="R29" s="137">
        <f t="shared" ca="1" si="9"/>
        <v>1875.1291699527003</v>
      </c>
      <c r="S29" s="137">
        <f t="shared" ca="1" si="9"/>
        <v>1875.1291699527003</v>
      </c>
      <c r="T29" s="137">
        <f t="shared" ca="1" si="9"/>
        <v>1875.1291699527003</v>
      </c>
      <c r="U29" s="137">
        <f t="shared" ca="1" si="9"/>
        <v>1875.1291699527003</v>
      </c>
      <c r="V29" s="137">
        <f t="shared" ca="1" si="9"/>
        <v>1875.1291699527003</v>
      </c>
      <c r="W29" s="137">
        <f t="shared" ca="1" si="9"/>
        <v>1926.3870323027882</v>
      </c>
      <c r="X29" s="137">
        <f t="shared" ca="1" si="9"/>
        <v>1926.3870323027882</v>
      </c>
      <c r="Y29" s="137">
        <f t="shared" ca="1" si="9"/>
        <v>1926.3870323027882</v>
      </c>
      <c r="Z29" s="137">
        <f t="shared" ca="1" si="9"/>
        <v>1926.3870323027882</v>
      </c>
      <c r="AA29" s="137">
        <f t="shared" ca="1" si="9"/>
        <v>1926.3870323027882</v>
      </c>
      <c r="AB29" s="137">
        <f t="shared" ca="1" si="9"/>
        <v>772.96939178051957</v>
      </c>
      <c r="AC29" s="137">
        <f t="shared" ca="1" si="9"/>
        <v>772.96939178051957</v>
      </c>
      <c r="AD29" s="137">
        <f t="shared" ca="1" si="9"/>
        <v>772.96939178051957</v>
      </c>
      <c r="AE29" s="137">
        <f t="shared" ca="1" si="9"/>
        <v>772.96939178051957</v>
      </c>
      <c r="AF29" s="137">
        <f t="shared" ca="1" si="9"/>
        <v>772.96939178051957</v>
      </c>
    </row>
    <row r="30" spans="2:32" ht="26.5" customHeight="1">
      <c r="B30" s="99">
        <v>1</v>
      </c>
      <c r="C30" s="100" t="s">
        <v>183</v>
      </c>
      <c r="D30" s="55">
        <f t="shared" ref="D30:D43" ca="1" si="10">SUM(F30:AF30)</f>
        <v>38919.309910694952</v>
      </c>
      <c r="E30" s="106"/>
      <c r="F30" s="137"/>
      <c r="G30" s="137"/>
      <c r="H30" s="137">
        <f ca="1">SUM(H31:H38)</f>
        <v>1670.979382921561</v>
      </c>
      <c r="I30" s="137">
        <f t="shared" ref="I30:AF30" ca="1" si="11">SUM(I31:I38)</f>
        <v>1670.979382921561</v>
      </c>
      <c r="J30" s="137">
        <f t="shared" ca="1" si="11"/>
        <v>1670.979382921561</v>
      </c>
      <c r="K30" s="137">
        <f t="shared" ca="1" si="11"/>
        <v>1670.979382921561</v>
      </c>
      <c r="L30" s="137">
        <f t="shared" ca="1" si="11"/>
        <v>1670.979382921561</v>
      </c>
      <c r="M30" s="137">
        <f t="shared" ca="1" si="11"/>
        <v>1722.2372452716495</v>
      </c>
      <c r="N30" s="137">
        <f t="shared" ca="1" si="11"/>
        <v>1722.2372452716495</v>
      </c>
      <c r="O30" s="137">
        <f t="shared" ca="1" si="11"/>
        <v>1722.2372452716495</v>
      </c>
      <c r="P30" s="137">
        <f t="shared" ca="1" si="11"/>
        <v>1722.2372452716495</v>
      </c>
      <c r="Q30" s="137">
        <f t="shared" ca="1" si="11"/>
        <v>1722.2372452716495</v>
      </c>
      <c r="R30" s="137">
        <f t="shared" ca="1" si="11"/>
        <v>1813.8490899226229</v>
      </c>
      <c r="S30" s="137">
        <f t="shared" ca="1" si="11"/>
        <v>1813.8490899226229</v>
      </c>
      <c r="T30" s="137">
        <f t="shared" ca="1" si="11"/>
        <v>1813.8490899226229</v>
      </c>
      <c r="U30" s="137">
        <f t="shared" ca="1" si="11"/>
        <v>1813.8490899226229</v>
      </c>
      <c r="V30" s="137">
        <f t="shared" ca="1" si="11"/>
        <v>1813.8490899226229</v>
      </c>
      <c r="W30" s="137">
        <f t="shared" ca="1" si="11"/>
        <v>1865.1069522727107</v>
      </c>
      <c r="X30" s="137">
        <f t="shared" ca="1" si="11"/>
        <v>1865.1069522727107</v>
      </c>
      <c r="Y30" s="137">
        <f t="shared" ca="1" si="11"/>
        <v>1865.1069522727107</v>
      </c>
      <c r="Z30" s="137">
        <f t="shared" ca="1" si="11"/>
        <v>1865.1069522727107</v>
      </c>
      <c r="AA30" s="137">
        <f t="shared" ca="1" si="11"/>
        <v>1865.1069522727107</v>
      </c>
      <c r="AB30" s="137">
        <f t="shared" si="11"/>
        <v>711.68931175044202</v>
      </c>
      <c r="AC30" s="137">
        <f t="shared" si="11"/>
        <v>711.68931175044202</v>
      </c>
      <c r="AD30" s="137">
        <f t="shared" si="11"/>
        <v>711.68931175044202</v>
      </c>
      <c r="AE30" s="137">
        <f t="shared" si="11"/>
        <v>711.68931175044202</v>
      </c>
      <c r="AF30" s="137">
        <f t="shared" si="11"/>
        <v>711.68931175044202</v>
      </c>
    </row>
    <row r="31" spans="2:32" ht="20" customHeight="1">
      <c r="B31" s="56">
        <v>1.1000000000000001</v>
      </c>
      <c r="C31" s="173" t="s">
        <v>159</v>
      </c>
      <c r="D31" s="59">
        <f t="shared" si="10"/>
        <v>3600</v>
      </c>
      <c r="E31" s="106" t="s">
        <v>111</v>
      </c>
      <c r="F31" s="137"/>
      <c r="G31" s="137"/>
      <c r="H31" s="137">
        <f>参数输入表!$H$141*参数输入表!$H$13/(1+参数输入表!$H$146)</f>
        <v>144</v>
      </c>
      <c r="I31" s="137">
        <f>参数输入表!$H$141*参数输入表!$H$13/(1+参数输入表!$H$146)</f>
        <v>144</v>
      </c>
      <c r="J31" s="137">
        <f>参数输入表!$H$141*参数输入表!$H$13/(1+参数输入表!$H$146)</f>
        <v>144</v>
      </c>
      <c r="K31" s="137">
        <f>参数输入表!$H$141*参数输入表!$H$13/(1+参数输入表!$H$146)</f>
        <v>144</v>
      </c>
      <c r="L31" s="137">
        <f>参数输入表!$H$141*参数输入表!$H$13/(1+参数输入表!$H$146)</f>
        <v>144</v>
      </c>
      <c r="M31" s="137">
        <f>参数输入表!$H$142*参数输入表!$H$13/(1+参数输入表!$H$146)</f>
        <v>144</v>
      </c>
      <c r="N31" s="137">
        <f>参数输入表!$H$142*参数输入表!$H$13/(1+参数输入表!$H$146)</f>
        <v>144</v>
      </c>
      <c r="O31" s="137">
        <f>参数输入表!$H$142*参数输入表!$H$13/(1+参数输入表!$H$146)</f>
        <v>144</v>
      </c>
      <c r="P31" s="137">
        <f>参数输入表!$H$142*参数输入表!$H$13/(1+参数输入表!$H$146)</f>
        <v>144</v>
      </c>
      <c r="Q31" s="137">
        <f>参数输入表!$H$142*参数输入表!$H$13/(1+参数输入表!$H$146)</f>
        <v>144</v>
      </c>
      <c r="R31" s="137">
        <f>参数输入表!$H$143*参数输入表!$H$13/(1+参数输入表!$H$146)</f>
        <v>144</v>
      </c>
      <c r="S31" s="137">
        <f>参数输入表!$H$143*参数输入表!$H$13/(1+参数输入表!$H$146)</f>
        <v>144</v>
      </c>
      <c r="T31" s="137">
        <f>参数输入表!$H$143*参数输入表!$H$13/(1+参数输入表!$H$146)</f>
        <v>144</v>
      </c>
      <c r="U31" s="137">
        <f>参数输入表!$H$143*参数输入表!$H$13/(1+参数输入表!$H$146)</f>
        <v>144</v>
      </c>
      <c r="V31" s="137">
        <f>参数输入表!$H$143*参数输入表!$H$13/(1+参数输入表!$H$146)</f>
        <v>144</v>
      </c>
      <c r="W31" s="137">
        <f>参数输入表!$H$144*参数输入表!$H$13/(1+参数输入表!$H$146)</f>
        <v>144</v>
      </c>
      <c r="X31" s="137">
        <f>参数输入表!$H$144*参数输入表!$H$13/(1+参数输入表!$H$146)</f>
        <v>144</v>
      </c>
      <c r="Y31" s="137">
        <f>参数输入表!$H$144*参数输入表!$H$13/(1+参数输入表!$H$146)</f>
        <v>144</v>
      </c>
      <c r="Z31" s="137">
        <f>参数输入表!$H$144*参数输入表!$H$13/(1+参数输入表!$H$146)</f>
        <v>144</v>
      </c>
      <c r="AA31" s="137">
        <f>参数输入表!$H$144*参数输入表!$H$13/(1+参数输入表!$H$146)</f>
        <v>144</v>
      </c>
      <c r="AB31" s="137">
        <f>参数输入表!$H$145*参数输入表!$H$13/(1+参数输入表!$H$146)</f>
        <v>144</v>
      </c>
      <c r="AC31" s="137">
        <f>参数输入表!$H$145*参数输入表!$H$13/(1+参数输入表!$H$146)</f>
        <v>144</v>
      </c>
      <c r="AD31" s="137">
        <f>参数输入表!$H$145*参数输入表!$H$13/(1+参数输入表!$H$146)</f>
        <v>144</v>
      </c>
      <c r="AE31" s="137">
        <f>参数输入表!$H$145*参数输入表!$H$13/(1+参数输入表!$H$146)</f>
        <v>144</v>
      </c>
      <c r="AF31" s="137">
        <f>参数输入表!$H$145*参数输入表!$H$13/(1+参数输入表!$H$146)</f>
        <v>144</v>
      </c>
    </row>
    <row r="32" spans="2:32" ht="21" customHeight="1">
      <c r="B32" s="107">
        <v>1.2</v>
      </c>
      <c r="C32" s="174" t="s">
        <v>171</v>
      </c>
      <c r="D32" s="59">
        <f t="shared" si="10"/>
        <v>3619.3396762566199</v>
      </c>
      <c r="E32" s="106" t="s">
        <v>111</v>
      </c>
      <c r="F32" s="137"/>
      <c r="G32" s="137"/>
      <c r="H32" s="59">
        <f>(参数输入表!$H$113-参数输入表!$H$120)*参数输入表!$H$150/(1+参数输入表!$H$155)</f>
        <v>48.257862350088303</v>
      </c>
      <c r="I32" s="59">
        <f>(参数输入表!$H$113-参数输入表!$H$120)*参数输入表!$H$150/(1+参数输入表!$H$155)</f>
        <v>48.257862350088303</v>
      </c>
      <c r="J32" s="59">
        <f>(参数输入表!$H$113-参数输入表!$H$120)*参数输入表!$H$150/(1+参数输入表!$H$155)</f>
        <v>48.257862350088303</v>
      </c>
      <c r="K32" s="59">
        <f>(参数输入表!$H$113-参数输入表!$H$120)*参数输入表!$H$150/(1+参数输入表!$H$155)</f>
        <v>48.257862350088303</v>
      </c>
      <c r="L32" s="59">
        <f>(参数输入表!$H$113-参数输入表!$H$120)*参数输入表!$H$150/(1+参数输入表!$H$155)</f>
        <v>48.257862350088303</v>
      </c>
      <c r="M32" s="59">
        <f>(参数输入表!$H$113-参数输入表!$H$120)*参数输入表!$H$151/(1+参数输入表!$H$155)</f>
        <v>96.515724700176605</v>
      </c>
      <c r="N32" s="59">
        <f>(参数输入表!$H$113-参数输入表!$H$120)*参数输入表!$H$151/(1+参数输入表!$H$155)</f>
        <v>96.515724700176605</v>
      </c>
      <c r="O32" s="59">
        <f>(参数输入表!$H$113-参数输入表!$H$120)*参数输入表!$H$151/(1+参数输入表!$H$155)</f>
        <v>96.515724700176605</v>
      </c>
      <c r="P32" s="59">
        <f>(参数输入表!$H$113-参数输入表!$H$120)*参数输入表!$H$151/(1+参数输入表!$H$155)</f>
        <v>96.515724700176605</v>
      </c>
      <c r="Q32" s="59">
        <f>(参数输入表!$H$113-参数输入表!$H$120)*参数输入表!$H$151/(1+参数输入表!$H$155)</f>
        <v>96.515724700176605</v>
      </c>
      <c r="R32" s="59">
        <f>(参数输入表!$H$113-参数输入表!$H$120)*参数输入表!$H$152/(1+参数输入表!$H$155)</f>
        <v>144.77358705026501</v>
      </c>
      <c r="S32" s="59">
        <f>(参数输入表!$H$113-参数输入表!$H$120)*参数输入表!$H$152/(1+参数输入表!$H$155)</f>
        <v>144.77358705026501</v>
      </c>
      <c r="T32" s="59">
        <f>(参数输入表!$H$113-参数输入表!$H$120)*参数输入表!$H$152/(1+参数输入表!$H$155)</f>
        <v>144.77358705026501</v>
      </c>
      <c r="U32" s="59">
        <f>(参数输入表!$H$113-参数输入表!$H$120)*参数输入表!$H$152/(1+参数输入表!$H$155)</f>
        <v>144.77358705026501</v>
      </c>
      <c r="V32" s="59">
        <f>(参数输入表!$H$113-参数输入表!$H$120)*参数输入表!$H$152/(1+参数输入表!$H$155)</f>
        <v>144.77358705026501</v>
      </c>
      <c r="W32" s="59">
        <f>(参数输入表!$H$113-参数输入表!$H$120)*参数输入表!$H$153/(1+参数输入表!$H$155)</f>
        <v>193.03144940035301</v>
      </c>
      <c r="X32" s="59">
        <f>(参数输入表!$H$113-参数输入表!$H$120)*参数输入表!$H$153/(1+参数输入表!$H$155)</f>
        <v>193.03144940035301</v>
      </c>
      <c r="Y32" s="59">
        <f>(参数输入表!$H$113-参数输入表!$H$120)*参数输入表!$H$153/(1+参数输入表!$H$155)</f>
        <v>193.03144940035301</v>
      </c>
      <c r="Z32" s="59">
        <f>(参数输入表!$H$113-参数输入表!$H$120)*参数输入表!$H$153/(1+参数输入表!$H$155)</f>
        <v>193.03144940035301</v>
      </c>
      <c r="AA32" s="59">
        <f>(参数输入表!$H$113-参数输入表!$H$120)*参数输入表!$H$153/(1+参数输入表!$H$155)</f>
        <v>193.03144940035301</v>
      </c>
      <c r="AB32" s="59">
        <f>(参数输入表!$H$113-参数输入表!$H$120)*参数输入表!$H$154/(1+参数输入表!$H$155)</f>
        <v>241.28931175044201</v>
      </c>
      <c r="AC32" s="59">
        <f>(参数输入表!$H$113-参数输入表!$H$120)*参数输入表!$H$154/(1+参数输入表!$H$155)</f>
        <v>241.28931175044201</v>
      </c>
      <c r="AD32" s="59">
        <f>(参数输入表!$H$113-参数输入表!$H$120)*参数输入表!$H$154/(1+参数输入表!$H$155)</f>
        <v>241.28931175044201</v>
      </c>
      <c r="AE32" s="59">
        <f>(参数输入表!$H$113-参数输入表!$H$120)*参数输入表!$H$154/(1+参数输入表!$H$155)</f>
        <v>241.28931175044201</v>
      </c>
      <c r="AF32" s="59">
        <f>(参数输入表!$H$113-参数输入表!$H$120)*参数输入表!$H$154/(1+参数输入表!$H$155)</f>
        <v>241.28931175044201</v>
      </c>
    </row>
    <row r="33" spans="2:32" ht="21" customHeight="1">
      <c r="B33" s="107">
        <v>1.3</v>
      </c>
      <c r="C33" s="175" t="s">
        <v>182</v>
      </c>
      <c r="D33" s="59">
        <f t="shared" si="10"/>
        <v>3360</v>
      </c>
      <c r="E33" s="106" t="s">
        <v>111</v>
      </c>
      <c r="F33" s="137"/>
      <c r="G33" s="137"/>
      <c r="H33" s="59">
        <f>(参数输入表!$H$167*参数输入表!$H$170+参数输入表!$H$168*参数输入表!$H$171)*(1+参数输入表!$H$172)*(1+参数输入表!$H$173*(H28-1))/(1+参数输入表!$H$174)</f>
        <v>134.4</v>
      </c>
      <c r="I33" s="59">
        <f>(参数输入表!$H$167*参数输入表!$H$170+参数输入表!$H$168*参数输入表!$H$171)*(1+参数输入表!$H$172)*(1+参数输入表!$H$173*(I28-1))/(1+参数输入表!$H$174)</f>
        <v>134.4</v>
      </c>
      <c r="J33" s="59">
        <f>(参数输入表!$H$167*参数输入表!$H$170+参数输入表!$H$168*参数输入表!$H$171)*(1+参数输入表!$H$172)*(1+参数输入表!$H$173*(J28-1))/(1+参数输入表!$H$174)</f>
        <v>134.4</v>
      </c>
      <c r="K33" s="59">
        <f>(参数输入表!$H$167*参数输入表!$H$170+参数输入表!$H$168*参数输入表!$H$171)*(1+参数输入表!$H$172)*(1+参数输入表!$H$173*(K28-1))/(1+参数输入表!$H$174)</f>
        <v>134.4</v>
      </c>
      <c r="L33" s="59">
        <f>(参数输入表!$H$167*参数输入表!$H$170+参数输入表!$H$168*参数输入表!$H$171)*(1+参数输入表!$H$172)*(1+参数输入表!$H$173*(L28-1))/(1+参数输入表!$H$174)</f>
        <v>134.4</v>
      </c>
      <c r="M33" s="59">
        <f>(参数输入表!$H$167*参数输入表!$H$170+参数输入表!$H$168*参数输入表!$H$171)*(1+参数输入表!$H$172)*(1+参数输入表!$H$173*(M28-1))/(1+参数输入表!$H$174)</f>
        <v>134.4</v>
      </c>
      <c r="N33" s="59">
        <f>(参数输入表!$H$167*参数输入表!$H$170+参数输入表!$H$168*参数输入表!$H$171)*(1+参数输入表!$H$172)*(1+参数输入表!$H$173*(N28-1))/(1+参数输入表!$H$174)</f>
        <v>134.4</v>
      </c>
      <c r="O33" s="59">
        <f>(参数输入表!$H$167*参数输入表!$H$170+参数输入表!$H$168*参数输入表!$H$171)*(1+参数输入表!$H$172)*(1+参数输入表!$H$173*(O28-1))/(1+参数输入表!$H$174)</f>
        <v>134.4</v>
      </c>
      <c r="P33" s="59">
        <f>(参数输入表!$H$167*参数输入表!$H$170+参数输入表!$H$168*参数输入表!$H$171)*(1+参数输入表!$H$172)*(1+参数输入表!$H$173*(P28-1))/(1+参数输入表!$H$174)</f>
        <v>134.4</v>
      </c>
      <c r="Q33" s="59">
        <f>(参数输入表!$H$167*参数输入表!$H$170+参数输入表!$H$168*参数输入表!$H$171)*(1+参数输入表!$H$172)*(1+参数输入表!$H$173*(Q28-1))/(1+参数输入表!$H$174)</f>
        <v>134.4</v>
      </c>
      <c r="R33" s="59">
        <f>(参数输入表!$H$167*参数输入表!$H$170+参数输入表!$H$168*参数输入表!$H$171)*(1+参数输入表!$H$172)*(1+参数输入表!$H$173*(R28-1))/(1+参数输入表!$H$174)</f>
        <v>134.4</v>
      </c>
      <c r="S33" s="59">
        <f>(参数输入表!$H$167*参数输入表!$H$170+参数输入表!$H$168*参数输入表!$H$171)*(1+参数输入表!$H$172)*(1+参数输入表!$H$173*(S28-1))/(1+参数输入表!$H$174)</f>
        <v>134.4</v>
      </c>
      <c r="T33" s="59">
        <f>(参数输入表!$H$167*参数输入表!$H$170+参数输入表!$H$168*参数输入表!$H$171)*(1+参数输入表!$H$172)*(1+参数输入表!$H$173*(T28-1))/(1+参数输入表!$H$174)</f>
        <v>134.4</v>
      </c>
      <c r="U33" s="59">
        <f>(参数输入表!$H$167*参数输入表!$H$170+参数输入表!$H$168*参数输入表!$H$171)*(1+参数输入表!$H$172)*(1+参数输入表!$H$173*(U28-1))/(1+参数输入表!$H$174)</f>
        <v>134.4</v>
      </c>
      <c r="V33" s="59">
        <f>(参数输入表!$H$167*参数输入表!$H$170+参数输入表!$H$168*参数输入表!$H$171)*(1+参数输入表!$H$172)*(1+参数输入表!$H$173*(V28-1))/(1+参数输入表!$H$174)</f>
        <v>134.4</v>
      </c>
      <c r="W33" s="59">
        <f>(参数输入表!$H$167*参数输入表!$H$170+参数输入表!$H$168*参数输入表!$H$171)*(1+参数输入表!$H$172)*(1+参数输入表!$H$173*(W28-1))/(1+参数输入表!$H$174)</f>
        <v>134.4</v>
      </c>
      <c r="X33" s="59">
        <f>(参数输入表!$H$167*参数输入表!$H$170+参数输入表!$H$168*参数输入表!$H$171)*(1+参数输入表!$H$172)*(1+参数输入表!$H$173*(X28-1))/(1+参数输入表!$H$174)</f>
        <v>134.4</v>
      </c>
      <c r="Y33" s="59">
        <f>(参数输入表!$H$167*参数输入表!$H$170+参数输入表!$H$168*参数输入表!$H$171)*(1+参数输入表!$H$172)*(1+参数输入表!$H$173*(Y28-1))/(1+参数输入表!$H$174)</f>
        <v>134.4</v>
      </c>
      <c r="Z33" s="59">
        <f>(参数输入表!$H$167*参数输入表!$H$170+参数输入表!$H$168*参数输入表!$H$171)*(1+参数输入表!$H$172)*(1+参数输入表!$H$173*(Z28-1))/(1+参数输入表!$H$174)</f>
        <v>134.4</v>
      </c>
      <c r="AA33" s="59">
        <f>(参数输入表!$H$167*参数输入表!$H$170+参数输入表!$H$168*参数输入表!$H$171)*(1+参数输入表!$H$172)*(1+参数输入表!$H$173*(AA28-1))/(1+参数输入表!$H$174)</f>
        <v>134.4</v>
      </c>
      <c r="AB33" s="59">
        <f>(参数输入表!$H$167*参数输入表!$H$170+参数输入表!$H$168*参数输入表!$H$171)*(1+参数输入表!$H$172)*(1+参数输入表!$H$173*(AB28-1))/(1+参数输入表!$H$174)</f>
        <v>134.4</v>
      </c>
      <c r="AC33" s="59">
        <f>(参数输入表!$H$167*参数输入表!$H$170+参数输入表!$H$168*参数输入表!$H$171)*(1+参数输入表!$H$172)*(1+参数输入表!$H$173*(AC28-1))/(1+参数输入表!$H$174)</f>
        <v>134.4</v>
      </c>
      <c r="AD33" s="59">
        <f>(参数输入表!$H$167*参数输入表!$H$170+参数输入表!$H$168*参数输入表!$H$171)*(1+参数输入表!$H$172)*(1+参数输入表!$H$173*(AD28-1))/(1+参数输入表!$H$174)</f>
        <v>134.4</v>
      </c>
      <c r="AE33" s="59">
        <f>(参数输入表!$H$167*参数输入表!$H$170+参数输入表!$H$168*参数输入表!$H$171)*(1+参数输入表!$H$172)*(1+参数输入表!$H$173*(AE28-1))/(1+参数输入表!$H$174)</f>
        <v>134.4</v>
      </c>
      <c r="AF33" s="59">
        <f>(参数输入表!$H$167*参数输入表!$H$170+参数输入表!$H$168*参数输入表!$H$171)*(1+参数输入表!$H$172)*(1+参数输入表!$H$173*(AF28-1))/(1+参数输入表!$H$174)</f>
        <v>134.4</v>
      </c>
    </row>
    <row r="34" spans="2:32" ht="21" customHeight="1">
      <c r="B34" s="107">
        <v>1.4</v>
      </c>
      <c r="C34" s="176" t="s">
        <v>392</v>
      </c>
      <c r="D34" s="59">
        <f t="shared" si="10"/>
        <v>0</v>
      </c>
      <c r="E34" s="106" t="s">
        <v>111</v>
      </c>
      <c r="F34" s="137"/>
      <c r="G34" s="137"/>
      <c r="H34" s="59">
        <f>'表2-折旧摊销表'!H59</f>
        <v>0</v>
      </c>
      <c r="I34" s="59">
        <f>'表2-折旧摊销表'!I59</f>
        <v>0</v>
      </c>
      <c r="J34" s="59">
        <f>'表2-折旧摊销表'!J59</f>
        <v>0</v>
      </c>
      <c r="K34" s="59">
        <f>'表2-折旧摊销表'!K59</f>
        <v>0</v>
      </c>
      <c r="L34" s="59">
        <f>'表2-折旧摊销表'!L59</f>
        <v>0</v>
      </c>
      <c r="M34" s="59">
        <f>'表2-折旧摊销表'!M59</f>
        <v>0</v>
      </c>
      <c r="N34" s="59">
        <f>'表2-折旧摊销表'!N59</f>
        <v>0</v>
      </c>
      <c r="O34" s="59">
        <f>'表2-折旧摊销表'!O59</f>
        <v>0</v>
      </c>
      <c r="P34" s="59">
        <f>'表2-折旧摊销表'!P59</f>
        <v>0</v>
      </c>
      <c r="Q34" s="59">
        <f>'表2-折旧摊销表'!Q59</f>
        <v>0</v>
      </c>
      <c r="R34" s="59">
        <f>'表2-折旧摊销表'!R59</f>
        <v>0</v>
      </c>
      <c r="S34" s="59">
        <f>'表2-折旧摊销表'!S59</f>
        <v>0</v>
      </c>
      <c r="T34" s="59">
        <f>'表2-折旧摊销表'!T59</f>
        <v>0</v>
      </c>
      <c r="U34" s="59">
        <f>'表2-折旧摊销表'!U59</f>
        <v>0</v>
      </c>
      <c r="V34" s="59">
        <f>'表2-折旧摊销表'!V59</f>
        <v>0</v>
      </c>
      <c r="W34" s="59">
        <f>'表2-折旧摊销表'!W59</f>
        <v>0</v>
      </c>
      <c r="X34" s="59">
        <f>'表2-折旧摊销表'!X59</f>
        <v>0</v>
      </c>
      <c r="Y34" s="59">
        <f>'表2-折旧摊销表'!Y59</f>
        <v>0</v>
      </c>
      <c r="Z34" s="59">
        <f>'表2-折旧摊销表'!Z59</f>
        <v>0</v>
      </c>
      <c r="AA34" s="59">
        <f>'表2-折旧摊销表'!AA59</f>
        <v>0</v>
      </c>
      <c r="AB34" s="59">
        <f>'表2-折旧摊销表'!AB59</f>
        <v>0</v>
      </c>
      <c r="AC34" s="59">
        <f>'表2-折旧摊销表'!AC59</f>
        <v>0</v>
      </c>
      <c r="AD34" s="59">
        <f>'表2-折旧摊销表'!AD59</f>
        <v>0</v>
      </c>
      <c r="AE34" s="59">
        <f>'表2-折旧摊销表'!AE59</f>
        <v>0</v>
      </c>
      <c r="AF34" s="59">
        <f>'表2-折旧摊销表'!AF59</f>
        <v>0</v>
      </c>
    </row>
    <row r="35" spans="2:32" ht="21" customHeight="1">
      <c r="B35" s="107">
        <v>1.5</v>
      </c>
      <c r="C35" s="175" t="s">
        <v>393</v>
      </c>
      <c r="D35" s="59">
        <f t="shared" ca="1" si="10"/>
        <v>23689.9702344383</v>
      </c>
      <c r="E35" s="106" t="s">
        <v>111</v>
      </c>
      <c r="F35" s="137"/>
      <c r="G35" s="137"/>
      <c r="H35" s="59">
        <f ca="1">'表2-折旧摊销表'!H56+'表2-折旧摊销表'!H62+'表2-折旧摊销表'!H65</f>
        <v>1164.3215205714728</v>
      </c>
      <c r="I35" s="59">
        <f ca="1">'表2-折旧摊销表'!I56+'表2-折旧摊销表'!I62+'表2-折旧摊销表'!I65</f>
        <v>1164.3215205714728</v>
      </c>
      <c r="J35" s="59">
        <f ca="1">'表2-折旧摊销表'!J56+'表2-折旧摊销表'!J62+'表2-折旧摊销表'!J65</f>
        <v>1164.3215205714728</v>
      </c>
      <c r="K35" s="59">
        <f ca="1">'表2-折旧摊销表'!K56+'表2-折旧摊销表'!K62+'表2-折旧摊销表'!K65</f>
        <v>1164.3215205714728</v>
      </c>
      <c r="L35" s="59">
        <f ca="1">'表2-折旧摊销表'!L56+'表2-折旧摊销表'!L62+'表2-折旧摊销表'!L65</f>
        <v>1164.3215205714728</v>
      </c>
      <c r="M35" s="59">
        <f ca="1">'表2-折旧摊销表'!M56+'表2-折旧摊销表'!M62+'表2-折旧摊销表'!M65</f>
        <v>1164.3215205714728</v>
      </c>
      <c r="N35" s="59">
        <f ca="1">'表2-折旧摊销表'!N56+'表2-折旧摊销表'!N62+'表2-折旧摊销表'!N65</f>
        <v>1164.3215205714728</v>
      </c>
      <c r="O35" s="59">
        <f ca="1">'表2-折旧摊销表'!O56+'表2-折旧摊销表'!O62+'表2-折旧摊销表'!O65</f>
        <v>1164.3215205714728</v>
      </c>
      <c r="P35" s="59">
        <f ca="1">'表2-折旧摊销表'!P56+'表2-折旧摊销表'!P62+'表2-折旧摊销表'!P65</f>
        <v>1164.3215205714728</v>
      </c>
      <c r="Q35" s="59">
        <f ca="1">'表2-折旧摊销表'!Q56+'表2-折旧摊销表'!Q62+'表2-折旧摊销表'!Q65</f>
        <v>1164.3215205714728</v>
      </c>
      <c r="R35" s="59">
        <f ca="1">'表2-折旧摊销表'!R56+'表2-折旧摊销表'!R62+'表2-折旧摊销表'!R65</f>
        <v>1204.6755028723578</v>
      </c>
      <c r="S35" s="59">
        <f ca="1">'表2-折旧摊销表'!S56+'表2-折旧摊销表'!S62+'表2-折旧摊销表'!S65</f>
        <v>1204.6755028723578</v>
      </c>
      <c r="T35" s="59">
        <f ca="1">'表2-折旧摊销表'!T56+'表2-折旧摊销表'!T62+'表2-折旧摊销表'!T65</f>
        <v>1204.6755028723578</v>
      </c>
      <c r="U35" s="59">
        <f ca="1">'表2-折旧摊销表'!U56+'表2-折旧摊销表'!U62+'表2-折旧摊销表'!U65</f>
        <v>1204.6755028723578</v>
      </c>
      <c r="V35" s="59">
        <f ca="1">'表2-折旧摊销表'!V56+'表2-折旧摊销表'!V62+'表2-折旧摊销表'!V65</f>
        <v>1204.6755028723578</v>
      </c>
      <c r="W35" s="59">
        <f ca="1">'表2-折旧摊销表'!W56+'表2-折旧摊销表'!W62+'表2-折旧摊销表'!W65</f>
        <v>1204.6755028723578</v>
      </c>
      <c r="X35" s="59">
        <f ca="1">'表2-折旧摊销表'!X56+'表2-折旧摊销表'!X62+'表2-折旧摊销表'!X65</f>
        <v>1204.6755028723578</v>
      </c>
      <c r="Y35" s="59">
        <f ca="1">'表2-折旧摊销表'!Y56+'表2-折旧摊销表'!Y62+'表2-折旧摊销表'!Y65</f>
        <v>1204.6755028723578</v>
      </c>
      <c r="Z35" s="59">
        <f ca="1">'表2-折旧摊销表'!Z56+'表2-折旧摊销表'!Z62+'表2-折旧摊销表'!Z65</f>
        <v>1204.6755028723578</v>
      </c>
      <c r="AA35" s="59">
        <f ca="1">'表2-折旧摊销表'!AA56+'表2-折旧摊销表'!AA62+'表2-折旧摊销表'!AA65</f>
        <v>1204.6755028723578</v>
      </c>
      <c r="AB35" s="59">
        <f>'表2-折旧摊销表'!AB56+'表2-折旧摊销表'!AB62+'表2-折旧摊销表'!AB65</f>
        <v>0</v>
      </c>
      <c r="AC35" s="59">
        <f>'表2-折旧摊销表'!AC56+'表2-折旧摊销表'!AC62+'表2-折旧摊销表'!AC65</f>
        <v>0</v>
      </c>
      <c r="AD35" s="59">
        <f>'表2-折旧摊销表'!AD56+'表2-折旧摊销表'!AD62+'表2-折旧摊销表'!AD65</f>
        <v>0</v>
      </c>
      <c r="AE35" s="59">
        <f>'表2-折旧摊销表'!AE56+'表2-折旧摊销表'!AE62+'表2-折旧摊销表'!AE65</f>
        <v>0</v>
      </c>
      <c r="AF35" s="59">
        <f>'表2-折旧摊销表'!AF56+'表2-折旧摊销表'!AF62+'表2-折旧摊销表'!AF65</f>
        <v>0</v>
      </c>
    </row>
    <row r="36" spans="2:32" ht="21" customHeight="1">
      <c r="B36" s="56">
        <v>1.6</v>
      </c>
      <c r="C36" s="182" t="s">
        <v>21</v>
      </c>
      <c r="D36" s="59">
        <f t="shared" si="10"/>
        <v>3000</v>
      </c>
      <c r="E36" s="106" t="s">
        <v>111</v>
      </c>
      <c r="F36" s="137"/>
      <c r="G36" s="137"/>
      <c r="H36" s="59">
        <f>参数输入表!$H$175*参数输入表!$H$13/(1+参数输入表!$H$176)</f>
        <v>120</v>
      </c>
      <c r="I36" s="59">
        <f>参数输入表!$H$175*参数输入表!$H$13/(1+参数输入表!$H$176)</f>
        <v>120</v>
      </c>
      <c r="J36" s="59">
        <f>参数输入表!$H$175*参数输入表!$H$13/(1+参数输入表!$H$176)</f>
        <v>120</v>
      </c>
      <c r="K36" s="59">
        <f>参数输入表!$H$175*参数输入表!$H$13/(1+参数输入表!$H$176)</f>
        <v>120</v>
      </c>
      <c r="L36" s="59">
        <f>参数输入表!$H$175*参数输入表!$H$13/(1+参数输入表!$H$176)</f>
        <v>120</v>
      </c>
      <c r="M36" s="59">
        <f>参数输入表!$H$175*参数输入表!$H$13/(1+参数输入表!$H$176)</f>
        <v>120</v>
      </c>
      <c r="N36" s="59">
        <f>参数输入表!$H$175*参数输入表!$H$13/(1+参数输入表!$H$176)</f>
        <v>120</v>
      </c>
      <c r="O36" s="59">
        <f>参数输入表!$H$175*参数输入表!$H$13/(1+参数输入表!$H$176)</f>
        <v>120</v>
      </c>
      <c r="P36" s="59">
        <f>参数输入表!$H$175*参数输入表!$H$13/(1+参数输入表!$H$176)</f>
        <v>120</v>
      </c>
      <c r="Q36" s="59">
        <f>参数输入表!$H$175*参数输入表!$H$13/(1+参数输入表!$H$176)</f>
        <v>120</v>
      </c>
      <c r="R36" s="59">
        <f>参数输入表!$H$175*参数输入表!$H$13/(1+参数输入表!$H$176)</f>
        <v>120</v>
      </c>
      <c r="S36" s="59">
        <f>参数输入表!$H$175*参数输入表!$H$13/(1+参数输入表!$H$176)</f>
        <v>120</v>
      </c>
      <c r="T36" s="59">
        <f>参数输入表!$H$175*参数输入表!$H$13/(1+参数输入表!$H$176)</f>
        <v>120</v>
      </c>
      <c r="U36" s="59">
        <f>参数输入表!$H$175*参数输入表!$H$13/(1+参数输入表!$H$176)</f>
        <v>120</v>
      </c>
      <c r="V36" s="59">
        <f>参数输入表!$H$175*参数输入表!$H$13/(1+参数输入表!$H$176)</f>
        <v>120</v>
      </c>
      <c r="W36" s="59">
        <f>参数输入表!$H$175*参数输入表!$H$13/(1+参数输入表!$H$176)</f>
        <v>120</v>
      </c>
      <c r="X36" s="59">
        <f>参数输入表!$H$175*参数输入表!$H$13/(1+参数输入表!$H$176)</f>
        <v>120</v>
      </c>
      <c r="Y36" s="59">
        <f>参数输入表!$H$175*参数输入表!$H$13/(1+参数输入表!$H$176)</f>
        <v>120</v>
      </c>
      <c r="Z36" s="59">
        <f>参数输入表!$H$175*参数输入表!$H$13/(1+参数输入表!$H$176)</f>
        <v>120</v>
      </c>
      <c r="AA36" s="59">
        <f>参数输入表!$H$175*参数输入表!$H$13/(1+参数输入表!$H$176)</f>
        <v>120</v>
      </c>
      <c r="AB36" s="59">
        <f>参数输入表!$H$175*参数输入表!$H$13/(1+参数输入表!$H$176)</f>
        <v>120</v>
      </c>
      <c r="AC36" s="59">
        <f>参数输入表!$H$175*参数输入表!$H$13/(1+参数输入表!$H$176)</f>
        <v>120</v>
      </c>
      <c r="AD36" s="59">
        <f>参数输入表!$H$175*参数输入表!$H$13/(1+参数输入表!$H$176)</f>
        <v>120</v>
      </c>
      <c r="AE36" s="59">
        <f>参数输入表!$H$175*参数输入表!$H$13/(1+参数输入表!$H$176)</f>
        <v>120</v>
      </c>
      <c r="AF36" s="59">
        <f>参数输入表!$H$175*参数输入表!$H$13/(1+参数输入表!$H$176)</f>
        <v>120</v>
      </c>
    </row>
    <row r="37" spans="2:32" ht="21" customHeight="1">
      <c r="B37" s="56">
        <v>1.7</v>
      </c>
      <c r="C37" s="182" t="s">
        <v>208</v>
      </c>
      <c r="D37" s="59">
        <f t="shared" si="10"/>
        <v>0</v>
      </c>
      <c r="E37" s="106" t="s">
        <v>111</v>
      </c>
      <c r="F37" s="137"/>
      <c r="G37" s="137"/>
      <c r="H37" s="59">
        <f>参数输入表!$H$191*参数输入表!$H$13*1000/10000/(1+参数输入表!$H$192)</f>
        <v>0</v>
      </c>
      <c r="I37" s="59">
        <f>参数输入表!$H$191*参数输入表!$H$13*1000/10000/(1+参数输入表!$H$192)</f>
        <v>0</v>
      </c>
      <c r="J37" s="59">
        <f>参数输入表!$H$191*参数输入表!$H$13*1000/10000/(1+参数输入表!$H$192)</f>
        <v>0</v>
      </c>
      <c r="K37" s="59">
        <f>参数输入表!$H$191*参数输入表!$H$13*1000/10000/(1+参数输入表!$H$192)</f>
        <v>0</v>
      </c>
      <c r="L37" s="59">
        <f>参数输入表!$H$191*参数输入表!$H$13*1000/10000/(1+参数输入表!$H$192)</f>
        <v>0</v>
      </c>
      <c r="M37" s="59">
        <f>参数输入表!$H$191*参数输入表!$H$13*1000/10000/(1+参数输入表!$H$192)</f>
        <v>0</v>
      </c>
      <c r="N37" s="59">
        <f>参数输入表!$H$191*参数输入表!$H$13*1000/10000/(1+参数输入表!$H$192)</f>
        <v>0</v>
      </c>
      <c r="O37" s="59">
        <f>参数输入表!$H$191*参数输入表!$H$13*1000/10000/(1+参数输入表!$H$192)</f>
        <v>0</v>
      </c>
      <c r="P37" s="59">
        <f>参数输入表!$H$191*参数输入表!$H$13*1000/10000/(1+参数输入表!$H$192)</f>
        <v>0</v>
      </c>
      <c r="Q37" s="59">
        <f>参数输入表!$H$191*参数输入表!$H$13*1000/10000/(1+参数输入表!$H$192)</f>
        <v>0</v>
      </c>
      <c r="R37" s="59">
        <f>参数输入表!$H$191*参数输入表!$H$13*1000/10000/(1+参数输入表!$H$192)</f>
        <v>0</v>
      </c>
      <c r="S37" s="59">
        <f>参数输入表!$H$191*参数输入表!$H$13*1000/10000/(1+参数输入表!$H$192)</f>
        <v>0</v>
      </c>
      <c r="T37" s="59">
        <f>参数输入表!$H$191*参数输入表!$H$13*1000/10000/(1+参数输入表!$H$192)</f>
        <v>0</v>
      </c>
      <c r="U37" s="59">
        <f>参数输入表!$H$191*参数输入表!$H$13*1000/10000/(1+参数输入表!$H$192)</f>
        <v>0</v>
      </c>
      <c r="V37" s="59">
        <f>参数输入表!$H$191*参数输入表!$H$13*1000/10000/(1+参数输入表!$H$192)</f>
        <v>0</v>
      </c>
      <c r="W37" s="59">
        <f>参数输入表!$H$191*参数输入表!$H$13*1000/10000/(1+参数输入表!$H$192)</f>
        <v>0</v>
      </c>
      <c r="X37" s="59">
        <f>参数输入表!$H$191*参数输入表!$H$13*1000/10000/(1+参数输入表!$H$192)</f>
        <v>0</v>
      </c>
      <c r="Y37" s="59">
        <f>参数输入表!$H$191*参数输入表!$H$13*1000/10000/(1+参数输入表!$H$192)</f>
        <v>0</v>
      </c>
      <c r="Z37" s="59">
        <f>参数输入表!$H$191*参数输入表!$H$13*1000/10000/(1+参数输入表!$H$192)</f>
        <v>0</v>
      </c>
      <c r="AA37" s="59">
        <f>参数输入表!$H$191*参数输入表!$H$13*1000/10000/(1+参数输入表!$H$192)</f>
        <v>0</v>
      </c>
      <c r="AB37" s="59">
        <f>参数输入表!$H$191*参数输入表!$H$13*1000/10000/(1+参数输入表!$H$192)</f>
        <v>0</v>
      </c>
      <c r="AC37" s="59">
        <f>参数输入表!$H$191*参数输入表!$H$13*1000/10000/(1+参数输入表!$H$192)</f>
        <v>0</v>
      </c>
      <c r="AD37" s="59">
        <f>参数输入表!$H$191*参数输入表!$H$13*1000/10000/(1+参数输入表!$H$192)</f>
        <v>0</v>
      </c>
      <c r="AE37" s="59">
        <f>参数输入表!$H$191*参数输入表!$H$13*1000/10000/(1+参数输入表!$H$192)</f>
        <v>0</v>
      </c>
      <c r="AF37" s="59">
        <f>参数输入表!$H$191*参数输入表!$H$13*1000/10000/(1+参数输入表!$H$192)</f>
        <v>0</v>
      </c>
    </row>
    <row r="38" spans="2:32" ht="21" customHeight="1">
      <c r="B38" s="56">
        <v>1.8</v>
      </c>
      <c r="C38" s="182" t="s">
        <v>199</v>
      </c>
      <c r="D38" s="59">
        <f t="shared" si="10"/>
        <v>1650</v>
      </c>
      <c r="E38" s="106" t="s">
        <v>111</v>
      </c>
      <c r="F38" s="137"/>
      <c r="G38" s="137"/>
      <c r="H38" s="59">
        <f>参数输入表!$H$178*参数输入表!$H$179/10000*(1+参数输入表!$H$181)/(1+参数输入表!$H$186)</f>
        <v>60</v>
      </c>
      <c r="I38" s="59">
        <f>参数输入表!$H$178*参数输入表!$H$179/10000*(1+参数输入表!$H$181)/(1+参数输入表!$H$186)</f>
        <v>60</v>
      </c>
      <c r="J38" s="59">
        <f>参数输入表!$H$178*参数输入表!$H$179/10000*(1+参数输入表!$H$181)/(1+参数输入表!$H$186)</f>
        <v>60</v>
      </c>
      <c r="K38" s="59">
        <f>参数输入表!$H$178*参数输入表!$H$179/10000*(1+参数输入表!$H$181)/(1+参数输入表!$H$186)</f>
        <v>60</v>
      </c>
      <c r="L38" s="59">
        <f>参数输入表!$H$178*参数输入表!$H$179/10000*(1+参数输入表!$H$181)/(1+参数输入表!$H$186)</f>
        <v>60</v>
      </c>
      <c r="M38" s="59">
        <f>参数输入表!$H$178*参数输入表!$H$179/10000*(1+参数输入表!$H$182)/(1+参数输入表!$H$186)</f>
        <v>63</v>
      </c>
      <c r="N38" s="59">
        <f>参数输入表!$H$178*参数输入表!$H$179/10000*(1+参数输入表!$H$182)/(1+参数输入表!$H$186)</f>
        <v>63</v>
      </c>
      <c r="O38" s="59">
        <f>参数输入表!$H$178*参数输入表!$H$179/10000*(1+参数输入表!$H$182)/(1+参数输入表!$H$186)</f>
        <v>63</v>
      </c>
      <c r="P38" s="59">
        <f>参数输入表!$H$178*参数输入表!$H$179/10000*(1+参数输入表!$H$182)/(1+参数输入表!$H$186)</f>
        <v>63</v>
      </c>
      <c r="Q38" s="59">
        <f>参数输入表!$H$178*参数输入表!$H$179/10000*(1+参数输入表!$H$182)/(1+参数输入表!$H$186)</f>
        <v>63</v>
      </c>
      <c r="R38" s="59">
        <f>参数输入表!$H$178*参数输入表!$H$179/10000*(1+参数输入表!$H$183)/(1+参数输入表!$H$186)</f>
        <v>66</v>
      </c>
      <c r="S38" s="59">
        <f>参数输入表!$H$178*参数输入表!$H$179/10000*(1+参数输入表!$H$183)/(1+参数输入表!$H$186)</f>
        <v>66</v>
      </c>
      <c r="T38" s="59">
        <f>参数输入表!$H$178*参数输入表!$H$179/10000*(1+参数输入表!$H$183)/(1+参数输入表!$H$186)</f>
        <v>66</v>
      </c>
      <c r="U38" s="59">
        <f>参数输入表!$H$178*参数输入表!$H$179/10000*(1+参数输入表!$H$183)/(1+参数输入表!$H$186)</f>
        <v>66</v>
      </c>
      <c r="V38" s="59">
        <f>参数输入表!$H$178*参数输入表!$H$179/10000*(1+参数输入表!$H$183)/(1+参数输入表!$H$186)</f>
        <v>66</v>
      </c>
      <c r="W38" s="59">
        <f>参数输入表!$H$178*参数输入表!$H$179/10000*(1+参数输入表!$H$184)/(1+参数输入表!$H$186)</f>
        <v>69</v>
      </c>
      <c r="X38" s="59">
        <f>参数输入表!$H$178*参数输入表!$H$179/10000*(1+参数输入表!$H$184)/(1+参数输入表!$H$186)</f>
        <v>69</v>
      </c>
      <c r="Y38" s="59">
        <f>参数输入表!$H$178*参数输入表!$H$179/10000*(1+参数输入表!$H$184)/(1+参数输入表!$H$186)</f>
        <v>69</v>
      </c>
      <c r="Z38" s="59">
        <f>参数输入表!$H$178*参数输入表!$H$179/10000*(1+参数输入表!$H$184)/(1+参数输入表!$H$186)</f>
        <v>69</v>
      </c>
      <c r="AA38" s="59">
        <f>参数输入表!$H$178*参数输入表!$H$179/10000*(1+参数输入表!$H$184)/(1+参数输入表!$H$186)</f>
        <v>69</v>
      </c>
      <c r="AB38" s="59">
        <f>参数输入表!$H$178*参数输入表!$H$179/10000*(1+参数输入表!$H$185)/(1+参数输入表!$H$186)</f>
        <v>72</v>
      </c>
      <c r="AC38" s="59">
        <f>参数输入表!$H$178*参数输入表!$H$179/10000*(1+参数输入表!$H$185)/(1+参数输入表!$H$186)</f>
        <v>72</v>
      </c>
      <c r="AD38" s="59">
        <f>参数输入表!$H$178*参数输入表!$H$179/10000*(1+参数输入表!$H$185)/(1+参数输入表!$H$186)</f>
        <v>72</v>
      </c>
      <c r="AE38" s="59">
        <f>参数输入表!$H$178*参数输入表!$H$179/10000*(1+参数输入表!$H$185)/(1+参数输入表!$H$186)</f>
        <v>72</v>
      </c>
      <c r="AF38" s="59">
        <f>参数输入表!$H$178*参数输入表!$H$179/10000*(1+参数输入表!$H$185)/(1+参数输入表!$H$186)</f>
        <v>72</v>
      </c>
    </row>
    <row r="39" spans="2:32" ht="21" customHeight="1">
      <c r="B39" s="99">
        <v>2</v>
      </c>
      <c r="C39" s="100" t="s">
        <v>394</v>
      </c>
      <c r="D39" s="55">
        <f t="shared" si="10"/>
        <v>0</v>
      </c>
      <c r="E39" s="106" t="s">
        <v>111</v>
      </c>
      <c r="F39" s="106"/>
      <c r="G39" s="106"/>
      <c r="H39" s="55">
        <v>0</v>
      </c>
      <c r="I39" s="55">
        <v>0</v>
      </c>
      <c r="J39" s="55">
        <v>0</v>
      </c>
      <c r="K39" s="55">
        <v>0</v>
      </c>
      <c r="L39" s="55">
        <v>0</v>
      </c>
      <c r="M39" s="55">
        <v>0</v>
      </c>
      <c r="N39" s="55">
        <v>0</v>
      </c>
      <c r="O39" s="55">
        <v>0</v>
      </c>
      <c r="P39" s="55">
        <v>0</v>
      </c>
      <c r="Q39" s="55">
        <v>0</v>
      </c>
      <c r="R39" s="55">
        <v>0</v>
      </c>
      <c r="S39" s="55">
        <v>0</v>
      </c>
      <c r="T39" s="55">
        <v>0</v>
      </c>
      <c r="U39" s="55">
        <v>0</v>
      </c>
      <c r="V39" s="55">
        <v>0</v>
      </c>
      <c r="W39" s="55">
        <v>0</v>
      </c>
      <c r="X39" s="55">
        <v>0</v>
      </c>
      <c r="Y39" s="55">
        <v>0</v>
      </c>
      <c r="Z39" s="55">
        <v>0</v>
      </c>
      <c r="AA39" s="55">
        <v>0</v>
      </c>
      <c r="AB39" s="55">
        <v>0</v>
      </c>
      <c r="AC39" s="55">
        <v>0</v>
      </c>
      <c r="AD39" s="55">
        <v>0</v>
      </c>
      <c r="AE39" s="55">
        <v>0</v>
      </c>
      <c r="AF39" s="55">
        <v>0</v>
      </c>
    </row>
    <row r="40" spans="2:32" ht="21" customHeight="1">
      <c r="B40" s="99">
        <v>3</v>
      </c>
      <c r="C40" s="100" t="s">
        <v>178</v>
      </c>
      <c r="D40" s="55">
        <f t="shared" ca="1" si="10"/>
        <v>1532.0020007519374</v>
      </c>
      <c r="E40" s="106" t="s">
        <v>111</v>
      </c>
      <c r="F40" s="106"/>
      <c r="G40" s="106"/>
      <c r="H40" s="55">
        <f t="shared" ref="H40:AF40" ca="1" si="12">SUM(H41:H42)</f>
        <v>61.280080030077514</v>
      </c>
      <c r="I40" s="55">
        <f t="shared" ca="1" si="12"/>
        <v>61.280080030077514</v>
      </c>
      <c r="J40" s="55">
        <f t="shared" ca="1" si="12"/>
        <v>61.280080030077514</v>
      </c>
      <c r="K40" s="55">
        <f t="shared" ca="1" si="12"/>
        <v>61.280080030077514</v>
      </c>
      <c r="L40" s="55">
        <f t="shared" ca="1" si="12"/>
        <v>61.280080030077514</v>
      </c>
      <c r="M40" s="55">
        <f t="shared" ca="1" si="12"/>
        <v>61.280080030077514</v>
      </c>
      <c r="N40" s="55">
        <f t="shared" ca="1" si="12"/>
        <v>61.280080030077514</v>
      </c>
      <c r="O40" s="55">
        <f t="shared" ca="1" si="12"/>
        <v>61.280080030077514</v>
      </c>
      <c r="P40" s="55">
        <f t="shared" ca="1" si="12"/>
        <v>61.280080030077514</v>
      </c>
      <c r="Q40" s="55">
        <f t="shared" ca="1" si="12"/>
        <v>61.280080030077514</v>
      </c>
      <c r="R40" s="55">
        <f t="shared" ca="1" si="12"/>
        <v>61.280080030077514</v>
      </c>
      <c r="S40" s="55">
        <f t="shared" ca="1" si="12"/>
        <v>61.280080030077514</v>
      </c>
      <c r="T40" s="55">
        <f t="shared" ca="1" si="12"/>
        <v>61.280080030077514</v>
      </c>
      <c r="U40" s="55">
        <f t="shared" ca="1" si="12"/>
        <v>61.280080030077514</v>
      </c>
      <c r="V40" s="55">
        <f t="shared" ca="1" si="12"/>
        <v>61.280080030077514</v>
      </c>
      <c r="W40" s="55">
        <f t="shared" ca="1" si="12"/>
        <v>61.280080030077514</v>
      </c>
      <c r="X40" s="55">
        <f t="shared" ca="1" si="12"/>
        <v>61.280080030077514</v>
      </c>
      <c r="Y40" s="55">
        <f t="shared" ca="1" si="12"/>
        <v>61.280080030077514</v>
      </c>
      <c r="Z40" s="55">
        <f t="shared" ca="1" si="12"/>
        <v>61.280080030077514</v>
      </c>
      <c r="AA40" s="55">
        <f t="shared" ca="1" si="12"/>
        <v>61.280080030077514</v>
      </c>
      <c r="AB40" s="55">
        <f t="shared" ca="1" si="12"/>
        <v>61.280080030077514</v>
      </c>
      <c r="AC40" s="55">
        <f t="shared" ca="1" si="12"/>
        <v>61.280080030077514</v>
      </c>
      <c r="AD40" s="55">
        <f t="shared" ca="1" si="12"/>
        <v>61.280080030077514</v>
      </c>
      <c r="AE40" s="55">
        <f t="shared" ca="1" si="12"/>
        <v>61.280080030077514</v>
      </c>
      <c r="AF40" s="55">
        <f t="shared" ca="1" si="12"/>
        <v>61.280080030077514</v>
      </c>
    </row>
    <row r="41" spans="2:32" ht="21" customHeight="1">
      <c r="B41" s="107">
        <v>3.1</v>
      </c>
      <c r="C41" s="176" t="s">
        <v>395</v>
      </c>
      <c r="D41" s="59">
        <f t="shared" ca="1" si="10"/>
        <v>1532.0020007519374</v>
      </c>
      <c r="E41" s="106" t="s">
        <v>111</v>
      </c>
      <c r="F41" s="106"/>
      <c r="G41" s="106"/>
      <c r="H41" s="59">
        <f ca="1">'表2-折旧摊销表'!$D$4*参数输入表!$H$159/(1+参数输入表!$H$164)</f>
        <v>61.280080030077514</v>
      </c>
      <c r="I41" s="59">
        <f ca="1">'表2-折旧摊销表'!$D$4*参数输入表!$H$159/(1+参数输入表!$H$164)</f>
        <v>61.280080030077514</v>
      </c>
      <c r="J41" s="59">
        <f ca="1">'表2-折旧摊销表'!$D$4*参数输入表!$H$159/(1+参数输入表!$H$164)</f>
        <v>61.280080030077514</v>
      </c>
      <c r="K41" s="59">
        <f ca="1">'表2-折旧摊销表'!$D$4*参数输入表!$H$159/(1+参数输入表!$H$164)</f>
        <v>61.280080030077514</v>
      </c>
      <c r="L41" s="59">
        <f ca="1">'表2-折旧摊销表'!$D$4*参数输入表!$H$159/(1+参数输入表!$H$164)</f>
        <v>61.280080030077514</v>
      </c>
      <c r="M41" s="59">
        <f ca="1">'表2-折旧摊销表'!$D$4*参数输入表!$H$160/(1+参数输入表!$H$164)</f>
        <v>61.280080030077514</v>
      </c>
      <c r="N41" s="59">
        <f ca="1">'表2-折旧摊销表'!$D$4*参数输入表!$H$160/(1+参数输入表!$H$164)</f>
        <v>61.280080030077514</v>
      </c>
      <c r="O41" s="59">
        <f ca="1">'表2-折旧摊销表'!$D$4*参数输入表!$H$160/(1+参数输入表!$H$164)</f>
        <v>61.280080030077514</v>
      </c>
      <c r="P41" s="59">
        <f ca="1">'表2-折旧摊销表'!$D$4*参数输入表!$H$160/(1+参数输入表!$H$164)</f>
        <v>61.280080030077514</v>
      </c>
      <c r="Q41" s="59">
        <f ca="1">'表2-折旧摊销表'!$D$4*参数输入表!$H$160/(1+参数输入表!$H$164)</f>
        <v>61.280080030077514</v>
      </c>
      <c r="R41" s="59">
        <f ca="1">'表2-折旧摊销表'!$D$4*参数输入表!$H$161/(1+参数输入表!$H$164)</f>
        <v>61.280080030077514</v>
      </c>
      <c r="S41" s="59">
        <f ca="1">'表2-折旧摊销表'!$D$4*参数输入表!$H$161/(1+参数输入表!$H$164)</f>
        <v>61.280080030077514</v>
      </c>
      <c r="T41" s="59">
        <f ca="1">'表2-折旧摊销表'!$D$4*参数输入表!$H$161/(1+参数输入表!$H$164)</f>
        <v>61.280080030077514</v>
      </c>
      <c r="U41" s="59">
        <f ca="1">'表2-折旧摊销表'!$D$4*参数输入表!$H$161/(1+参数输入表!$H$164)</f>
        <v>61.280080030077514</v>
      </c>
      <c r="V41" s="59">
        <f ca="1">'表2-折旧摊销表'!$D$4*参数输入表!$H$161/(1+参数输入表!$H$164)</f>
        <v>61.280080030077514</v>
      </c>
      <c r="W41" s="59">
        <f ca="1">'表2-折旧摊销表'!$D$4*参数输入表!$H$162/(1+参数输入表!$H$164)</f>
        <v>61.280080030077514</v>
      </c>
      <c r="X41" s="59">
        <f ca="1">'表2-折旧摊销表'!$D$4*参数输入表!$H$162/(1+参数输入表!$H$164)</f>
        <v>61.280080030077514</v>
      </c>
      <c r="Y41" s="59">
        <f ca="1">'表2-折旧摊销表'!$D$4*参数输入表!$H$162/(1+参数输入表!$H$164)</f>
        <v>61.280080030077514</v>
      </c>
      <c r="Z41" s="59">
        <f ca="1">'表2-折旧摊销表'!$D$4*参数输入表!$H$162/(1+参数输入表!$H$164)</f>
        <v>61.280080030077514</v>
      </c>
      <c r="AA41" s="59">
        <f ca="1">'表2-折旧摊销表'!$D$4*参数输入表!$H$162/(1+参数输入表!$H$164)</f>
        <v>61.280080030077514</v>
      </c>
      <c r="AB41" s="59">
        <f ca="1">'表2-折旧摊销表'!$D$4*参数输入表!$H$163/(1+参数输入表!$H$164)</f>
        <v>61.280080030077514</v>
      </c>
      <c r="AC41" s="59">
        <f ca="1">'表2-折旧摊销表'!$D$4*参数输入表!$H$163/(1+参数输入表!$H$164)</f>
        <v>61.280080030077514</v>
      </c>
      <c r="AD41" s="59">
        <f ca="1">'表2-折旧摊销表'!$D$4*参数输入表!$H$163/(1+参数输入表!$H$164)</f>
        <v>61.280080030077514</v>
      </c>
      <c r="AE41" s="59">
        <f ca="1">'表2-折旧摊销表'!$D$4*参数输入表!$H$163/(1+参数输入表!$H$164)</f>
        <v>61.280080030077514</v>
      </c>
      <c r="AF41" s="59">
        <f ca="1">'表2-折旧摊销表'!$D$4*参数输入表!$H$163/(1+参数输入表!$H$164)</f>
        <v>61.280080030077514</v>
      </c>
    </row>
    <row r="42" spans="2:32" ht="21" customHeight="1">
      <c r="B42" s="56">
        <v>3.2</v>
      </c>
      <c r="C42" s="182" t="s">
        <v>206</v>
      </c>
      <c r="D42" s="59">
        <f t="shared" ca="1" si="10"/>
        <v>0</v>
      </c>
      <c r="E42" s="106" t="s">
        <v>111</v>
      </c>
      <c r="F42" s="106"/>
      <c r="G42" s="106"/>
      <c r="H42" s="59">
        <v>0</v>
      </c>
      <c r="I42" s="59">
        <v>0</v>
      </c>
      <c r="J42" s="59">
        <v>0</v>
      </c>
      <c r="K42" s="59">
        <v>0</v>
      </c>
      <c r="L42" s="59">
        <v>0</v>
      </c>
      <c r="M42" s="59">
        <v>0</v>
      </c>
      <c r="N42" s="59">
        <v>0</v>
      </c>
      <c r="O42" s="59">
        <v>0</v>
      </c>
      <c r="P42" s="59">
        <v>0</v>
      </c>
      <c r="Q42" s="59">
        <v>0</v>
      </c>
      <c r="R42" s="59">
        <v>0</v>
      </c>
      <c r="S42" s="59">
        <v>0</v>
      </c>
      <c r="T42" s="59">
        <v>0</v>
      </c>
      <c r="U42" s="59">
        <v>0</v>
      </c>
      <c r="V42" s="59">
        <v>0</v>
      </c>
      <c r="W42" s="59">
        <v>0</v>
      </c>
      <c r="X42" s="59">
        <v>0</v>
      </c>
      <c r="Y42" s="59">
        <v>0</v>
      </c>
      <c r="Z42" s="59">
        <v>0</v>
      </c>
      <c r="AA42" s="59">
        <v>0</v>
      </c>
      <c r="AB42" s="59">
        <v>0</v>
      </c>
      <c r="AC42" s="59">
        <v>0</v>
      </c>
      <c r="AD42" s="59">
        <v>0</v>
      </c>
      <c r="AE42" s="59">
        <v>0</v>
      </c>
      <c r="AF42" s="59">
        <f ca="1">参数输入表!H189*参数输入表!H188/(1+参数输入表!$H$190)</f>
        <v>0</v>
      </c>
    </row>
    <row r="43" spans="2:32" ht="21" customHeight="1">
      <c r="B43" s="99">
        <v>4</v>
      </c>
      <c r="C43" s="100" t="s">
        <v>396</v>
      </c>
      <c r="D43" s="55">
        <f t="shared" si="10"/>
        <v>0</v>
      </c>
      <c r="E43" s="106" t="s">
        <v>111</v>
      </c>
      <c r="F43" s="106"/>
      <c r="G43" s="106"/>
      <c r="H43" s="55">
        <v>0</v>
      </c>
      <c r="I43" s="55">
        <v>0</v>
      </c>
      <c r="J43" s="55">
        <v>0</v>
      </c>
      <c r="K43" s="55">
        <v>0</v>
      </c>
      <c r="L43" s="55">
        <v>0</v>
      </c>
      <c r="M43" s="55">
        <v>0</v>
      </c>
      <c r="N43" s="55">
        <v>0</v>
      </c>
      <c r="O43" s="55">
        <v>0</v>
      </c>
      <c r="P43" s="55">
        <v>0</v>
      </c>
      <c r="Q43" s="55">
        <v>0</v>
      </c>
      <c r="R43" s="55">
        <v>0</v>
      </c>
      <c r="S43" s="55">
        <v>0</v>
      </c>
      <c r="T43" s="55">
        <v>0</v>
      </c>
      <c r="U43" s="55">
        <v>0</v>
      </c>
      <c r="V43" s="55">
        <v>0</v>
      </c>
      <c r="W43" s="55">
        <v>0</v>
      </c>
      <c r="X43" s="55">
        <v>0</v>
      </c>
      <c r="Y43" s="55">
        <v>0</v>
      </c>
      <c r="Z43" s="55">
        <v>0</v>
      </c>
      <c r="AA43" s="55">
        <v>0</v>
      </c>
      <c r="AB43" s="55">
        <v>0</v>
      </c>
      <c r="AC43" s="55">
        <v>0</v>
      </c>
      <c r="AD43" s="55">
        <v>0</v>
      </c>
      <c r="AE43" s="55">
        <v>0</v>
      </c>
      <c r="AF43" s="55">
        <v>0</v>
      </c>
    </row>
    <row r="44" spans="2:32">
      <c r="B44" s="86" t="s">
        <v>345</v>
      </c>
      <c r="C44" s="139" t="s">
        <v>246</v>
      </c>
      <c r="D44" s="55">
        <f t="shared" ref="D44" si="13">SUM(F44:AF44)</f>
        <v>0</v>
      </c>
      <c r="E44" s="106" t="s">
        <v>111</v>
      </c>
      <c r="F44" s="106"/>
      <c r="G44" s="106"/>
      <c r="H44" s="55">
        <f>参数输入表!$H$267/(1+参数输入表!$H$271)</f>
        <v>0</v>
      </c>
      <c r="I44" s="55">
        <f>参数输入表!$H$267/(1+参数输入表!$H$271)</f>
        <v>0</v>
      </c>
      <c r="J44" s="55">
        <f>参数输入表!$H$267/(1+参数输入表!$H$271)</f>
        <v>0</v>
      </c>
      <c r="K44" s="55">
        <f>参数输入表!$H$267/(1+参数输入表!$H$271)</f>
        <v>0</v>
      </c>
      <c r="L44" s="55">
        <f>参数输入表!$H$267/(1+参数输入表!$H$271)</f>
        <v>0</v>
      </c>
      <c r="M44" s="55">
        <f>参数输入表!$H$267/(1+参数输入表!$H$271)</f>
        <v>0</v>
      </c>
      <c r="N44" s="55">
        <f>参数输入表!$H$267/(1+参数输入表!$H$271)</f>
        <v>0</v>
      </c>
      <c r="O44" s="55">
        <f>参数输入表!$H$267/(1+参数输入表!$H$271)</f>
        <v>0</v>
      </c>
      <c r="P44" s="55">
        <f>参数输入表!$H$267/(1+参数输入表!$H$271)</f>
        <v>0</v>
      </c>
      <c r="Q44" s="55">
        <f>参数输入表!$H$267/(1+参数输入表!$H$271)</f>
        <v>0</v>
      </c>
      <c r="R44" s="55">
        <f>参数输入表!$H$267/(1+参数输入表!$H$271)</f>
        <v>0</v>
      </c>
      <c r="S44" s="55">
        <f>参数输入表!$H$267/(1+参数输入表!$H$271)</f>
        <v>0</v>
      </c>
      <c r="T44" s="55">
        <f>参数输入表!$H$267/(1+参数输入表!$H$271)</f>
        <v>0</v>
      </c>
      <c r="U44" s="55">
        <f>参数输入表!$H$267/(1+参数输入表!$H$271)</f>
        <v>0</v>
      </c>
      <c r="V44" s="55">
        <f>参数输入表!$H$267/(1+参数输入表!$H$271)</f>
        <v>0</v>
      </c>
      <c r="W44" s="55">
        <f>参数输入表!$H$267/(1+参数输入表!$H$271)</f>
        <v>0</v>
      </c>
      <c r="X44" s="55">
        <f>参数输入表!$H$267/(1+参数输入表!$H$271)</f>
        <v>0</v>
      </c>
      <c r="Y44" s="55">
        <f>参数输入表!$H$267/(1+参数输入表!$H$271)</f>
        <v>0</v>
      </c>
      <c r="Z44" s="55">
        <f>参数输入表!$H$267/(1+参数输入表!$H$271)</f>
        <v>0</v>
      </c>
      <c r="AA44" s="55">
        <f>参数输入表!$H$267/(1+参数输入表!$H$271)</f>
        <v>0</v>
      </c>
      <c r="AB44" s="55">
        <f>参数输入表!$H$267/(1+参数输入表!$H$271)</f>
        <v>0</v>
      </c>
      <c r="AC44" s="55">
        <f>参数输入表!$H$267/(1+参数输入表!$H$271)</f>
        <v>0</v>
      </c>
      <c r="AD44" s="55">
        <f>参数输入表!$H$267/(1+参数输入表!$H$271)</f>
        <v>0</v>
      </c>
      <c r="AE44" s="55">
        <f>参数输入表!$H$267/(1+参数输入表!$H$271)</f>
        <v>0</v>
      </c>
      <c r="AF44" s="55">
        <f>参数输入表!$H$267/(1+参数输入表!$H$271)</f>
        <v>0</v>
      </c>
    </row>
    <row r="45" spans="2:32">
      <c r="B45" s="183"/>
      <c r="C45" s="184"/>
      <c r="D45" s="185"/>
      <c r="E45" s="186"/>
      <c r="F45" s="186"/>
      <c r="G45" s="186"/>
      <c r="H45" s="185"/>
      <c r="I45" s="185"/>
      <c r="J45" s="185"/>
      <c r="K45" s="185"/>
      <c r="L45" s="185"/>
      <c r="M45" s="185"/>
      <c r="N45" s="185"/>
      <c r="O45" s="185"/>
      <c r="P45" s="185"/>
      <c r="Q45" s="185"/>
      <c r="R45" s="185"/>
      <c r="S45" s="185"/>
      <c r="T45" s="185"/>
      <c r="U45" s="185"/>
      <c r="V45" s="185"/>
      <c r="W45" s="185"/>
      <c r="X45" s="185"/>
      <c r="Y45" s="185"/>
      <c r="Z45" s="185"/>
      <c r="AA45" s="185"/>
      <c r="AB45" s="185"/>
      <c r="AC45" s="185"/>
      <c r="AD45" s="185"/>
      <c r="AE45" s="185"/>
      <c r="AF45" s="185"/>
    </row>
    <row r="46" spans="2:32">
      <c r="B46" s="183"/>
      <c r="C46" s="184"/>
      <c r="D46" s="185"/>
      <c r="E46" s="186"/>
      <c r="F46" s="186"/>
      <c r="G46" s="186"/>
      <c r="H46" s="185"/>
      <c r="I46" s="185"/>
      <c r="J46" s="185"/>
      <c r="K46" s="185"/>
      <c r="L46" s="185"/>
      <c r="M46" s="185"/>
      <c r="N46" s="185"/>
      <c r="O46" s="185"/>
      <c r="P46" s="185"/>
      <c r="Q46" s="185"/>
      <c r="R46" s="185"/>
      <c r="S46" s="185"/>
      <c r="T46" s="185"/>
      <c r="U46" s="185"/>
      <c r="V46" s="185"/>
      <c r="W46" s="185"/>
      <c r="X46" s="185"/>
      <c r="Y46" s="185"/>
      <c r="Z46" s="185"/>
      <c r="AA46" s="185"/>
      <c r="AB46" s="185"/>
      <c r="AC46" s="185"/>
      <c r="AD46" s="185"/>
      <c r="AE46" s="185"/>
      <c r="AF46" s="185"/>
    </row>
    <row r="47" spans="2:32">
      <c r="B47" s="124" t="s">
        <v>402</v>
      </c>
      <c r="C47" s="184"/>
      <c r="D47" s="185"/>
      <c r="E47" s="186"/>
      <c r="F47" s="186"/>
      <c r="G47" s="186"/>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row>
    <row r="48" spans="2:32">
      <c r="B48" s="164" t="s">
        <v>344</v>
      </c>
      <c r="C48" s="166" t="s">
        <v>403</v>
      </c>
      <c r="D48" s="187">
        <f t="shared" ca="1" si="5"/>
        <v>16761.341677008568</v>
      </c>
      <c r="E48" s="188" t="s">
        <v>111</v>
      </c>
      <c r="F48" s="188"/>
      <c r="G48" s="188"/>
      <c r="H48" s="187">
        <f ca="1">H49+H57+H58+H61</f>
        <v>567.93794238016551</v>
      </c>
      <c r="I48" s="187">
        <f t="shared" ref="I48:AF48" ca="1" si="14">I49+I57+I58+I61</f>
        <v>567.93794238016551</v>
      </c>
      <c r="J48" s="187">
        <f t="shared" ca="1" si="14"/>
        <v>567.93794238016551</v>
      </c>
      <c r="K48" s="187">
        <f t="shared" ca="1" si="14"/>
        <v>567.93794238016551</v>
      </c>
      <c r="L48" s="187">
        <f t="shared" ca="1" si="14"/>
        <v>567.93794238016551</v>
      </c>
      <c r="M48" s="187">
        <f t="shared" ca="1" si="14"/>
        <v>619.19580473025451</v>
      </c>
      <c r="N48" s="187">
        <f t="shared" ca="1" si="14"/>
        <v>619.19580473025451</v>
      </c>
      <c r="O48" s="187">
        <f t="shared" ca="1" si="14"/>
        <v>619.19580473025451</v>
      </c>
      <c r="P48" s="187">
        <f t="shared" ca="1" si="14"/>
        <v>619.19580473025451</v>
      </c>
      <c r="Q48" s="187">
        <f t="shared" ca="1" si="14"/>
        <v>619.19580473025451</v>
      </c>
      <c r="R48" s="187">
        <f t="shared" ca="1" si="14"/>
        <v>670.4536670803426</v>
      </c>
      <c r="S48" s="187">
        <f t="shared" ca="1" si="14"/>
        <v>670.4536670803426</v>
      </c>
      <c r="T48" s="187">
        <f t="shared" ca="1" si="14"/>
        <v>670.4536670803426</v>
      </c>
      <c r="U48" s="187">
        <f t="shared" ca="1" si="14"/>
        <v>670.4536670803426</v>
      </c>
      <c r="V48" s="187">
        <f t="shared" ca="1" si="14"/>
        <v>670.4536670803426</v>
      </c>
      <c r="W48" s="187">
        <f t="shared" ca="1" si="14"/>
        <v>721.71152943043057</v>
      </c>
      <c r="X48" s="187">
        <f t="shared" ca="1" si="14"/>
        <v>721.71152943043057</v>
      </c>
      <c r="Y48" s="187">
        <f t="shared" ca="1" si="14"/>
        <v>721.71152943043057</v>
      </c>
      <c r="Z48" s="187">
        <f t="shared" ca="1" si="14"/>
        <v>721.71152943043057</v>
      </c>
      <c r="AA48" s="187">
        <f t="shared" ca="1" si="14"/>
        <v>721.71152943043057</v>
      </c>
      <c r="AB48" s="187">
        <f t="shared" ca="1" si="14"/>
        <v>772.96939178051957</v>
      </c>
      <c r="AC48" s="187">
        <f t="shared" ca="1" si="14"/>
        <v>772.96939178051957</v>
      </c>
      <c r="AD48" s="187">
        <f t="shared" ca="1" si="14"/>
        <v>772.96939178051957</v>
      </c>
      <c r="AE48" s="187">
        <f t="shared" ca="1" si="14"/>
        <v>772.96939178051957</v>
      </c>
      <c r="AF48" s="187">
        <f t="shared" ca="1" si="14"/>
        <v>772.96939178051957</v>
      </c>
    </row>
    <row r="49" spans="2:32">
      <c r="B49" s="165">
        <v>1</v>
      </c>
      <c r="C49" s="189" t="s">
        <v>404</v>
      </c>
      <c r="D49" s="187">
        <f t="shared" ref="D49:D62" si="15">SUM(F49:AF49)</f>
        <v>15229.339676256601</v>
      </c>
      <c r="E49" s="188" t="s">
        <v>111</v>
      </c>
      <c r="F49" s="164"/>
      <c r="G49" s="164"/>
      <c r="H49" s="190">
        <f>SUM(H50:H56)</f>
        <v>506.65786235008801</v>
      </c>
      <c r="I49" s="190">
        <f t="shared" ref="I49:AF49" si="16">SUM(I50:I56)</f>
        <v>506.65786235008801</v>
      </c>
      <c r="J49" s="190">
        <f t="shared" si="16"/>
        <v>506.65786235008801</v>
      </c>
      <c r="K49" s="190">
        <f t="shared" si="16"/>
        <v>506.65786235008801</v>
      </c>
      <c r="L49" s="190">
        <f t="shared" si="16"/>
        <v>506.65786235008801</v>
      </c>
      <c r="M49" s="190">
        <f t="shared" si="16"/>
        <v>557.91572470017695</v>
      </c>
      <c r="N49" s="190">
        <f t="shared" si="16"/>
        <v>557.91572470017695</v>
      </c>
      <c r="O49" s="190">
        <f t="shared" si="16"/>
        <v>557.91572470017695</v>
      </c>
      <c r="P49" s="190">
        <f t="shared" si="16"/>
        <v>557.91572470017695</v>
      </c>
      <c r="Q49" s="190">
        <f t="shared" si="16"/>
        <v>557.91572470017695</v>
      </c>
      <c r="R49" s="190">
        <f t="shared" si="16"/>
        <v>609.17358705026504</v>
      </c>
      <c r="S49" s="190">
        <f t="shared" si="16"/>
        <v>609.17358705026504</v>
      </c>
      <c r="T49" s="190">
        <f t="shared" si="16"/>
        <v>609.17358705026504</v>
      </c>
      <c r="U49" s="190">
        <f t="shared" si="16"/>
        <v>609.17358705026504</v>
      </c>
      <c r="V49" s="190">
        <f t="shared" si="16"/>
        <v>609.17358705026504</v>
      </c>
      <c r="W49" s="190">
        <f t="shared" si="16"/>
        <v>660.43144940035302</v>
      </c>
      <c r="X49" s="190">
        <f t="shared" si="16"/>
        <v>660.43144940035302</v>
      </c>
      <c r="Y49" s="190">
        <f t="shared" si="16"/>
        <v>660.43144940035302</v>
      </c>
      <c r="Z49" s="190">
        <f t="shared" si="16"/>
        <v>660.43144940035302</v>
      </c>
      <c r="AA49" s="190">
        <f t="shared" si="16"/>
        <v>660.43144940035302</v>
      </c>
      <c r="AB49" s="190">
        <f t="shared" si="16"/>
        <v>711.68931175044202</v>
      </c>
      <c r="AC49" s="190">
        <f t="shared" si="16"/>
        <v>711.68931175044202</v>
      </c>
      <c r="AD49" s="190">
        <f t="shared" si="16"/>
        <v>711.68931175044202</v>
      </c>
      <c r="AE49" s="190">
        <f t="shared" si="16"/>
        <v>711.68931175044202</v>
      </c>
      <c r="AF49" s="190">
        <f t="shared" si="16"/>
        <v>711.68931175044202</v>
      </c>
    </row>
    <row r="50" spans="2:32">
      <c r="B50" s="168">
        <v>1.1000000000000001</v>
      </c>
      <c r="C50" s="191" t="s">
        <v>159</v>
      </c>
      <c r="D50" s="115">
        <f t="shared" si="15"/>
        <v>3600</v>
      </c>
      <c r="E50" s="188" t="s">
        <v>111</v>
      </c>
      <c r="F50" s="188"/>
      <c r="G50" s="188"/>
      <c r="H50" s="115">
        <f>参数输入表!$H$141*参数输入表!$H$13</f>
        <v>144</v>
      </c>
      <c r="I50" s="115">
        <f>参数输入表!$H$141*参数输入表!$H$13</f>
        <v>144</v>
      </c>
      <c r="J50" s="115">
        <f>参数输入表!$H$141*参数输入表!$H$13</f>
        <v>144</v>
      </c>
      <c r="K50" s="115">
        <f>参数输入表!$H$141*参数输入表!$H$13</f>
        <v>144</v>
      </c>
      <c r="L50" s="115">
        <f>参数输入表!$H$141*参数输入表!$H$13</f>
        <v>144</v>
      </c>
      <c r="M50" s="115">
        <f>参数输入表!$H$142*参数输入表!$H$13</f>
        <v>144</v>
      </c>
      <c r="N50" s="115">
        <f>参数输入表!$H$142*参数输入表!$H$13</f>
        <v>144</v>
      </c>
      <c r="O50" s="115">
        <f>参数输入表!$H$142*参数输入表!$H$13</f>
        <v>144</v>
      </c>
      <c r="P50" s="115">
        <f>参数输入表!$H$142*参数输入表!$H$13</f>
        <v>144</v>
      </c>
      <c r="Q50" s="115">
        <f>参数输入表!$H$142*参数输入表!$H$13</f>
        <v>144</v>
      </c>
      <c r="R50" s="115">
        <f>参数输入表!$H$143*参数输入表!$H$13</f>
        <v>144</v>
      </c>
      <c r="S50" s="115">
        <f>参数输入表!$H$143*参数输入表!$H$13</f>
        <v>144</v>
      </c>
      <c r="T50" s="115">
        <f>参数输入表!$H$143*参数输入表!$H$13</f>
        <v>144</v>
      </c>
      <c r="U50" s="115">
        <f>参数输入表!$H$143*参数输入表!$H$13</f>
        <v>144</v>
      </c>
      <c r="V50" s="115">
        <f>参数输入表!$H$143*参数输入表!$H$13</f>
        <v>144</v>
      </c>
      <c r="W50" s="115">
        <f>参数输入表!$H$144*参数输入表!$H$13</f>
        <v>144</v>
      </c>
      <c r="X50" s="115">
        <f>参数输入表!$H$144*参数输入表!$H$13</f>
        <v>144</v>
      </c>
      <c r="Y50" s="115">
        <f>参数输入表!$H$144*参数输入表!$H$13</f>
        <v>144</v>
      </c>
      <c r="Z50" s="115">
        <f>参数输入表!$H$144*参数输入表!$H$13</f>
        <v>144</v>
      </c>
      <c r="AA50" s="115">
        <f>参数输入表!$H$144*参数输入表!$H$13</f>
        <v>144</v>
      </c>
      <c r="AB50" s="115">
        <f>参数输入表!$H$145*参数输入表!$H$13</f>
        <v>144</v>
      </c>
      <c r="AC50" s="115">
        <f>参数输入表!$H$145*参数输入表!$H$13</f>
        <v>144</v>
      </c>
      <c r="AD50" s="115">
        <f>参数输入表!$H$145*参数输入表!$H$13</f>
        <v>144</v>
      </c>
      <c r="AE50" s="115">
        <f>参数输入表!$H$145*参数输入表!$H$13</f>
        <v>144</v>
      </c>
      <c r="AF50" s="115">
        <f>参数输入表!$H$145*参数输入表!$H$13</f>
        <v>144</v>
      </c>
    </row>
    <row r="51" spans="2:32">
      <c r="B51" s="168">
        <v>1.2</v>
      </c>
      <c r="C51" s="191" t="s">
        <v>171</v>
      </c>
      <c r="D51" s="115">
        <f t="shared" si="15"/>
        <v>3619.3396762566199</v>
      </c>
      <c r="E51" s="188" t="s">
        <v>111</v>
      </c>
      <c r="F51" s="188"/>
      <c r="G51" s="188"/>
      <c r="H51" s="115">
        <f>(参数输入表!$H$113-参数输入表!$H$120)*参数输入表!$H$150</f>
        <v>48.257862350088303</v>
      </c>
      <c r="I51" s="115">
        <f>(参数输入表!$H$113-参数输入表!$H$120)*参数输入表!$H$150</f>
        <v>48.257862350088303</v>
      </c>
      <c r="J51" s="115">
        <f>(参数输入表!$H$113-参数输入表!$H$120)*参数输入表!$H$150</f>
        <v>48.257862350088303</v>
      </c>
      <c r="K51" s="115">
        <f>(参数输入表!$H$113-参数输入表!$H$120)*参数输入表!$H$150</f>
        <v>48.257862350088303</v>
      </c>
      <c r="L51" s="115">
        <f>(参数输入表!$H$113-参数输入表!$H$120)*参数输入表!$H$150</f>
        <v>48.257862350088303</v>
      </c>
      <c r="M51" s="115">
        <f>(参数输入表!$H$113-参数输入表!$H$120)*参数输入表!$H$151</f>
        <v>96.515724700176605</v>
      </c>
      <c r="N51" s="115">
        <f>(参数输入表!$H$113-参数输入表!$H$120)*参数输入表!$H$151</f>
        <v>96.515724700176605</v>
      </c>
      <c r="O51" s="115">
        <f>(参数输入表!$H$113-参数输入表!$H$120)*参数输入表!$H$151</f>
        <v>96.515724700176605</v>
      </c>
      <c r="P51" s="115">
        <f>(参数输入表!$H$113-参数输入表!$H$120)*参数输入表!$H$151</f>
        <v>96.515724700176605</v>
      </c>
      <c r="Q51" s="115">
        <f>(参数输入表!$H$113-参数输入表!$H$120)*参数输入表!$H$151</f>
        <v>96.515724700176605</v>
      </c>
      <c r="R51" s="115">
        <f>(参数输入表!$H$113-参数输入表!$H$120)*参数输入表!$H$152</f>
        <v>144.77358705026501</v>
      </c>
      <c r="S51" s="115">
        <f>(参数输入表!$H$113-参数输入表!$H$120)*参数输入表!$H$152</f>
        <v>144.77358705026501</v>
      </c>
      <c r="T51" s="115">
        <f>(参数输入表!$H$113-参数输入表!$H$120)*参数输入表!$H$152</f>
        <v>144.77358705026501</v>
      </c>
      <c r="U51" s="115">
        <f>(参数输入表!$H$113-参数输入表!$H$120)*参数输入表!$H$152</f>
        <v>144.77358705026501</v>
      </c>
      <c r="V51" s="115">
        <f>(参数输入表!$H$113-参数输入表!$H$120)*参数输入表!$H$152</f>
        <v>144.77358705026501</v>
      </c>
      <c r="W51" s="115">
        <f>(参数输入表!$H$113-参数输入表!$H$120)*参数输入表!$H$153</f>
        <v>193.03144940035301</v>
      </c>
      <c r="X51" s="115">
        <f>(参数输入表!$H$113-参数输入表!$H$120)*参数输入表!$H$153</f>
        <v>193.03144940035301</v>
      </c>
      <c r="Y51" s="115">
        <f>(参数输入表!$H$113-参数输入表!$H$120)*参数输入表!$H$153</f>
        <v>193.03144940035301</v>
      </c>
      <c r="Z51" s="115">
        <f>(参数输入表!$H$113-参数输入表!$H$120)*参数输入表!$H$153</f>
        <v>193.03144940035301</v>
      </c>
      <c r="AA51" s="115">
        <f>(参数输入表!$H$113-参数输入表!$H$120)*参数输入表!$H$153</f>
        <v>193.03144940035301</v>
      </c>
      <c r="AB51" s="115">
        <f>(参数输入表!$H$113-参数输入表!$H$120)*参数输入表!$H$154</f>
        <v>241.28931175044201</v>
      </c>
      <c r="AC51" s="115">
        <f>(参数输入表!$H$113-参数输入表!$H$120)*参数输入表!$H$154</f>
        <v>241.28931175044201</v>
      </c>
      <c r="AD51" s="115">
        <f>(参数输入表!$H$113-参数输入表!$H$120)*参数输入表!$H$154</f>
        <v>241.28931175044201</v>
      </c>
      <c r="AE51" s="115">
        <f>(参数输入表!$H$113-参数输入表!$H$120)*参数输入表!$H$154</f>
        <v>241.28931175044201</v>
      </c>
      <c r="AF51" s="115">
        <f>(参数输入表!$H$113-参数输入表!$H$120)*参数输入表!$H$154</f>
        <v>241.28931175044201</v>
      </c>
    </row>
    <row r="52" spans="2:32">
      <c r="B52" s="168">
        <v>1.3</v>
      </c>
      <c r="C52" s="154" t="s">
        <v>182</v>
      </c>
      <c r="D52" s="115">
        <f t="shared" si="15"/>
        <v>3360</v>
      </c>
      <c r="E52" s="188" t="s">
        <v>111</v>
      </c>
      <c r="F52" s="188"/>
      <c r="G52" s="188"/>
      <c r="H52" s="115">
        <f>(参数输入表!$H$167*参数输入表!$H$170+参数输入表!$H$168*参数输入表!$H$171)*(1+参数输入表!$H$172)*(1+参数输入表!$H$173*(H4-1))</f>
        <v>134.4</v>
      </c>
      <c r="I52" s="115">
        <f>(参数输入表!$H$167*参数输入表!$H$170+参数输入表!$H$168*参数输入表!$H$171)*(1+参数输入表!$H$172)*(1+参数输入表!$H$173*(I4-1))</f>
        <v>134.4</v>
      </c>
      <c r="J52" s="115">
        <f>(参数输入表!$H$167*参数输入表!$H$170+参数输入表!$H$168*参数输入表!$H$171)*(1+参数输入表!$H$172)*(1+参数输入表!$H$173*(J4-1))</f>
        <v>134.4</v>
      </c>
      <c r="K52" s="115">
        <f>(参数输入表!$H$167*参数输入表!$H$170+参数输入表!$H$168*参数输入表!$H$171)*(1+参数输入表!$H$172)*(1+参数输入表!$H$173*(K4-1))</f>
        <v>134.4</v>
      </c>
      <c r="L52" s="115">
        <f>(参数输入表!$H$167*参数输入表!$H$170+参数输入表!$H$168*参数输入表!$H$171)*(1+参数输入表!$H$172)*(1+参数输入表!$H$173*(L4-1))</f>
        <v>134.4</v>
      </c>
      <c r="M52" s="115">
        <f>(参数输入表!$H$167*参数输入表!$H$170+参数输入表!$H$168*参数输入表!$H$171)*(1+参数输入表!$H$172)*(1+参数输入表!$H$173*(M4-1))</f>
        <v>134.4</v>
      </c>
      <c r="N52" s="115">
        <f>(参数输入表!$H$167*参数输入表!$H$170+参数输入表!$H$168*参数输入表!$H$171)*(1+参数输入表!$H$172)*(1+参数输入表!$H$173*(N4-1))</f>
        <v>134.4</v>
      </c>
      <c r="O52" s="115">
        <f>(参数输入表!$H$167*参数输入表!$H$170+参数输入表!$H$168*参数输入表!$H$171)*(1+参数输入表!$H$172)*(1+参数输入表!$H$173*(O4-1))</f>
        <v>134.4</v>
      </c>
      <c r="P52" s="115">
        <f>(参数输入表!$H$167*参数输入表!$H$170+参数输入表!$H$168*参数输入表!$H$171)*(1+参数输入表!$H$172)*(1+参数输入表!$H$173*(P4-1))</f>
        <v>134.4</v>
      </c>
      <c r="Q52" s="115">
        <f>(参数输入表!$H$167*参数输入表!$H$170+参数输入表!$H$168*参数输入表!$H$171)*(1+参数输入表!$H$172)*(1+参数输入表!$H$173*(Q4-1))</f>
        <v>134.4</v>
      </c>
      <c r="R52" s="115">
        <f>(参数输入表!$H$167*参数输入表!$H$170+参数输入表!$H$168*参数输入表!$H$171)*(1+参数输入表!$H$172)*(1+参数输入表!$H$173*(R4-1))</f>
        <v>134.4</v>
      </c>
      <c r="S52" s="115">
        <f>(参数输入表!$H$167*参数输入表!$H$170+参数输入表!$H$168*参数输入表!$H$171)*(1+参数输入表!$H$172)*(1+参数输入表!$H$173*(S4-1))</f>
        <v>134.4</v>
      </c>
      <c r="T52" s="115">
        <f>(参数输入表!$H$167*参数输入表!$H$170+参数输入表!$H$168*参数输入表!$H$171)*(1+参数输入表!$H$172)*(1+参数输入表!$H$173*(T4-1))</f>
        <v>134.4</v>
      </c>
      <c r="U52" s="115">
        <f>(参数输入表!$H$167*参数输入表!$H$170+参数输入表!$H$168*参数输入表!$H$171)*(1+参数输入表!$H$172)*(1+参数输入表!$H$173*(U4-1))</f>
        <v>134.4</v>
      </c>
      <c r="V52" s="115">
        <f>(参数输入表!$H$167*参数输入表!$H$170+参数输入表!$H$168*参数输入表!$H$171)*(1+参数输入表!$H$172)*(1+参数输入表!$H$173*(V4-1))</f>
        <v>134.4</v>
      </c>
      <c r="W52" s="115">
        <f>(参数输入表!$H$167*参数输入表!$H$170+参数输入表!$H$168*参数输入表!$H$171)*(1+参数输入表!$H$172)*(1+参数输入表!$H$173*(W4-1))</f>
        <v>134.4</v>
      </c>
      <c r="X52" s="115">
        <f>(参数输入表!$H$167*参数输入表!$H$170+参数输入表!$H$168*参数输入表!$H$171)*(1+参数输入表!$H$172)*(1+参数输入表!$H$173*(X4-1))</f>
        <v>134.4</v>
      </c>
      <c r="Y52" s="115">
        <f>(参数输入表!$H$167*参数输入表!$H$170+参数输入表!$H$168*参数输入表!$H$171)*(1+参数输入表!$H$172)*(1+参数输入表!$H$173*(Y4-1))</f>
        <v>134.4</v>
      </c>
      <c r="Z52" s="115">
        <f>(参数输入表!$H$167*参数输入表!$H$170+参数输入表!$H$168*参数输入表!$H$171)*(1+参数输入表!$H$172)*(1+参数输入表!$H$173*(Z4-1))</f>
        <v>134.4</v>
      </c>
      <c r="AA52" s="115">
        <f>(参数输入表!$H$167*参数输入表!$H$170+参数输入表!$H$168*参数输入表!$H$171)*(1+参数输入表!$H$172)*(1+参数输入表!$H$173*(AA4-1))</f>
        <v>134.4</v>
      </c>
      <c r="AB52" s="115">
        <f>(参数输入表!$H$167*参数输入表!$H$170+参数输入表!$H$168*参数输入表!$H$171)*(1+参数输入表!$H$172)*(1+参数输入表!$H$173*(AB4-1))</f>
        <v>134.4</v>
      </c>
      <c r="AC52" s="115">
        <f>(参数输入表!$H$167*参数输入表!$H$170+参数输入表!$H$168*参数输入表!$H$171)*(1+参数输入表!$H$172)*(1+参数输入表!$H$173*(AC4-1))</f>
        <v>134.4</v>
      </c>
      <c r="AD52" s="115">
        <f>(参数输入表!$H$167*参数输入表!$H$170+参数输入表!$H$168*参数输入表!$H$171)*(1+参数输入表!$H$172)*(1+参数输入表!$H$173*(AD4-1))</f>
        <v>134.4</v>
      </c>
      <c r="AE52" s="115">
        <f>(参数输入表!$H$167*参数输入表!$H$170+参数输入表!$H$168*参数输入表!$H$171)*(1+参数输入表!$H$172)*(1+参数输入表!$H$173*(AE4-1))</f>
        <v>134.4</v>
      </c>
      <c r="AF52" s="115">
        <f>(参数输入表!$H$167*参数输入表!$H$170+参数输入表!$H$168*参数输入表!$H$171)*(1+参数输入表!$H$172)*(1+参数输入表!$H$173*(AF4-1))</f>
        <v>134.4</v>
      </c>
    </row>
    <row r="53" spans="2:32">
      <c r="B53" s="168">
        <v>1.4</v>
      </c>
      <c r="C53" s="154" t="s">
        <v>405</v>
      </c>
      <c r="D53" s="115">
        <f t="shared" si="15"/>
        <v>0</v>
      </c>
      <c r="E53" s="188" t="s">
        <v>111</v>
      </c>
      <c r="F53" s="188"/>
      <c r="G53" s="188"/>
      <c r="H53" s="115">
        <f>参数输入表!H206</f>
        <v>0</v>
      </c>
      <c r="I53" s="115">
        <f>参数输入表!H207</f>
        <v>0</v>
      </c>
      <c r="J53" s="115">
        <f>参数输入表!H208</f>
        <v>0</v>
      </c>
      <c r="K53" s="115">
        <f>参数输入表!H209</f>
        <v>0</v>
      </c>
      <c r="L53" s="115">
        <f>参数输入表!H210</f>
        <v>0</v>
      </c>
      <c r="M53" s="115">
        <f>参数输入表!H211</f>
        <v>0</v>
      </c>
      <c r="N53" s="115">
        <f>参数输入表!H212</f>
        <v>0</v>
      </c>
      <c r="O53" s="115">
        <f>参数输入表!H213</f>
        <v>0</v>
      </c>
      <c r="P53" s="115">
        <f>参数输入表!H214</f>
        <v>0</v>
      </c>
      <c r="Q53" s="115">
        <f>参数输入表!H215</f>
        <v>0</v>
      </c>
      <c r="R53" s="115">
        <f>参数输入表!H216</f>
        <v>0</v>
      </c>
      <c r="S53" s="115">
        <f>参数输入表!H217</f>
        <v>0</v>
      </c>
      <c r="T53" s="115">
        <f>参数输入表!H218</f>
        <v>0</v>
      </c>
      <c r="U53" s="115">
        <f>参数输入表!H219</f>
        <v>0</v>
      </c>
      <c r="V53" s="115">
        <f>参数输入表!H220</f>
        <v>0</v>
      </c>
      <c r="W53" s="115">
        <f>参数输入表!H221</f>
        <v>0</v>
      </c>
      <c r="X53" s="115">
        <f>参数输入表!H222</f>
        <v>0</v>
      </c>
      <c r="Y53" s="115">
        <f>参数输入表!H223</f>
        <v>0</v>
      </c>
      <c r="Z53" s="115">
        <f>参数输入表!H224</f>
        <v>0</v>
      </c>
      <c r="AA53" s="115">
        <f>参数输入表!H225</f>
        <v>0</v>
      </c>
      <c r="AB53" s="115">
        <f>参数输入表!H226</f>
        <v>0</v>
      </c>
      <c r="AC53" s="115">
        <f>参数输入表!H227</f>
        <v>0</v>
      </c>
      <c r="AD53" s="115">
        <f>参数输入表!H228</f>
        <v>0</v>
      </c>
      <c r="AE53" s="115">
        <f>参数输入表!H229</f>
        <v>0</v>
      </c>
      <c r="AF53" s="115">
        <f>参数输入表!H230</f>
        <v>0</v>
      </c>
    </row>
    <row r="54" spans="2:32">
      <c r="B54" s="168">
        <v>1.5</v>
      </c>
      <c r="C54" s="154" t="s">
        <v>21</v>
      </c>
      <c r="D54" s="115">
        <f t="shared" si="15"/>
        <v>3000</v>
      </c>
      <c r="E54" s="188" t="s">
        <v>111</v>
      </c>
      <c r="F54" s="188"/>
      <c r="G54" s="188"/>
      <c r="H54" s="115">
        <f>参数输入表!$H$175*参数输入表!$H$13</f>
        <v>120</v>
      </c>
      <c r="I54" s="115">
        <f>参数输入表!$H$175*参数输入表!$H$13</f>
        <v>120</v>
      </c>
      <c r="J54" s="115">
        <f>参数输入表!$H$175*参数输入表!$H$13</f>
        <v>120</v>
      </c>
      <c r="K54" s="115">
        <f>参数输入表!$H$175*参数输入表!$H$13</f>
        <v>120</v>
      </c>
      <c r="L54" s="115">
        <f>参数输入表!$H$175*参数输入表!$H$13</f>
        <v>120</v>
      </c>
      <c r="M54" s="115">
        <f>参数输入表!$H$175*参数输入表!$H$13</f>
        <v>120</v>
      </c>
      <c r="N54" s="115">
        <f>参数输入表!$H$175*参数输入表!$H$13</f>
        <v>120</v>
      </c>
      <c r="O54" s="115">
        <f>参数输入表!$H$175*参数输入表!$H$13</f>
        <v>120</v>
      </c>
      <c r="P54" s="115">
        <f>参数输入表!$H$175*参数输入表!$H$13</f>
        <v>120</v>
      </c>
      <c r="Q54" s="115">
        <f>参数输入表!$H$175*参数输入表!$H$13</f>
        <v>120</v>
      </c>
      <c r="R54" s="115">
        <f>参数输入表!$H$175*参数输入表!$H$13</f>
        <v>120</v>
      </c>
      <c r="S54" s="115">
        <f>参数输入表!$H$175*参数输入表!$H$13</f>
        <v>120</v>
      </c>
      <c r="T54" s="115">
        <f>参数输入表!$H$175*参数输入表!$H$13</f>
        <v>120</v>
      </c>
      <c r="U54" s="115">
        <f>参数输入表!$H$175*参数输入表!$H$13</f>
        <v>120</v>
      </c>
      <c r="V54" s="115">
        <f>参数输入表!$H$175*参数输入表!$H$13</f>
        <v>120</v>
      </c>
      <c r="W54" s="115">
        <f>参数输入表!$H$175*参数输入表!$H$13</f>
        <v>120</v>
      </c>
      <c r="X54" s="115">
        <f>参数输入表!$H$175*参数输入表!$H$13</f>
        <v>120</v>
      </c>
      <c r="Y54" s="115">
        <f>参数输入表!$H$175*参数输入表!$H$13</f>
        <v>120</v>
      </c>
      <c r="Z54" s="115">
        <f>参数输入表!$H$175*参数输入表!$H$13</f>
        <v>120</v>
      </c>
      <c r="AA54" s="115">
        <f>参数输入表!$H$175*参数输入表!$H$13</f>
        <v>120</v>
      </c>
      <c r="AB54" s="115">
        <f>参数输入表!$H$175*参数输入表!$H$13</f>
        <v>120</v>
      </c>
      <c r="AC54" s="115">
        <f>参数输入表!$H$175*参数输入表!$H$13</f>
        <v>120</v>
      </c>
      <c r="AD54" s="115">
        <f>参数输入表!$H$175*参数输入表!$H$13</f>
        <v>120</v>
      </c>
      <c r="AE54" s="115">
        <f>参数输入表!$H$175*参数输入表!$H$13</f>
        <v>120</v>
      </c>
      <c r="AF54" s="115">
        <f>参数输入表!$H$175*参数输入表!$H$13</f>
        <v>120</v>
      </c>
    </row>
    <row r="55" spans="2:32">
      <c r="B55" s="168">
        <v>1.6</v>
      </c>
      <c r="C55" s="154" t="s">
        <v>208</v>
      </c>
      <c r="D55" s="115">
        <f t="shared" si="15"/>
        <v>0</v>
      </c>
      <c r="E55" s="188" t="s">
        <v>111</v>
      </c>
      <c r="F55" s="188"/>
      <c r="G55" s="188"/>
      <c r="H55" s="115">
        <f>参数输入表!$H$191*参数输入表!$H$13*1000/10000</f>
        <v>0</v>
      </c>
      <c r="I55" s="115">
        <f>参数输入表!$H$191*参数输入表!$H$13*1000/10000</f>
        <v>0</v>
      </c>
      <c r="J55" s="115">
        <f>参数输入表!$H$191*参数输入表!$H$13*1000/10000</f>
        <v>0</v>
      </c>
      <c r="K55" s="115">
        <f>参数输入表!$H$191*参数输入表!$H$13*1000/10000</f>
        <v>0</v>
      </c>
      <c r="L55" s="115">
        <f>参数输入表!$H$191*参数输入表!$H$13*1000/10000</f>
        <v>0</v>
      </c>
      <c r="M55" s="115">
        <f>参数输入表!$H$191*参数输入表!$H$13*1000/10000</f>
        <v>0</v>
      </c>
      <c r="N55" s="115">
        <f>参数输入表!$H$191*参数输入表!$H$13*1000/10000</f>
        <v>0</v>
      </c>
      <c r="O55" s="115">
        <f>参数输入表!$H$191*参数输入表!$H$13*1000/10000</f>
        <v>0</v>
      </c>
      <c r="P55" s="115">
        <f>参数输入表!$H$191*参数输入表!$H$13*1000/10000</f>
        <v>0</v>
      </c>
      <c r="Q55" s="115">
        <f>参数输入表!$H$191*参数输入表!$H$13*1000/10000</f>
        <v>0</v>
      </c>
      <c r="R55" s="115">
        <f>参数输入表!$H$191*参数输入表!$H$13*1000/10000</f>
        <v>0</v>
      </c>
      <c r="S55" s="115">
        <f>参数输入表!$H$191*参数输入表!$H$13*1000/10000</f>
        <v>0</v>
      </c>
      <c r="T55" s="115">
        <f>参数输入表!$H$191*参数输入表!$H$13*1000/10000</f>
        <v>0</v>
      </c>
      <c r="U55" s="115">
        <f>参数输入表!$H$191*参数输入表!$H$13*1000/10000</f>
        <v>0</v>
      </c>
      <c r="V55" s="115">
        <f>参数输入表!$H$191*参数输入表!$H$13*1000/10000</f>
        <v>0</v>
      </c>
      <c r="W55" s="115">
        <f>参数输入表!$H$191*参数输入表!$H$13*1000/10000</f>
        <v>0</v>
      </c>
      <c r="X55" s="115">
        <f>参数输入表!$H$191*参数输入表!$H$13*1000/10000</f>
        <v>0</v>
      </c>
      <c r="Y55" s="115">
        <f>参数输入表!$H$191*参数输入表!$H$13*1000/10000</f>
        <v>0</v>
      </c>
      <c r="Z55" s="115">
        <f>参数输入表!$H$191*参数输入表!$H$13*1000/10000</f>
        <v>0</v>
      </c>
      <c r="AA55" s="115">
        <f>参数输入表!$H$191*参数输入表!$H$13*1000/10000</f>
        <v>0</v>
      </c>
      <c r="AB55" s="115">
        <f>参数输入表!$H$191*参数输入表!$H$13*1000/10000</f>
        <v>0</v>
      </c>
      <c r="AC55" s="115">
        <f>参数输入表!$H$191*参数输入表!$H$13*1000/10000</f>
        <v>0</v>
      </c>
      <c r="AD55" s="115">
        <f>参数输入表!$H$191*参数输入表!$H$13*1000/10000</f>
        <v>0</v>
      </c>
      <c r="AE55" s="115">
        <f>参数输入表!$H$191*参数输入表!$H$13*1000/10000</f>
        <v>0</v>
      </c>
      <c r="AF55" s="115">
        <f>参数输入表!$H$191*参数输入表!$H$13*1000/10000</f>
        <v>0</v>
      </c>
    </row>
    <row r="56" spans="2:32">
      <c r="B56" s="168">
        <v>1.7</v>
      </c>
      <c r="C56" s="154" t="s">
        <v>199</v>
      </c>
      <c r="D56" s="115">
        <f t="shared" si="15"/>
        <v>1650</v>
      </c>
      <c r="E56" s="188" t="s">
        <v>111</v>
      </c>
      <c r="F56" s="188"/>
      <c r="G56" s="188"/>
      <c r="H56" s="115">
        <f>参数输入表!$H$178*参数输入表!$H$179/10000*(1+参数输入表!$H$181)</f>
        <v>60</v>
      </c>
      <c r="I56" s="115">
        <f>参数输入表!$H$178*参数输入表!$H$179/10000*(1+参数输入表!$H$181)</f>
        <v>60</v>
      </c>
      <c r="J56" s="115">
        <f>参数输入表!$H$178*参数输入表!$H$179/10000*(1+参数输入表!$H$181)</f>
        <v>60</v>
      </c>
      <c r="K56" s="115">
        <f>参数输入表!$H$178*参数输入表!$H$179/10000*(1+参数输入表!$H$181)</f>
        <v>60</v>
      </c>
      <c r="L56" s="115">
        <f>参数输入表!$H$178*参数输入表!$H$179/10000*(1+参数输入表!$H$181)</f>
        <v>60</v>
      </c>
      <c r="M56" s="115">
        <f>参数输入表!$H$178*参数输入表!$H$179/10000*(1+参数输入表!$H$182)</f>
        <v>63</v>
      </c>
      <c r="N56" s="115">
        <f>参数输入表!$H$178*参数输入表!$H$179/10000*(1+参数输入表!$H$182)</f>
        <v>63</v>
      </c>
      <c r="O56" s="115">
        <f>参数输入表!$H$178*参数输入表!$H$179/10000*(1+参数输入表!$H$182)</f>
        <v>63</v>
      </c>
      <c r="P56" s="115">
        <f>参数输入表!$H$178*参数输入表!$H$179/10000*(1+参数输入表!$H$182)</f>
        <v>63</v>
      </c>
      <c r="Q56" s="115">
        <f>参数输入表!$H$178*参数输入表!$H$179/10000*(1+参数输入表!$H$182)</f>
        <v>63</v>
      </c>
      <c r="R56" s="115">
        <f>参数输入表!$H$178*参数输入表!$H$179/10000*(1+参数输入表!$H$183)</f>
        <v>66</v>
      </c>
      <c r="S56" s="115">
        <f>参数输入表!$H$178*参数输入表!$H$179/10000*(1+参数输入表!$H$183)</f>
        <v>66</v>
      </c>
      <c r="T56" s="115">
        <f>参数输入表!$H$178*参数输入表!$H$179/10000*(1+参数输入表!$H$183)</f>
        <v>66</v>
      </c>
      <c r="U56" s="115">
        <f>参数输入表!$H$178*参数输入表!$H$179/10000*(1+参数输入表!$H$183)</f>
        <v>66</v>
      </c>
      <c r="V56" s="115">
        <f>参数输入表!$H$178*参数输入表!$H$179/10000*(1+参数输入表!$H$183)</f>
        <v>66</v>
      </c>
      <c r="W56" s="115">
        <f>参数输入表!$H$178*参数输入表!$H$179/10000*(1+参数输入表!$H$184)</f>
        <v>69</v>
      </c>
      <c r="X56" s="115">
        <f>参数输入表!$H$178*参数输入表!$H$179/10000*(1+参数输入表!$H$184)</f>
        <v>69</v>
      </c>
      <c r="Y56" s="115">
        <f>参数输入表!$H$178*参数输入表!$H$179/10000*(1+参数输入表!$H$184)</f>
        <v>69</v>
      </c>
      <c r="Z56" s="115">
        <f>参数输入表!$H$178*参数输入表!$H$179/10000*(1+参数输入表!$H$184)</f>
        <v>69</v>
      </c>
      <c r="AA56" s="115">
        <f>参数输入表!$H$178*参数输入表!$H$179/10000*(1+参数输入表!$H$184)</f>
        <v>69</v>
      </c>
      <c r="AB56" s="115">
        <f>参数输入表!$H$178*参数输入表!$H$179/10000*(1+参数输入表!$H$185)</f>
        <v>72</v>
      </c>
      <c r="AC56" s="115">
        <f>参数输入表!$H$178*参数输入表!$H$179/10000*(1+参数输入表!$H$185)</f>
        <v>72</v>
      </c>
      <c r="AD56" s="115">
        <f>参数输入表!$H$178*参数输入表!$H$179/10000*(1+参数输入表!$H$185)</f>
        <v>72</v>
      </c>
      <c r="AE56" s="115">
        <f>参数输入表!$H$178*参数输入表!$H$179/10000*(1+参数输入表!$H$185)</f>
        <v>72</v>
      </c>
      <c r="AF56" s="115">
        <f>参数输入表!$H$178*参数输入表!$H$179/10000*(1+参数输入表!$H$185)</f>
        <v>72</v>
      </c>
    </row>
    <row r="57" spans="2:32">
      <c r="B57" s="165">
        <v>2</v>
      </c>
      <c r="C57" s="189" t="s">
        <v>406</v>
      </c>
      <c r="D57" s="187">
        <f t="shared" si="15"/>
        <v>0</v>
      </c>
      <c r="E57" s="188" t="s">
        <v>111</v>
      </c>
      <c r="F57" s="115"/>
      <c r="G57" s="115"/>
      <c r="H57" s="187">
        <v>0</v>
      </c>
      <c r="I57" s="187">
        <v>0</v>
      </c>
      <c r="J57" s="187">
        <v>0</v>
      </c>
      <c r="K57" s="187">
        <v>0</v>
      </c>
      <c r="L57" s="187">
        <v>0</v>
      </c>
      <c r="M57" s="187">
        <v>0</v>
      </c>
      <c r="N57" s="187">
        <v>0</v>
      </c>
      <c r="O57" s="187">
        <v>0</v>
      </c>
      <c r="P57" s="187">
        <v>0</v>
      </c>
      <c r="Q57" s="187">
        <v>0</v>
      </c>
      <c r="R57" s="187">
        <v>0</v>
      </c>
      <c r="S57" s="187">
        <v>0</v>
      </c>
      <c r="T57" s="187">
        <v>0</v>
      </c>
      <c r="U57" s="187">
        <v>0</v>
      </c>
      <c r="V57" s="187">
        <v>0</v>
      </c>
      <c r="W57" s="187">
        <v>0</v>
      </c>
      <c r="X57" s="187">
        <v>0</v>
      </c>
      <c r="Y57" s="187">
        <v>0</v>
      </c>
      <c r="Z57" s="187">
        <v>0</v>
      </c>
      <c r="AA57" s="187">
        <v>0</v>
      </c>
      <c r="AB57" s="187">
        <v>0</v>
      </c>
      <c r="AC57" s="187">
        <v>0</v>
      </c>
      <c r="AD57" s="187">
        <v>0</v>
      </c>
      <c r="AE57" s="187">
        <v>0</v>
      </c>
      <c r="AF57" s="187">
        <v>0</v>
      </c>
    </row>
    <row r="58" spans="2:32">
      <c r="B58" s="165">
        <v>3</v>
      </c>
      <c r="C58" s="189" t="s">
        <v>407</v>
      </c>
      <c r="D58" s="187">
        <f t="shared" ca="1" si="15"/>
        <v>1532.0020007519374</v>
      </c>
      <c r="E58" s="188" t="s">
        <v>111</v>
      </c>
      <c r="F58" s="115"/>
      <c r="G58" s="115"/>
      <c r="H58" s="187">
        <f ca="1">SUM(H59:H60)</f>
        <v>61.280080030077514</v>
      </c>
      <c r="I58" s="187">
        <f t="shared" ref="I58:AF58" ca="1" si="17">SUM(I59:I60)</f>
        <v>61.280080030077514</v>
      </c>
      <c r="J58" s="187">
        <f t="shared" ca="1" si="17"/>
        <v>61.280080030077514</v>
      </c>
      <c r="K58" s="187">
        <f t="shared" ca="1" si="17"/>
        <v>61.280080030077514</v>
      </c>
      <c r="L58" s="187">
        <f t="shared" ca="1" si="17"/>
        <v>61.280080030077514</v>
      </c>
      <c r="M58" s="187">
        <f t="shared" ca="1" si="17"/>
        <v>61.280080030077514</v>
      </c>
      <c r="N58" s="187">
        <f t="shared" ca="1" si="17"/>
        <v>61.280080030077514</v>
      </c>
      <c r="O58" s="187">
        <f t="shared" ca="1" si="17"/>
        <v>61.280080030077514</v>
      </c>
      <c r="P58" s="187">
        <f t="shared" ca="1" si="17"/>
        <v>61.280080030077514</v>
      </c>
      <c r="Q58" s="187">
        <f t="shared" ca="1" si="17"/>
        <v>61.280080030077514</v>
      </c>
      <c r="R58" s="187">
        <f t="shared" ca="1" si="17"/>
        <v>61.280080030077514</v>
      </c>
      <c r="S58" s="187">
        <f t="shared" ca="1" si="17"/>
        <v>61.280080030077514</v>
      </c>
      <c r="T58" s="187">
        <f t="shared" ca="1" si="17"/>
        <v>61.280080030077514</v>
      </c>
      <c r="U58" s="187">
        <f t="shared" ca="1" si="17"/>
        <v>61.280080030077514</v>
      </c>
      <c r="V58" s="187">
        <f t="shared" ca="1" si="17"/>
        <v>61.280080030077514</v>
      </c>
      <c r="W58" s="187">
        <f t="shared" ca="1" si="17"/>
        <v>61.280080030077514</v>
      </c>
      <c r="X58" s="187">
        <f t="shared" ca="1" si="17"/>
        <v>61.280080030077514</v>
      </c>
      <c r="Y58" s="187">
        <f t="shared" ca="1" si="17"/>
        <v>61.280080030077514</v>
      </c>
      <c r="Z58" s="187">
        <f t="shared" ca="1" si="17"/>
        <v>61.280080030077514</v>
      </c>
      <c r="AA58" s="187">
        <f t="shared" ca="1" si="17"/>
        <v>61.280080030077514</v>
      </c>
      <c r="AB58" s="187">
        <f t="shared" ca="1" si="17"/>
        <v>61.280080030077514</v>
      </c>
      <c r="AC58" s="187">
        <f t="shared" ca="1" si="17"/>
        <v>61.280080030077514</v>
      </c>
      <c r="AD58" s="187">
        <f t="shared" ca="1" si="17"/>
        <v>61.280080030077514</v>
      </c>
      <c r="AE58" s="187">
        <f t="shared" ca="1" si="17"/>
        <v>61.280080030077514</v>
      </c>
      <c r="AF58" s="187">
        <f t="shared" ca="1" si="17"/>
        <v>61.280080030077514</v>
      </c>
    </row>
    <row r="59" spans="2:32">
      <c r="B59" s="168">
        <v>3.1</v>
      </c>
      <c r="C59" s="154" t="s">
        <v>395</v>
      </c>
      <c r="D59" s="115">
        <f t="shared" ca="1" si="15"/>
        <v>1532.0020007519374</v>
      </c>
      <c r="E59" s="188" t="s">
        <v>111</v>
      </c>
      <c r="F59" s="115"/>
      <c r="G59" s="115"/>
      <c r="H59" s="115">
        <f ca="1">H17</f>
        <v>61.280080030077514</v>
      </c>
      <c r="I59" s="115">
        <f t="shared" ref="I59:AF59" ca="1" si="18">I17</f>
        <v>61.280080030077514</v>
      </c>
      <c r="J59" s="115">
        <f t="shared" ca="1" si="18"/>
        <v>61.280080030077514</v>
      </c>
      <c r="K59" s="115">
        <f t="shared" ca="1" si="18"/>
        <v>61.280080030077514</v>
      </c>
      <c r="L59" s="115">
        <f t="shared" ca="1" si="18"/>
        <v>61.280080030077514</v>
      </c>
      <c r="M59" s="115">
        <f t="shared" ca="1" si="18"/>
        <v>61.280080030077514</v>
      </c>
      <c r="N59" s="115">
        <f t="shared" ca="1" si="18"/>
        <v>61.280080030077514</v>
      </c>
      <c r="O59" s="115">
        <f t="shared" ca="1" si="18"/>
        <v>61.280080030077514</v>
      </c>
      <c r="P59" s="115">
        <f t="shared" ca="1" si="18"/>
        <v>61.280080030077514</v>
      </c>
      <c r="Q59" s="115">
        <f t="shared" ca="1" si="18"/>
        <v>61.280080030077514</v>
      </c>
      <c r="R59" s="115">
        <f t="shared" ca="1" si="18"/>
        <v>61.280080030077514</v>
      </c>
      <c r="S59" s="115">
        <f t="shared" ca="1" si="18"/>
        <v>61.280080030077514</v>
      </c>
      <c r="T59" s="115">
        <f t="shared" ca="1" si="18"/>
        <v>61.280080030077514</v>
      </c>
      <c r="U59" s="115">
        <f t="shared" ca="1" si="18"/>
        <v>61.280080030077514</v>
      </c>
      <c r="V59" s="115">
        <f t="shared" ca="1" si="18"/>
        <v>61.280080030077514</v>
      </c>
      <c r="W59" s="115">
        <f t="shared" ca="1" si="18"/>
        <v>61.280080030077514</v>
      </c>
      <c r="X59" s="115">
        <f t="shared" ca="1" si="18"/>
        <v>61.280080030077514</v>
      </c>
      <c r="Y59" s="115">
        <f t="shared" ca="1" si="18"/>
        <v>61.280080030077514</v>
      </c>
      <c r="Z59" s="115">
        <f t="shared" ca="1" si="18"/>
        <v>61.280080030077514</v>
      </c>
      <c r="AA59" s="115">
        <f t="shared" ca="1" si="18"/>
        <v>61.280080030077514</v>
      </c>
      <c r="AB59" s="115">
        <f t="shared" ca="1" si="18"/>
        <v>61.280080030077514</v>
      </c>
      <c r="AC59" s="115">
        <f t="shared" ca="1" si="18"/>
        <v>61.280080030077514</v>
      </c>
      <c r="AD59" s="115">
        <f t="shared" ca="1" si="18"/>
        <v>61.280080030077514</v>
      </c>
      <c r="AE59" s="115">
        <f t="shared" ca="1" si="18"/>
        <v>61.280080030077514</v>
      </c>
      <c r="AF59" s="115">
        <f t="shared" ca="1" si="18"/>
        <v>61.280080030077514</v>
      </c>
    </row>
    <row r="60" spans="2:32">
      <c r="B60" s="168">
        <v>3.2</v>
      </c>
      <c r="C60" s="154" t="s">
        <v>206</v>
      </c>
      <c r="D60" s="115">
        <f t="shared" ca="1" si="15"/>
        <v>0</v>
      </c>
      <c r="E60" s="188" t="s">
        <v>111</v>
      </c>
      <c r="F60" s="115"/>
      <c r="G60" s="115"/>
      <c r="H60" s="115">
        <v>0</v>
      </c>
      <c r="I60" s="115">
        <v>0</v>
      </c>
      <c r="J60" s="115">
        <v>0</v>
      </c>
      <c r="K60" s="115">
        <v>0</v>
      </c>
      <c r="L60" s="115">
        <v>0</v>
      </c>
      <c r="M60" s="115">
        <v>0</v>
      </c>
      <c r="N60" s="115">
        <v>0</v>
      </c>
      <c r="O60" s="115">
        <v>0</v>
      </c>
      <c r="P60" s="115">
        <v>0</v>
      </c>
      <c r="Q60" s="115">
        <v>0</v>
      </c>
      <c r="R60" s="115">
        <v>0</v>
      </c>
      <c r="S60" s="115">
        <v>0</v>
      </c>
      <c r="T60" s="115">
        <v>0</v>
      </c>
      <c r="U60" s="115">
        <v>0</v>
      </c>
      <c r="V60" s="115">
        <v>0</v>
      </c>
      <c r="W60" s="115">
        <v>0</v>
      </c>
      <c r="X60" s="115">
        <v>0</v>
      </c>
      <c r="Y60" s="115">
        <v>0</v>
      </c>
      <c r="Z60" s="115">
        <v>0</v>
      </c>
      <c r="AA60" s="115">
        <v>0</v>
      </c>
      <c r="AB60" s="115">
        <v>0</v>
      </c>
      <c r="AC60" s="115">
        <v>0</v>
      </c>
      <c r="AD60" s="115">
        <v>0</v>
      </c>
      <c r="AE60" s="115">
        <v>0</v>
      </c>
      <c r="AF60" s="115">
        <f ca="1">参数输入表!H189*参数输入表!H188</f>
        <v>0</v>
      </c>
    </row>
    <row r="61" spans="2:32">
      <c r="B61" s="165">
        <v>4</v>
      </c>
      <c r="C61" s="189" t="s">
        <v>408</v>
      </c>
      <c r="D61" s="187">
        <f t="shared" si="15"/>
        <v>0</v>
      </c>
      <c r="E61" s="188" t="s">
        <v>111</v>
      </c>
      <c r="F61" s="115"/>
      <c r="G61" s="115"/>
      <c r="H61" s="187">
        <v>0</v>
      </c>
      <c r="I61" s="187">
        <v>0</v>
      </c>
      <c r="J61" s="187">
        <v>0</v>
      </c>
      <c r="K61" s="187">
        <v>0</v>
      </c>
      <c r="L61" s="187">
        <v>0</v>
      </c>
      <c r="M61" s="187">
        <v>0</v>
      </c>
      <c r="N61" s="187">
        <v>0</v>
      </c>
      <c r="O61" s="187">
        <v>0</v>
      </c>
      <c r="P61" s="187">
        <v>0</v>
      </c>
      <c r="Q61" s="187">
        <v>0</v>
      </c>
      <c r="R61" s="187">
        <v>0</v>
      </c>
      <c r="S61" s="187">
        <v>0</v>
      </c>
      <c r="T61" s="187">
        <v>0</v>
      </c>
      <c r="U61" s="187">
        <v>0</v>
      </c>
      <c r="V61" s="187">
        <v>0</v>
      </c>
      <c r="W61" s="187">
        <v>0</v>
      </c>
      <c r="X61" s="187">
        <v>0</v>
      </c>
      <c r="Y61" s="187">
        <v>0</v>
      </c>
      <c r="Z61" s="187">
        <v>0</v>
      </c>
      <c r="AA61" s="187">
        <v>0</v>
      </c>
      <c r="AB61" s="187">
        <v>0</v>
      </c>
      <c r="AC61" s="187">
        <v>0</v>
      </c>
      <c r="AD61" s="187">
        <v>0</v>
      </c>
      <c r="AE61" s="187">
        <v>0</v>
      </c>
      <c r="AF61" s="187">
        <v>0</v>
      </c>
    </row>
    <row r="62" spans="2:32">
      <c r="B62" s="164" t="s">
        <v>345</v>
      </c>
      <c r="C62" s="166" t="s">
        <v>409</v>
      </c>
      <c r="D62" s="187">
        <f t="shared" si="15"/>
        <v>0</v>
      </c>
      <c r="E62" s="188" t="s">
        <v>111</v>
      </c>
      <c r="F62" s="115"/>
      <c r="G62" s="115"/>
      <c r="H62" s="187">
        <f>参数输入表!$H$267</f>
        <v>0</v>
      </c>
      <c r="I62" s="187">
        <f>参数输入表!$H$267</f>
        <v>0</v>
      </c>
      <c r="J62" s="187">
        <f>参数输入表!$H$267</f>
        <v>0</v>
      </c>
      <c r="K62" s="187">
        <f>参数输入表!$H$267</f>
        <v>0</v>
      </c>
      <c r="L62" s="187">
        <f>参数输入表!$H$267</f>
        <v>0</v>
      </c>
      <c r="M62" s="187">
        <f>参数输入表!$H$267</f>
        <v>0</v>
      </c>
      <c r="N62" s="187">
        <f>参数输入表!$H$267</f>
        <v>0</v>
      </c>
      <c r="O62" s="187">
        <f>参数输入表!$H$267</f>
        <v>0</v>
      </c>
      <c r="P62" s="187">
        <f>参数输入表!$H$267</f>
        <v>0</v>
      </c>
      <c r="Q62" s="187">
        <f>参数输入表!$H$267</f>
        <v>0</v>
      </c>
      <c r="R62" s="187">
        <f>参数输入表!$H$267</f>
        <v>0</v>
      </c>
      <c r="S62" s="187">
        <f>参数输入表!$H$267</f>
        <v>0</v>
      </c>
      <c r="T62" s="187">
        <f>参数输入表!$H$267</f>
        <v>0</v>
      </c>
      <c r="U62" s="187">
        <f>参数输入表!$H$267</f>
        <v>0</v>
      </c>
      <c r="V62" s="187">
        <f>参数输入表!$H$267</f>
        <v>0</v>
      </c>
      <c r="W62" s="187">
        <f>参数输入表!$H$267</f>
        <v>0</v>
      </c>
      <c r="X62" s="187">
        <f>参数输入表!$H$267</f>
        <v>0</v>
      </c>
      <c r="Y62" s="187">
        <f>参数输入表!$H$267</f>
        <v>0</v>
      </c>
      <c r="Z62" s="187">
        <f>参数输入表!$H$267</f>
        <v>0</v>
      </c>
      <c r="AA62" s="187">
        <f>参数输入表!$H$267</f>
        <v>0</v>
      </c>
      <c r="AB62" s="187">
        <f>参数输入表!$H$267</f>
        <v>0</v>
      </c>
      <c r="AC62" s="187">
        <f>参数输入表!$H$267</f>
        <v>0</v>
      </c>
      <c r="AD62" s="187">
        <f>参数输入表!$H$267</f>
        <v>0</v>
      </c>
      <c r="AE62" s="187">
        <f>参数输入表!$H$267</f>
        <v>0</v>
      </c>
      <c r="AF62" s="187">
        <f>参数输入表!$H$267</f>
        <v>0</v>
      </c>
    </row>
    <row r="63" spans="2:32">
      <c r="B63" s="183"/>
      <c r="C63" s="192"/>
      <c r="D63" s="185"/>
      <c r="E63" s="186"/>
    </row>
    <row r="65" spans="3:5">
      <c r="C65" s="46" t="s">
        <v>410</v>
      </c>
      <c r="D65" s="49"/>
      <c r="E65" s="49"/>
    </row>
    <row r="66" spans="3:5">
      <c r="C66" s="46" t="s">
        <v>411</v>
      </c>
      <c r="D66" s="49"/>
      <c r="E66" s="49"/>
    </row>
    <row r="68" spans="3:5">
      <c r="C68" s="46" t="s">
        <v>412</v>
      </c>
    </row>
  </sheetData>
  <mergeCells count="12">
    <mergeCell ref="F3:G3"/>
    <mergeCell ref="H3:AF3"/>
    <mergeCell ref="F27:G27"/>
    <mergeCell ref="H27:AF27"/>
    <mergeCell ref="B3:B4"/>
    <mergeCell ref="B27:B28"/>
    <mergeCell ref="C3:C4"/>
    <mergeCell ref="C27:C28"/>
    <mergeCell ref="D3:D4"/>
    <mergeCell ref="D27:D28"/>
    <mergeCell ref="E3:E4"/>
    <mergeCell ref="E27:E28"/>
  </mergeCells>
  <phoneticPr fontId="51" type="noConversion"/>
  <pageMargins left="0.7" right="0.7" top="0.75" bottom="0.75" header="0.3" footer="0.3"/>
  <pageSetup paperSize="9"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F81"/>
  <sheetViews>
    <sheetView showGridLines="0" zoomScale="60" zoomScaleNormal="60" workbookViewId="0">
      <selection activeCell="I18" sqref="I18"/>
    </sheetView>
  </sheetViews>
  <sheetFormatPr defaultColWidth="8.81640625" defaultRowHeight="16.5"/>
  <cols>
    <col min="1" max="1" width="2.81640625" style="49" customWidth="1"/>
    <col min="2" max="2" width="8.81640625" style="49"/>
    <col min="3" max="3" width="31.08984375" style="49" customWidth="1"/>
    <col min="4" max="4" width="14.81640625" style="49" customWidth="1"/>
    <col min="5" max="5" width="17.08984375" style="49"/>
    <col min="6" max="6" width="13.08984375" style="49" customWidth="1"/>
    <col min="7" max="7" width="11.81640625" style="49" customWidth="1"/>
    <col min="8" max="32" width="13" style="49" customWidth="1"/>
    <col min="33" max="16384" width="8.81640625" style="49"/>
  </cols>
  <sheetData>
    <row r="1" spans="2:32" ht="6.5" customHeight="1"/>
    <row r="2" spans="2:32" ht="21.65" customHeight="1">
      <c r="B2" s="50" t="s">
        <v>413</v>
      </c>
    </row>
    <row r="3" spans="2:32">
      <c r="B3" s="354" t="s">
        <v>14</v>
      </c>
      <c r="C3" s="354" t="s">
        <v>323</v>
      </c>
      <c r="D3" s="354" t="s">
        <v>311</v>
      </c>
      <c r="E3" s="354" t="s">
        <v>39</v>
      </c>
      <c r="F3" s="342" t="s">
        <v>43</v>
      </c>
      <c r="G3" s="342"/>
      <c r="H3" s="343" t="s">
        <v>54</v>
      </c>
      <c r="I3" s="343"/>
      <c r="J3" s="343"/>
      <c r="K3" s="343"/>
      <c r="L3" s="343"/>
      <c r="M3" s="343"/>
      <c r="N3" s="343"/>
      <c r="O3" s="343"/>
      <c r="P3" s="343"/>
      <c r="Q3" s="343"/>
      <c r="R3" s="343"/>
      <c r="S3" s="343"/>
      <c r="T3" s="343"/>
      <c r="U3" s="343"/>
      <c r="V3" s="343"/>
      <c r="W3" s="343"/>
      <c r="X3" s="343"/>
      <c r="Y3" s="343"/>
      <c r="Z3" s="343"/>
      <c r="AA3" s="343"/>
      <c r="AB3" s="343"/>
      <c r="AC3" s="343"/>
      <c r="AD3" s="343"/>
      <c r="AE3" s="343"/>
      <c r="AF3" s="343"/>
    </row>
    <row r="4" spans="2:32">
      <c r="B4" s="355"/>
      <c r="C4" s="355"/>
      <c r="D4" s="355"/>
      <c r="E4" s="355"/>
      <c r="F4" s="51">
        <v>1</v>
      </c>
      <c r="G4" s="51">
        <v>2</v>
      </c>
      <c r="H4" s="52">
        <v>1</v>
      </c>
      <c r="I4" s="52">
        <v>2</v>
      </c>
      <c r="J4" s="52">
        <v>3</v>
      </c>
      <c r="K4" s="52">
        <v>4</v>
      </c>
      <c r="L4" s="52">
        <v>5</v>
      </c>
      <c r="M4" s="52">
        <v>6</v>
      </c>
      <c r="N4" s="52">
        <v>7</v>
      </c>
      <c r="O4" s="52">
        <v>8</v>
      </c>
      <c r="P4" s="52">
        <v>9</v>
      </c>
      <c r="Q4" s="52">
        <v>10</v>
      </c>
      <c r="R4" s="52">
        <v>11</v>
      </c>
      <c r="S4" s="52">
        <v>12</v>
      </c>
      <c r="T4" s="52">
        <v>13</v>
      </c>
      <c r="U4" s="52">
        <v>14</v>
      </c>
      <c r="V4" s="52">
        <v>15</v>
      </c>
      <c r="W4" s="52">
        <v>16</v>
      </c>
      <c r="X4" s="52">
        <v>17</v>
      </c>
      <c r="Y4" s="52">
        <v>18</v>
      </c>
      <c r="Z4" s="52">
        <v>19</v>
      </c>
      <c r="AA4" s="52">
        <v>20</v>
      </c>
      <c r="AB4" s="52">
        <v>21</v>
      </c>
      <c r="AC4" s="52">
        <v>22</v>
      </c>
      <c r="AD4" s="52">
        <v>23</v>
      </c>
      <c r="AE4" s="52">
        <v>24</v>
      </c>
      <c r="AF4" s="52">
        <v>25</v>
      </c>
    </row>
    <row r="5" spans="2:32">
      <c r="B5" s="99">
        <v>1</v>
      </c>
      <c r="C5" s="100" t="s">
        <v>250</v>
      </c>
      <c r="D5" s="117">
        <f>SUM(F5:AF5)</f>
        <v>73734.758417673598</v>
      </c>
      <c r="E5" s="56" t="s">
        <v>111</v>
      </c>
      <c r="F5" s="53"/>
      <c r="G5" s="53"/>
      <c r="H5" s="137">
        <f>H6</f>
        <v>2994.9374867256602</v>
      </c>
      <c r="I5" s="137">
        <f t="shared" ref="I5:AF5" si="0">I6</f>
        <v>2981.4602680354001</v>
      </c>
      <c r="J5" s="137">
        <f t="shared" si="0"/>
        <v>2968.0436968292402</v>
      </c>
      <c r="K5" s="137">
        <f t="shared" si="0"/>
        <v>2954.68750019351</v>
      </c>
      <c r="L5" s="137">
        <f t="shared" si="0"/>
        <v>2941.3914064426399</v>
      </c>
      <c r="M5" s="137">
        <f t="shared" si="0"/>
        <v>3072.5852525830401</v>
      </c>
      <c r="N5" s="137">
        <f t="shared" si="0"/>
        <v>3058.75861894642</v>
      </c>
      <c r="O5" s="137">
        <f t="shared" si="0"/>
        <v>3044.9942051611602</v>
      </c>
      <c r="P5" s="137">
        <f t="shared" si="0"/>
        <v>3031.29173123793</v>
      </c>
      <c r="Q5" s="137">
        <f t="shared" si="0"/>
        <v>3017.6509184473598</v>
      </c>
      <c r="R5" s="137">
        <f t="shared" si="0"/>
        <v>3004.0714893143499</v>
      </c>
      <c r="S5" s="137">
        <f t="shared" si="0"/>
        <v>2990.5531676124301</v>
      </c>
      <c r="T5" s="137">
        <f t="shared" si="0"/>
        <v>2977.0956783581801</v>
      </c>
      <c r="U5" s="137">
        <f t="shared" si="0"/>
        <v>2963.6987478055698</v>
      </c>
      <c r="V5" s="137">
        <f t="shared" si="0"/>
        <v>2950.36210344044</v>
      </c>
      <c r="W5" s="137">
        <f t="shared" si="0"/>
        <v>2937.0854739749602</v>
      </c>
      <c r="X5" s="137">
        <f t="shared" si="0"/>
        <v>2923.8685893420702</v>
      </c>
      <c r="Y5" s="137">
        <f t="shared" si="0"/>
        <v>2910.7111806900298</v>
      </c>
      <c r="Z5" s="137">
        <f t="shared" si="0"/>
        <v>2897.61298037693</v>
      </c>
      <c r="AA5" s="137">
        <f t="shared" si="0"/>
        <v>2884.5737219652301</v>
      </c>
      <c r="AB5" s="137">
        <f t="shared" si="0"/>
        <v>2871.5931402163901</v>
      </c>
      <c r="AC5" s="137">
        <f t="shared" si="0"/>
        <v>2858.6709710854102</v>
      </c>
      <c r="AD5" s="137">
        <f t="shared" si="0"/>
        <v>2845.80695171553</v>
      </c>
      <c r="AE5" s="137">
        <f t="shared" si="0"/>
        <v>2833.0008204328101</v>
      </c>
      <c r="AF5" s="137">
        <f t="shared" si="0"/>
        <v>2820.2523167408599</v>
      </c>
    </row>
    <row r="6" spans="2:32">
      <c r="B6" s="86">
        <v>1.1000000000000001</v>
      </c>
      <c r="C6" s="139" t="s">
        <v>251</v>
      </c>
      <c r="D6" s="117">
        <f>SUM(F6:AF6)</f>
        <v>73734.758417673598</v>
      </c>
      <c r="E6" s="56" t="s">
        <v>111</v>
      </c>
      <c r="F6" s="140"/>
      <c r="G6" s="59"/>
      <c r="H6" s="55">
        <f>(H9*H10-H11-H12)/(1+参数输入表!$H$291)+(H14*H15)/(1+参数输入表!$H$296)</f>
        <v>2994.9374867256602</v>
      </c>
      <c r="I6" s="55">
        <f>(I9*I10-I11-I12)/(1+参数输入表!$H$291)+(I14*I15)/(1+参数输入表!$H$296)</f>
        <v>2981.4602680354001</v>
      </c>
      <c r="J6" s="55">
        <f>(J9*J10-J11-J12)/(1+参数输入表!$H$291)+(J14*J15)/(1+参数输入表!$H$296)</f>
        <v>2968.0436968292402</v>
      </c>
      <c r="K6" s="55">
        <f>(K9*K10-K11-K12)/(1+参数输入表!$H$291)+(K14*K15)/(1+参数输入表!$H$296)</f>
        <v>2954.68750019351</v>
      </c>
      <c r="L6" s="55">
        <f>(L9*L10-L11-L12)/(1+参数输入表!$H$291)+(L14*L15)/(1+参数输入表!$H$296)</f>
        <v>2941.3914064426399</v>
      </c>
      <c r="M6" s="55">
        <f>(M9*M10-M11-M12)/(1+参数输入表!$H$291)+(M14*M15)/(1+参数输入表!$H$296)</f>
        <v>3072.5852525830401</v>
      </c>
      <c r="N6" s="55">
        <f>(N9*N10-N11-N12)/(1+参数输入表!$H$291)+(N14*N15)/(1+参数输入表!$H$296)</f>
        <v>3058.75861894642</v>
      </c>
      <c r="O6" s="55">
        <f>(O9*O10-O11-O12)/(1+参数输入表!$H$291)+(O14*O15)/(1+参数输入表!$H$296)</f>
        <v>3044.9942051611602</v>
      </c>
      <c r="P6" s="55">
        <f>(P9*P10-P11-P12)/(1+参数输入表!$H$291)+(P14*P15)/(1+参数输入表!$H$296)</f>
        <v>3031.29173123793</v>
      </c>
      <c r="Q6" s="55">
        <f>(Q9*Q10-Q11-Q12)/(1+参数输入表!$H$291)+(Q14*Q15)/(1+参数输入表!$H$296)</f>
        <v>3017.6509184473598</v>
      </c>
      <c r="R6" s="55">
        <f>(R9*R10-R11-R12)/(1+参数输入表!$H$291)+(R14*R15)/(1+参数输入表!$H$296)</f>
        <v>3004.0714893143499</v>
      </c>
      <c r="S6" s="55">
        <f>(S9*S10-S11-S12)/(1+参数输入表!$H$291)+(S14*S15)/(1+参数输入表!$H$296)</f>
        <v>2990.5531676124301</v>
      </c>
      <c r="T6" s="55">
        <f>(T9*T10-T11-T12)/(1+参数输入表!$H$291)+(T14*T15)/(1+参数输入表!$H$296)</f>
        <v>2977.0956783581801</v>
      </c>
      <c r="U6" s="55">
        <f>(U9*U10-U11-U12)/(1+参数输入表!$H$291)+(U14*U15)/(1+参数输入表!$H$296)</f>
        <v>2963.6987478055698</v>
      </c>
      <c r="V6" s="55">
        <f>(V9*V10-V11-V12)/(1+参数输入表!$H$291)+(V14*V15)/(1+参数输入表!$H$296)</f>
        <v>2950.36210344044</v>
      </c>
      <c r="W6" s="55">
        <f>(W9*W10-W11-W12)/(1+参数输入表!$H$291)+(W14*W15)/(1+参数输入表!$H$296)</f>
        <v>2937.0854739749602</v>
      </c>
      <c r="X6" s="55">
        <f>(X9*X10-X11-X12)/(1+参数输入表!$H$291)+(X14*X15)/(1+参数输入表!$H$296)</f>
        <v>2923.8685893420702</v>
      </c>
      <c r="Y6" s="55">
        <f>(Y9*Y10-Y11-Y12)/(1+参数输入表!$H$291)+(Y14*Y15)/(1+参数输入表!$H$296)</f>
        <v>2910.7111806900298</v>
      </c>
      <c r="Z6" s="55">
        <f>(Z9*Z10-Z11-Z12)/(1+参数输入表!$H$291)+(Z14*Z15)/(1+参数输入表!$H$296)</f>
        <v>2897.61298037693</v>
      </c>
      <c r="AA6" s="55">
        <f>(AA9*AA10-AA11-AA12)/(1+参数输入表!$H$291)+(AA14*AA15)/(1+参数输入表!$H$296)</f>
        <v>2884.5737219652301</v>
      </c>
      <c r="AB6" s="55">
        <f>(AB9*AB10-AB11-AB12)/(1+参数输入表!$H$291)+(AB14*AB15)/(1+参数输入表!$H$296)</f>
        <v>2871.5931402163901</v>
      </c>
      <c r="AC6" s="55">
        <f>(AC9*AC10-AC11-AC12)/(1+参数输入表!$H$291)+(AC14*AC15)/(1+参数输入表!$H$296)</f>
        <v>2858.6709710854102</v>
      </c>
      <c r="AD6" s="55">
        <f>(AD9*AD10-AD11-AD12)/(1+参数输入表!$H$291)+(AD14*AD15)/(1+参数输入表!$H$296)</f>
        <v>2845.80695171553</v>
      </c>
      <c r="AE6" s="55">
        <f>(AE9*AE10-AE11-AE12)/(1+参数输入表!$H$291)+(AE14*AE15)/(1+参数输入表!$H$296)</f>
        <v>2833.0008204328101</v>
      </c>
      <c r="AF6" s="55">
        <f>(AF9*AF10-AF11-AF12)/(1+参数输入表!$H$291)+(AF14*AF15)/(1+参数输入表!$H$296)</f>
        <v>2820.2523167408599</v>
      </c>
    </row>
    <row r="7" spans="2:32" s="138" customFormat="1">
      <c r="B7" s="141"/>
      <c r="C7" s="142" t="s">
        <v>70</v>
      </c>
      <c r="D7" s="143">
        <f>SUM(F7:AF7)</f>
        <v>225201.49723389701</v>
      </c>
      <c r="E7" s="144" t="s">
        <v>414</v>
      </c>
      <c r="F7" s="145"/>
      <c r="G7" s="145"/>
      <c r="H7" s="143">
        <f>参数输入表!H13*参数输入表!H16*(1-参数输入表!H18)/10</f>
        <v>9504</v>
      </c>
      <c r="I7" s="143">
        <f>H7*(1-参数输入表!$H$19)</f>
        <v>9461.232</v>
      </c>
      <c r="J7" s="143">
        <f>I7*(1-参数输入表!$H$19)</f>
        <v>9418.6564560000006</v>
      </c>
      <c r="K7" s="143">
        <f>J7*(1-参数输入表!$H$19)</f>
        <v>9376.2725019480004</v>
      </c>
      <c r="L7" s="143">
        <f>K7*(1-参数输入表!$H$19)</f>
        <v>9334.0792756892406</v>
      </c>
      <c r="M7" s="143">
        <f>L7*(1-参数输入表!$H$19)</f>
        <v>9292.0759189486307</v>
      </c>
      <c r="N7" s="143">
        <f>M7*(1-参数输入表!$H$19)</f>
        <v>9250.2615773133693</v>
      </c>
      <c r="O7" s="143">
        <f>N7*(1-参数输入表!$H$19)</f>
        <v>9208.6354002154603</v>
      </c>
      <c r="P7" s="143">
        <f>O7*(1-参数输入表!$H$19)</f>
        <v>9167.1965409144905</v>
      </c>
      <c r="Q7" s="143">
        <f>P7*(1-参数输入表!$H$19)</f>
        <v>9125.9441564803692</v>
      </c>
      <c r="R7" s="143">
        <f>Q7*(1-参数输入表!$H$19)</f>
        <v>9084.87740777621</v>
      </c>
      <c r="S7" s="143">
        <f>R7*(1-参数输入表!$H$19)</f>
        <v>9043.9954594412193</v>
      </c>
      <c r="T7" s="143">
        <f>S7*(1-参数输入表!$H$19)</f>
        <v>9003.2974798737305</v>
      </c>
      <c r="U7" s="143">
        <f>T7*(1-参数输入表!$H$19)</f>
        <v>8962.7826412143004</v>
      </c>
      <c r="V7" s="143">
        <f>U7*(1-参数输入表!$H$19)</f>
        <v>8922.4501193288397</v>
      </c>
      <c r="W7" s="143">
        <f>V7*(1-参数输入表!$H$19)</f>
        <v>8882.2990937918603</v>
      </c>
      <c r="X7" s="143">
        <f>W7*(1-参数输入表!$H$19)</f>
        <v>8842.3287478697894</v>
      </c>
      <c r="Y7" s="143">
        <f>X7*(1-参数输入表!$H$19)</f>
        <v>8802.5382685043805</v>
      </c>
      <c r="Z7" s="143">
        <f>Y7*(1-参数输入表!$H$19)</f>
        <v>8762.9268462961099</v>
      </c>
      <c r="AA7" s="143">
        <f>Z7*(1-参数输入表!$H$19)</f>
        <v>8723.4936754877799</v>
      </c>
      <c r="AB7" s="143">
        <f>AA7*(1-参数输入表!$H$19)</f>
        <v>8684.2379539480899</v>
      </c>
      <c r="AC7" s="143">
        <f>AB7*(1-参数输入表!$H$19)</f>
        <v>8645.1588831553199</v>
      </c>
      <c r="AD7" s="143">
        <f>AC7*(1-参数输入表!$H$19)</f>
        <v>8606.2556681811202</v>
      </c>
      <c r="AE7" s="143">
        <f>AD7*(1-参数输入表!$H$19)</f>
        <v>8567.5275176743107</v>
      </c>
      <c r="AF7" s="143">
        <f>AE7*(1-参数输入表!$H$19)</f>
        <v>8528.9736438447708</v>
      </c>
    </row>
    <row r="8" spans="2:32">
      <c r="B8" s="86"/>
      <c r="C8" s="139" t="s">
        <v>253</v>
      </c>
      <c r="D8" s="117">
        <f t="shared" ref="D8:D14" si="1">SUM(F8:AF8)</f>
        <v>21266.723013425501</v>
      </c>
      <c r="E8" s="56" t="s">
        <v>111</v>
      </c>
      <c r="F8" s="59"/>
      <c r="G8" s="59"/>
      <c r="H8" s="55">
        <f>H9*H10/1.13</f>
        <v>1312.8135929203499</v>
      </c>
      <c r="I8" s="55">
        <f t="shared" ref="I8:AF8" si="2">I9*I10/1.13</f>
        <v>1306.9059317522101</v>
      </c>
      <c r="J8" s="55">
        <f t="shared" si="2"/>
        <v>1301.0248550593301</v>
      </c>
      <c r="K8" s="55">
        <f t="shared" si="2"/>
        <v>1295.1702432115601</v>
      </c>
      <c r="L8" s="55">
        <f t="shared" si="2"/>
        <v>1289.34197711711</v>
      </c>
      <c r="M8" s="55">
        <f t="shared" si="2"/>
        <v>770.12396293204802</v>
      </c>
      <c r="N8" s="55">
        <f t="shared" si="2"/>
        <v>766.65840509885402</v>
      </c>
      <c r="O8" s="55">
        <f t="shared" si="2"/>
        <v>763.20844227591101</v>
      </c>
      <c r="P8" s="55">
        <f t="shared" si="2"/>
        <v>759.77400428566796</v>
      </c>
      <c r="Q8" s="55">
        <f t="shared" si="2"/>
        <v>756.35502126638301</v>
      </c>
      <c r="R8" s="55">
        <f t="shared" si="2"/>
        <v>752.95142367068502</v>
      </c>
      <c r="S8" s="55">
        <f t="shared" si="2"/>
        <v>749.56314226416703</v>
      </c>
      <c r="T8" s="55">
        <f t="shared" si="2"/>
        <v>746.19010812397903</v>
      </c>
      <c r="U8" s="55">
        <f t="shared" si="2"/>
        <v>742.83225263741997</v>
      </c>
      <c r="V8" s="55">
        <f t="shared" si="2"/>
        <v>739.48950750054996</v>
      </c>
      <c r="W8" s="55">
        <f t="shared" si="2"/>
        <v>736.161804716799</v>
      </c>
      <c r="X8" s="55">
        <f t="shared" si="2"/>
        <v>732.84907659557405</v>
      </c>
      <c r="Y8" s="55">
        <f t="shared" si="2"/>
        <v>729.55125575089198</v>
      </c>
      <c r="Z8" s="55">
        <f t="shared" si="2"/>
        <v>726.26827510001499</v>
      </c>
      <c r="AA8" s="55">
        <f t="shared" si="2"/>
        <v>723.00006786206404</v>
      </c>
      <c r="AB8" s="55">
        <f t="shared" si="2"/>
        <v>719.74656755668605</v>
      </c>
      <c r="AC8" s="55">
        <f t="shared" si="2"/>
        <v>716.50770800268003</v>
      </c>
      <c r="AD8" s="55">
        <f t="shared" si="2"/>
        <v>713.28342331666704</v>
      </c>
      <c r="AE8" s="55">
        <f t="shared" si="2"/>
        <v>710.07364791174405</v>
      </c>
      <c r="AF8" s="55">
        <f t="shared" si="2"/>
        <v>706.878316496141</v>
      </c>
    </row>
    <row r="9" spans="2:32">
      <c r="B9" s="56"/>
      <c r="C9" s="146" t="s">
        <v>102</v>
      </c>
      <c r="D9" s="59">
        <f t="shared" si="1"/>
        <v>72822.415167184299</v>
      </c>
      <c r="E9" s="56" t="s">
        <v>414</v>
      </c>
      <c r="F9" s="59"/>
      <c r="G9" s="59"/>
      <c r="H9" s="59">
        <f>参数输入表!H47/10</f>
        <v>4495.3919999999998</v>
      </c>
      <c r="I9" s="59">
        <f>参数输入表!H48/10</f>
        <v>4475.1627360000002</v>
      </c>
      <c r="J9" s="59">
        <f>参数输入表!H49/10</f>
        <v>4455.0245036879996</v>
      </c>
      <c r="K9" s="59">
        <f>参数输入表!H50/10</f>
        <v>4434.9768934213998</v>
      </c>
      <c r="L9" s="59">
        <f>参数输入表!H51/10</f>
        <v>4415.0194974010101</v>
      </c>
      <c r="M9" s="59">
        <f>参数输入表!H52/10</f>
        <v>2637.0911457976199</v>
      </c>
      <c r="N9" s="59">
        <f>参数输入表!H53/10</f>
        <v>2625.22423564153</v>
      </c>
      <c r="O9" s="59">
        <f>参数输入表!H54/10</f>
        <v>2613.4107265811499</v>
      </c>
      <c r="P9" s="59">
        <f>参数输入表!H55/10</f>
        <v>2601.6503783115299</v>
      </c>
      <c r="Q9" s="59">
        <f>参数输入表!H56/10</f>
        <v>2589.94295160913</v>
      </c>
      <c r="R9" s="59">
        <f>参数输入表!H57/10</f>
        <v>2578.2882083268901</v>
      </c>
      <c r="S9" s="59">
        <f>参数输入表!H58/10</f>
        <v>2566.6859113894202</v>
      </c>
      <c r="T9" s="59">
        <f>参数输入表!H59/10</f>
        <v>2555.1358247881699</v>
      </c>
      <c r="U9" s="59">
        <f>参数输入表!H60/10</f>
        <v>2543.6377135766202</v>
      </c>
      <c r="V9" s="59">
        <f>参数输入表!H61/10</f>
        <v>2532.1913438655201</v>
      </c>
      <c r="W9" s="59">
        <f>参数输入表!H62/10</f>
        <v>2520.7964828181298</v>
      </c>
      <c r="X9" s="59">
        <f>参数输入表!H63/10</f>
        <v>2509.4528986454502</v>
      </c>
      <c r="Y9" s="59">
        <f>参数输入表!H64/10</f>
        <v>2498.1603606015401</v>
      </c>
      <c r="Z9" s="59">
        <f>参数输入表!H65/10</f>
        <v>2486.9186389788401</v>
      </c>
      <c r="AA9" s="59">
        <f>参数输入表!H66/10</f>
        <v>2475.7275051034298</v>
      </c>
      <c r="AB9" s="59">
        <f>参数输入表!H67/10</f>
        <v>2464.5867313304698</v>
      </c>
      <c r="AC9" s="59">
        <f>参数输入表!H68/10</f>
        <v>2453.4960910394798</v>
      </c>
      <c r="AD9" s="59">
        <f>参数输入表!H69/10</f>
        <v>2442.4553586297998</v>
      </c>
      <c r="AE9" s="59">
        <f>参数输入表!H70/10</f>
        <v>2431.4643095159699</v>
      </c>
      <c r="AF9" s="59">
        <f>参数输入表!H71/10</f>
        <v>2420.5227201231501</v>
      </c>
    </row>
    <row r="10" spans="2:32">
      <c r="B10" s="56"/>
      <c r="C10" s="146" t="s">
        <v>415</v>
      </c>
      <c r="D10" s="59"/>
      <c r="E10" s="56" t="s">
        <v>416</v>
      </c>
      <c r="F10" s="59"/>
      <c r="G10" s="59"/>
      <c r="H10" s="147">
        <f>参数输入表!H73</f>
        <v>0.33</v>
      </c>
      <c r="I10" s="147">
        <f>H10</f>
        <v>0.33</v>
      </c>
      <c r="J10" s="147">
        <f t="shared" ref="J10:AF10" si="3">I10</f>
        <v>0.33</v>
      </c>
      <c r="K10" s="147">
        <f t="shared" si="3"/>
        <v>0.33</v>
      </c>
      <c r="L10" s="147">
        <f t="shared" si="3"/>
        <v>0.33</v>
      </c>
      <c r="M10" s="147">
        <f t="shared" si="3"/>
        <v>0.33</v>
      </c>
      <c r="N10" s="147">
        <f t="shared" si="3"/>
        <v>0.33</v>
      </c>
      <c r="O10" s="147">
        <f t="shared" si="3"/>
        <v>0.33</v>
      </c>
      <c r="P10" s="147">
        <f t="shared" si="3"/>
        <v>0.33</v>
      </c>
      <c r="Q10" s="147">
        <f t="shared" si="3"/>
        <v>0.33</v>
      </c>
      <c r="R10" s="147">
        <f t="shared" si="3"/>
        <v>0.33</v>
      </c>
      <c r="S10" s="147">
        <f t="shared" si="3"/>
        <v>0.33</v>
      </c>
      <c r="T10" s="147">
        <f t="shared" si="3"/>
        <v>0.33</v>
      </c>
      <c r="U10" s="147">
        <f t="shared" si="3"/>
        <v>0.33</v>
      </c>
      <c r="V10" s="147">
        <f t="shared" si="3"/>
        <v>0.33</v>
      </c>
      <c r="W10" s="147">
        <f t="shared" si="3"/>
        <v>0.33</v>
      </c>
      <c r="X10" s="147">
        <f t="shared" si="3"/>
        <v>0.33</v>
      </c>
      <c r="Y10" s="147">
        <f t="shared" si="3"/>
        <v>0.33</v>
      </c>
      <c r="Z10" s="147">
        <f t="shared" si="3"/>
        <v>0.33</v>
      </c>
      <c r="AA10" s="147">
        <f t="shared" si="3"/>
        <v>0.33</v>
      </c>
      <c r="AB10" s="147">
        <f t="shared" si="3"/>
        <v>0.33</v>
      </c>
      <c r="AC10" s="147">
        <f t="shared" si="3"/>
        <v>0.33</v>
      </c>
      <c r="AD10" s="147">
        <f t="shared" si="3"/>
        <v>0.33</v>
      </c>
      <c r="AE10" s="147">
        <f t="shared" si="3"/>
        <v>0.33</v>
      </c>
      <c r="AF10" s="147">
        <f t="shared" si="3"/>
        <v>0.33</v>
      </c>
    </row>
    <row r="11" spans="2:32">
      <c r="B11" s="56"/>
      <c r="C11" s="146" t="s">
        <v>255</v>
      </c>
      <c r="D11" s="59">
        <f t="shared" si="1"/>
        <v>0</v>
      </c>
      <c r="E11" s="56" t="s">
        <v>111</v>
      </c>
      <c r="F11" s="59"/>
      <c r="G11" s="59"/>
      <c r="H11" s="59">
        <f>H9*参数输入表!$H$284</f>
        <v>0</v>
      </c>
      <c r="I11" s="59">
        <f>I9*参数输入表!$H$284</f>
        <v>0</v>
      </c>
      <c r="J11" s="59">
        <f>J9*参数输入表!$H$284</f>
        <v>0</v>
      </c>
      <c r="K11" s="59">
        <f>K9*参数输入表!$H$284</f>
        <v>0</v>
      </c>
      <c r="L11" s="59">
        <f>L9*参数输入表!$H$284</f>
        <v>0</v>
      </c>
      <c r="M11" s="59">
        <f>M9*参数输入表!$H$284</f>
        <v>0</v>
      </c>
      <c r="N11" s="59">
        <f>N9*参数输入表!$H$284</f>
        <v>0</v>
      </c>
      <c r="O11" s="59">
        <f>O9*参数输入表!$H$284</f>
        <v>0</v>
      </c>
      <c r="P11" s="59">
        <f>P9*参数输入表!$H$284</f>
        <v>0</v>
      </c>
      <c r="Q11" s="59">
        <f>Q9*参数输入表!$H$284</f>
        <v>0</v>
      </c>
      <c r="R11" s="59">
        <f>R9*参数输入表!$H$284</f>
        <v>0</v>
      </c>
      <c r="S11" s="59">
        <f>S9*参数输入表!$H$284</f>
        <v>0</v>
      </c>
      <c r="T11" s="59">
        <f>T9*参数输入表!$H$284</f>
        <v>0</v>
      </c>
      <c r="U11" s="59">
        <f>U9*参数输入表!$H$284</f>
        <v>0</v>
      </c>
      <c r="V11" s="59">
        <f>V9*参数输入表!$H$284</f>
        <v>0</v>
      </c>
      <c r="W11" s="59">
        <f>W9*参数输入表!$H$284</f>
        <v>0</v>
      </c>
      <c r="X11" s="59">
        <f>X9*参数输入表!$H$284</f>
        <v>0</v>
      </c>
      <c r="Y11" s="59">
        <f>Y9*参数输入表!$H$284</f>
        <v>0</v>
      </c>
      <c r="Z11" s="59">
        <f>Z9*参数输入表!$H$284</f>
        <v>0</v>
      </c>
      <c r="AA11" s="59">
        <f>AA9*参数输入表!$H$284</f>
        <v>0</v>
      </c>
      <c r="AB11" s="59">
        <f>AB9*参数输入表!$H$284</f>
        <v>0</v>
      </c>
      <c r="AC11" s="59">
        <f>AC9*参数输入表!$H$284</f>
        <v>0</v>
      </c>
      <c r="AD11" s="59">
        <f>AD9*参数输入表!$H$284</f>
        <v>0</v>
      </c>
      <c r="AE11" s="59">
        <f>AE9*参数输入表!$H$284</f>
        <v>0</v>
      </c>
      <c r="AF11" s="59">
        <f>AF9*参数输入表!$H$284</f>
        <v>0</v>
      </c>
    </row>
    <row r="12" spans="2:32">
      <c r="B12" s="56"/>
      <c r="C12" s="146" t="s">
        <v>257</v>
      </c>
      <c r="D12" s="59">
        <f t="shared" si="1"/>
        <v>0</v>
      </c>
      <c r="E12" s="56" t="s">
        <v>111</v>
      </c>
      <c r="F12" s="59"/>
      <c r="G12" s="59"/>
      <c r="H12" s="59">
        <f>H9*参数输入表!$H$288</f>
        <v>0</v>
      </c>
      <c r="I12" s="59">
        <f>I9*参数输入表!$H$288</f>
        <v>0</v>
      </c>
      <c r="J12" s="59">
        <f>J9*参数输入表!$H$288</f>
        <v>0</v>
      </c>
      <c r="K12" s="59">
        <f>K9*参数输入表!$H$288</f>
        <v>0</v>
      </c>
      <c r="L12" s="59">
        <f>L9*参数输入表!$H$288</f>
        <v>0</v>
      </c>
      <c r="M12" s="59">
        <f>M9*参数输入表!$H$288</f>
        <v>0</v>
      </c>
      <c r="N12" s="59">
        <f>N9*参数输入表!$H$288</f>
        <v>0</v>
      </c>
      <c r="O12" s="59">
        <f>O9*参数输入表!$H$288</f>
        <v>0</v>
      </c>
      <c r="P12" s="59">
        <f>P9*参数输入表!$H$288</f>
        <v>0</v>
      </c>
      <c r="Q12" s="59">
        <f>Q9*参数输入表!$H$288</f>
        <v>0</v>
      </c>
      <c r="R12" s="59">
        <f>R9*参数输入表!$H$288</f>
        <v>0</v>
      </c>
      <c r="S12" s="59">
        <f>S9*参数输入表!$H$288</f>
        <v>0</v>
      </c>
      <c r="T12" s="59">
        <f>T9*参数输入表!$H$288</f>
        <v>0</v>
      </c>
      <c r="U12" s="59">
        <f>U9*参数输入表!$H$288</f>
        <v>0</v>
      </c>
      <c r="V12" s="59">
        <f>V9*参数输入表!$H$288</f>
        <v>0</v>
      </c>
      <c r="W12" s="59">
        <f>W9*参数输入表!$H$288</f>
        <v>0</v>
      </c>
      <c r="X12" s="59">
        <f>X9*参数输入表!$H$288</f>
        <v>0</v>
      </c>
      <c r="Y12" s="59">
        <f>Y9*参数输入表!$H$288</f>
        <v>0</v>
      </c>
      <c r="Z12" s="59">
        <f>Z9*参数输入表!$H$288</f>
        <v>0</v>
      </c>
      <c r="AA12" s="59">
        <f>AA9*参数输入表!$H$288</f>
        <v>0</v>
      </c>
      <c r="AB12" s="59">
        <f>AB9*参数输入表!$H$288</f>
        <v>0</v>
      </c>
      <c r="AC12" s="59">
        <f>AC9*参数输入表!$H$288</f>
        <v>0</v>
      </c>
      <c r="AD12" s="59">
        <f>AD9*参数输入表!$H$288</f>
        <v>0</v>
      </c>
      <c r="AE12" s="59">
        <f>AE9*参数输入表!$H$288</f>
        <v>0</v>
      </c>
      <c r="AF12" s="59">
        <f>AF9*参数输入表!$H$288</f>
        <v>0</v>
      </c>
    </row>
    <row r="13" spans="2:32">
      <c r="B13" s="56"/>
      <c r="C13" s="148" t="s">
        <v>417</v>
      </c>
      <c r="D13" s="117">
        <f t="shared" si="1"/>
        <v>52468.035404248098</v>
      </c>
      <c r="E13" s="56" t="s">
        <v>111</v>
      </c>
      <c r="F13" s="59"/>
      <c r="G13" s="59"/>
      <c r="H13" s="59">
        <f>H14*H15/1.13</f>
        <v>1682.12389380531</v>
      </c>
      <c r="I13" s="59">
        <f t="shared" ref="I13:AF13" si="4">I14*I15/1.13</f>
        <v>1674.55433628319</v>
      </c>
      <c r="J13" s="59">
        <f t="shared" si="4"/>
        <v>1667.0188417699101</v>
      </c>
      <c r="K13" s="59">
        <f t="shared" si="4"/>
        <v>1659.5172569819499</v>
      </c>
      <c r="L13" s="59">
        <f t="shared" si="4"/>
        <v>1652.0494293255299</v>
      </c>
      <c r="M13" s="59">
        <f t="shared" si="4"/>
        <v>2302.4612896509898</v>
      </c>
      <c r="N13" s="59">
        <f t="shared" si="4"/>
        <v>2292.1002138475601</v>
      </c>
      <c r="O13" s="59">
        <f t="shared" si="4"/>
        <v>2281.7857628852498</v>
      </c>
      <c r="P13" s="59">
        <f t="shared" si="4"/>
        <v>2271.5177269522601</v>
      </c>
      <c r="Q13" s="59">
        <f t="shared" si="4"/>
        <v>2261.2958971809799</v>
      </c>
      <c r="R13" s="59">
        <f t="shared" si="4"/>
        <v>2251.1200656436599</v>
      </c>
      <c r="S13" s="59">
        <f t="shared" si="4"/>
        <v>2240.9900253482701</v>
      </c>
      <c r="T13" s="59">
        <f t="shared" si="4"/>
        <v>2230.9055702341998</v>
      </c>
      <c r="U13" s="59">
        <f t="shared" si="4"/>
        <v>2220.8664951681499</v>
      </c>
      <c r="V13" s="59">
        <f t="shared" si="4"/>
        <v>2210.8725959398898</v>
      </c>
      <c r="W13" s="59">
        <f t="shared" si="4"/>
        <v>2200.9236692581599</v>
      </c>
      <c r="X13" s="59">
        <f t="shared" si="4"/>
        <v>2191.0195127464999</v>
      </c>
      <c r="Y13" s="59">
        <f t="shared" si="4"/>
        <v>2181.1599249391402</v>
      </c>
      <c r="Z13" s="59">
        <f t="shared" si="4"/>
        <v>2171.3447052769102</v>
      </c>
      <c r="AA13" s="59">
        <f t="shared" si="4"/>
        <v>2161.5736541031702</v>
      </c>
      <c r="AB13" s="59">
        <f t="shared" si="4"/>
        <v>2151.8465726597001</v>
      </c>
      <c r="AC13" s="59">
        <f t="shared" si="4"/>
        <v>2142.1632630827298</v>
      </c>
      <c r="AD13" s="59">
        <f t="shared" si="4"/>
        <v>2132.52352839886</v>
      </c>
      <c r="AE13" s="59">
        <f t="shared" si="4"/>
        <v>2122.9271725210701</v>
      </c>
      <c r="AF13" s="59">
        <f t="shared" si="4"/>
        <v>2113.3740002447198</v>
      </c>
    </row>
    <row r="14" spans="2:32" s="138" customFormat="1">
      <c r="B14" s="144"/>
      <c r="C14" s="149" t="s">
        <v>259</v>
      </c>
      <c r="D14" s="145">
        <f t="shared" si="1"/>
        <v>148222.20001700101</v>
      </c>
      <c r="E14" s="144" t="s">
        <v>414</v>
      </c>
      <c r="F14" s="145"/>
      <c r="G14" s="145"/>
      <c r="H14" s="145">
        <f>参数输入表!H77*参数输入表!H21/10</f>
        <v>4752</v>
      </c>
      <c r="I14" s="145">
        <f>参数输入表!H78*参数输入表!H22/10</f>
        <v>4730.616</v>
      </c>
      <c r="J14" s="145">
        <f>参数输入表!H79*参数输入表!H23/10</f>
        <v>4709.3282280000003</v>
      </c>
      <c r="K14" s="145">
        <f>参数输入表!H80*参数输入表!H24/10</f>
        <v>4688.1362509740002</v>
      </c>
      <c r="L14" s="145">
        <f>参数输入表!H81*参数输入表!H25/10</f>
        <v>4667.0396378446203</v>
      </c>
      <c r="M14" s="145">
        <f>参数输入表!H82*参数输入表!H26/10</f>
        <v>6504.4531432640497</v>
      </c>
      <c r="N14" s="145">
        <f>参数输入表!H83*参数输入表!H27/10</f>
        <v>6475.18310411936</v>
      </c>
      <c r="O14" s="145">
        <f>参数输入表!H84*参数输入表!H28/10</f>
        <v>6446.0447801508199</v>
      </c>
      <c r="P14" s="145">
        <f>参数输入表!H85*参数输入表!H29/10</f>
        <v>6417.0375786401401</v>
      </c>
      <c r="Q14" s="145">
        <f>参数输入表!H86*参数输入表!H30/10</f>
        <v>6388.1609095362601</v>
      </c>
      <c r="R14" s="145">
        <f>参数输入表!H87*参数输入表!H31/10</f>
        <v>6359.4141854433501</v>
      </c>
      <c r="S14" s="145">
        <f>参数输入表!H88*参数输入表!H32/10</f>
        <v>6330.7968216088502</v>
      </c>
      <c r="T14" s="145">
        <f>参数输入表!H89*参数输入表!H33/10</f>
        <v>6302.3082359116097</v>
      </c>
      <c r="U14" s="145">
        <f>参数输入表!H90*参数输入表!H34/10</f>
        <v>6273.9478488500099</v>
      </c>
      <c r="V14" s="145">
        <f>参数输入表!H91*参数输入表!H35/10</f>
        <v>6245.71508353019</v>
      </c>
      <c r="W14" s="145">
        <f>参数输入表!H92*参数输入表!H36/10</f>
        <v>6217.6093656542998</v>
      </c>
      <c r="X14" s="145">
        <f>参数输入表!H93*参数输入表!H37/10</f>
        <v>6189.6301235088604</v>
      </c>
      <c r="Y14" s="145">
        <f>参数输入表!H94*参数输入表!H38/10</f>
        <v>6161.7767879530702</v>
      </c>
      <c r="Z14" s="145">
        <f>参数输入表!H95*参数输入表!H39/10</f>
        <v>6134.0487924072804</v>
      </c>
      <c r="AA14" s="145">
        <f>参数输入表!H96*参数输入表!H40/10</f>
        <v>6106.4455728414496</v>
      </c>
      <c r="AB14" s="145">
        <f>参数输入表!H97/10*参数输入表!H41</f>
        <v>6078.9665677636604</v>
      </c>
      <c r="AC14" s="145">
        <f>参数输入表!H98/10*参数输入表!H42</f>
        <v>6051.6112182087199</v>
      </c>
      <c r="AD14" s="145">
        <f>参数输入表!H99/10*参数输入表!H43</f>
        <v>6024.3789677267896</v>
      </c>
      <c r="AE14" s="145">
        <f>参数输入表!H100/10*参数输入表!H44</f>
        <v>5997.2692623720204</v>
      </c>
      <c r="AF14" s="145">
        <f>参数输入表!H101/10*参数输入表!H45</f>
        <v>5970.2815506913403</v>
      </c>
    </row>
    <row r="15" spans="2:32">
      <c r="B15" s="56"/>
      <c r="C15" s="146" t="s">
        <v>418</v>
      </c>
      <c r="D15" s="59"/>
      <c r="E15" s="56" t="s">
        <v>416</v>
      </c>
      <c r="F15" s="59"/>
      <c r="G15" s="59"/>
      <c r="H15" s="147">
        <f>参数输入表!H103</f>
        <v>0.4</v>
      </c>
      <c r="I15" s="147">
        <f>H15</f>
        <v>0.4</v>
      </c>
      <c r="J15" s="59">
        <f t="shared" ref="J15:AF15" si="5">I15</f>
        <v>0.4</v>
      </c>
      <c r="K15" s="59">
        <f t="shared" si="5"/>
        <v>0.4</v>
      </c>
      <c r="L15" s="59">
        <f t="shared" si="5"/>
        <v>0.4</v>
      </c>
      <c r="M15" s="59">
        <f t="shared" si="5"/>
        <v>0.4</v>
      </c>
      <c r="N15" s="59">
        <f t="shared" si="5"/>
        <v>0.4</v>
      </c>
      <c r="O15" s="59">
        <f t="shared" si="5"/>
        <v>0.4</v>
      </c>
      <c r="P15" s="59">
        <f t="shared" si="5"/>
        <v>0.4</v>
      </c>
      <c r="Q15" s="59">
        <f t="shared" si="5"/>
        <v>0.4</v>
      </c>
      <c r="R15" s="59">
        <f t="shared" si="5"/>
        <v>0.4</v>
      </c>
      <c r="S15" s="59">
        <f t="shared" si="5"/>
        <v>0.4</v>
      </c>
      <c r="T15" s="59">
        <f t="shared" si="5"/>
        <v>0.4</v>
      </c>
      <c r="U15" s="59">
        <f t="shared" si="5"/>
        <v>0.4</v>
      </c>
      <c r="V15" s="59">
        <f t="shared" si="5"/>
        <v>0.4</v>
      </c>
      <c r="W15" s="59">
        <f t="shared" si="5"/>
        <v>0.4</v>
      </c>
      <c r="X15" s="59">
        <f t="shared" si="5"/>
        <v>0.4</v>
      </c>
      <c r="Y15" s="59">
        <f t="shared" si="5"/>
        <v>0.4</v>
      </c>
      <c r="Z15" s="59">
        <f t="shared" si="5"/>
        <v>0.4</v>
      </c>
      <c r="AA15" s="59">
        <f t="shared" si="5"/>
        <v>0.4</v>
      </c>
      <c r="AB15" s="59">
        <f t="shared" si="5"/>
        <v>0.4</v>
      </c>
      <c r="AC15" s="59">
        <f t="shared" si="5"/>
        <v>0.4</v>
      </c>
      <c r="AD15" s="59">
        <f t="shared" si="5"/>
        <v>0.4</v>
      </c>
      <c r="AE15" s="59">
        <f t="shared" si="5"/>
        <v>0.4</v>
      </c>
      <c r="AF15" s="59">
        <f t="shared" si="5"/>
        <v>0.4</v>
      </c>
    </row>
    <row r="16" spans="2:32">
      <c r="B16" s="86">
        <v>2</v>
      </c>
      <c r="C16" s="139" t="s">
        <v>260</v>
      </c>
      <c r="D16" s="117">
        <f t="shared" ref="D16:D44" si="6">SUM(F16:AF16)</f>
        <v>0</v>
      </c>
      <c r="E16" s="56" t="s">
        <v>111</v>
      </c>
      <c r="F16" s="59"/>
      <c r="G16" s="59"/>
      <c r="H16" s="55">
        <f>(参数输入表!$H$298*参数输入表!$H$299)/(1+参数输入表!$H$300)</f>
        <v>0</v>
      </c>
      <c r="I16" s="55">
        <f>(参数输入表!$H$298*参数输入表!$H$299)/(1+参数输入表!$H$300)</f>
        <v>0</v>
      </c>
      <c r="J16" s="55">
        <f>(参数输入表!$H$298*参数输入表!$H$299)/(1+参数输入表!$H$300)</f>
        <v>0</v>
      </c>
      <c r="K16" s="55">
        <f>(参数输入表!$H$298*参数输入表!$H$299)/(1+参数输入表!$H$300)</f>
        <v>0</v>
      </c>
      <c r="L16" s="55">
        <f>(参数输入表!$H$298*参数输入表!$H$299)/(1+参数输入表!$H$300)</f>
        <v>0</v>
      </c>
      <c r="M16" s="55">
        <f>(参数输入表!$H$298*参数输入表!$H$299)/(1+参数输入表!$H$300)</f>
        <v>0</v>
      </c>
      <c r="N16" s="55">
        <f>(参数输入表!$H$298*参数输入表!$H$299)/(1+参数输入表!$H$300)</f>
        <v>0</v>
      </c>
      <c r="O16" s="55">
        <f>(参数输入表!$H$298*参数输入表!$H$299)/(1+参数输入表!$H$300)</f>
        <v>0</v>
      </c>
      <c r="P16" s="55">
        <f>(参数输入表!$H$298*参数输入表!$H$299)/(1+参数输入表!$H$300)</f>
        <v>0</v>
      </c>
      <c r="Q16" s="55">
        <f>(参数输入表!$H$298*参数输入表!$H$299)/(1+参数输入表!$H$300)</f>
        <v>0</v>
      </c>
      <c r="R16" s="55">
        <f>(参数输入表!$H$298*参数输入表!$H$299)/(1+参数输入表!$H$300)</f>
        <v>0</v>
      </c>
      <c r="S16" s="55">
        <f>(参数输入表!$H$298*参数输入表!$H$299)/(1+参数输入表!$H$300)</f>
        <v>0</v>
      </c>
      <c r="T16" s="55">
        <f>(参数输入表!$H$298*参数输入表!$H$299)/(1+参数输入表!$H$300)</f>
        <v>0</v>
      </c>
      <c r="U16" s="55">
        <f>(参数输入表!$H$298*参数输入表!$H$299)/(1+参数输入表!$H$300)</f>
        <v>0</v>
      </c>
      <c r="V16" s="55">
        <f>(参数输入表!$H$298*参数输入表!$H$299)/(1+参数输入表!$H$300)</f>
        <v>0</v>
      </c>
      <c r="W16" s="55">
        <f>(参数输入表!$H$298*参数输入表!$H$299)/(1+参数输入表!$H$300)</f>
        <v>0</v>
      </c>
      <c r="X16" s="55">
        <f>(参数输入表!$H$298*参数输入表!$H$299)/(1+参数输入表!$H$300)</f>
        <v>0</v>
      </c>
      <c r="Y16" s="55">
        <f>(参数输入表!$H$298*参数输入表!$H$299)/(1+参数输入表!$H$300)</f>
        <v>0</v>
      </c>
      <c r="Z16" s="55">
        <f>(参数输入表!$H$298*参数输入表!$H$299)/(1+参数输入表!$H$300)</f>
        <v>0</v>
      </c>
      <c r="AA16" s="55">
        <f>(参数输入表!$H$298*参数输入表!$H$299)/(1+参数输入表!$H$300)</f>
        <v>0</v>
      </c>
      <c r="AB16" s="55">
        <f>(参数输入表!$H$298*参数输入表!$H$299)/(1+参数输入表!$H$300)</f>
        <v>0</v>
      </c>
      <c r="AC16" s="55">
        <f>(参数输入表!$H$298*参数输入表!$H$299)/(1+参数输入表!$H$300)</f>
        <v>0</v>
      </c>
      <c r="AD16" s="55">
        <f>(参数输入表!$H$298*参数输入表!$H$299)/(1+参数输入表!$H$300)</f>
        <v>0</v>
      </c>
      <c r="AE16" s="55">
        <f>(参数输入表!$H$298*参数输入表!$H$299)/(1+参数输入表!$H$300)</f>
        <v>0</v>
      </c>
      <c r="AF16" s="55">
        <f>(参数输入表!$H$298*参数输入表!$H$299)/(1+参数输入表!$H$300)</f>
        <v>0</v>
      </c>
    </row>
    <row r="17" spans="2:32">
      <c r="B17" s="86">
        <v>3</v>
      </c>
      <c r="C17" s="139" t="s">
        <v>264</v>
      </c>
      <c r="D17" s="117">
        <f t="shared" ca="1" si="6"/>
        <v>0</v>
      </c>
      <c r="E17" s="56" t="s">
        <v>111</v>
      </c>
      <c r="F17" s="59"/>
      <c r="G17" s="59"/>
      <c r="H17" s="55">
        <f ca="1">SUM(H18:H19)</f>
        <v>0</v>
      </c>
      <c r="I17" s="55">
        <f t="shared" ref="I17:AF17" ca="1" si="7">SUM(I18:I19)</f>
        <v>0</v>
      </c>
      <c r="J17" s="55">
        <f t="shared" ca="1" si="7"/>
        <v>0</v>
      </c>
      <c r="K17" s="55">
        <f t="shared" ca="1" si="7"/>
        <v>0</v>
      </c>
      <c r="L17" s="55">
        <f t="shared" ca="1" si="7"/>
        <v>0</v>
      </c>
      <c r="M17" s="55">
        <f t="shared" ca="1" si="7"/>
        <v>0</v>
      </c>
      <c r="N17" s="55">
        <f t="shared" ca="1" si="7"/>
        <v>0</v>
      </c>
      <c r="O17" s="55">
        <f t="shared" ca="1" si="7"/>
        <v>0</v>
      </c>
      <c r="P17" s="55">
        <f t="shared" ca="1" si="7"/>
        <v>0</v>
      </c>
      <c r="Q17" s="55">
        <f t="shared" ca="1" si="7"/>
        <v>0</v>
      </c>
      <c r="R17" s="55">
        <f t="shared" ca="1" si="7"/>
        <v>0</v>
      </c>
      <c r="S17" s="55">
        <f t="shared" ca="1" si="7"/>
        <v>0</v>
      </c>
      <c r="T17" s="55">
        <f t="shared" ca="1" si="7"/>
        <v>0</v>
      </c>
      <c r="U17" s="55">
        <f t="shared" ca="1" si="7"/>
        <v>0</v>
      </c>
      <c r="V17" s="55">
        <f t="shared" ca="1" si="7"/>
        <v>0</v>
      </c>
      <c r="W17" s="55">
        <f t="shared" ca="1" si="7"/>
        <v>0</v>
      </c>
      <c r="X17" s="55">
        <f t="shared" ca="1" si="7"/>
        <v>0</v>
      </c>
      <c r="Y17" s="55">
        <f t="shared" ca="1" si="7"/>
        <v>0</v>
      </c>
      <c r="Z17" s="55">
        <f t="shared" ca="1" si="7"/>
        <v>0</v>
      </c>
      <c r="AA17" s="55">
        <f t="shared" ca="1" si="7"/>
        <v>0</v>
      </c>
      <c r="AB17" s="55">
        <f t="shared" ca="1" si="7"/>
        <v>0</v>
      </c>
      <c r="AC17" s="55">
        <f t="shared" ca="1" si="7"/>
        <v>0</v>
      </c>
      <c r="AD17" s="55">
        <f t="shared" ca="1" si="7"/>
        <v>0</v>
      </c>
      <c r="AE17" s="55">
        <f t="shared" ca="1" si="7"/>
        <v>0</v>
      </c>
      <c r="AF17" s="55">
        <f t="shared" ca="1" si="7"/>
        <v>0</v>
      </c>
    </row>
    <row r="18" spans="2:32">
      <c r="B18" s="86">
        <v>3.1</v>
      </c>
      <c r="C18" s="150" t="s">
        <v>419</v>
      </c>
      <c r="D18" s="117">
        <f t="shared" si="6"/>
        <v>0</v>
      </c>
      <c r="E18" s="56" t="s">
        <v>111</v>
      </c>
      <c r="F18" s="59"/>
      <c r="G18" s="59"/>
      <c r="H18" s="55">
        <f>参数输入表!H303</f>
        <v>0</v>
      </c>
      <c r="I18" s="55"/>
      <c r="J18" s="55"/>
      <c r="K18" s="55"/>
      <c r="L18" s="55"/>
      <c r="M18" s="55"/>
      <c r="N18" s="55"/>
      <c r="O18" s="55"/>
      <c r="P18" s="55"/>
      <c r="Q18" s="55"/>
      <c r="R18" s="55"/>
      <c r="S18" s="55"/>
      <c r="T18" s="55"/>
      <c r="U18" s="55"/>
      <c r="V18" s="55"/>
      <c r="W18" s="55"/>
      <c r="X18" s="55"/>
      <c r="Y18" s="55"/>
      <c r="Z18" s="55"/>
      <c r="AA18" s="55"/>
      <c r="AB18" s="55"/>
      <c r="AC18" s="55"/>
      <c r="AD18" s="55"/>
      <c r="AE18" s="55"/>
      <c r="AF18" s="55"/>
    </row>
    <row r="19" spans="2:32">
      <c r="B19" s="86">
        <v>3.2</v>
      </c>
      <c r="C19" s="150" t="s">
        <v>420</v>
      </c>
      <c r="D19" s="117">
        <f t="shared" ca="1" si="6"/>
        <v>0</v>
      </c>
      <c r="E19" s="56" t="s">
        <v>111</v>
      </c>
      <c r="F19" s="59"/>
      <c r="G19" s="59"/>
      <c r="H19" s="55">
        <f ca="1">H22*参数输入表!$H$331</f>
        <v>0</v>
      </c>
      <c r="I19" s="55">
        <f ca="1">I22*参数输入表!$H$331</f>
        <v>0</v>
      </c>
      <c r="J19" s="55">
        <f ca="1">J22*参数输入表!$H$331</f>
        <v>0</v>
      </c>
      <c r="K19" s="55">
        <f ca="1">K22*参数输入表!$H$331</f>
        <v>0</v>
      </c>
      <c r="L19" s="55">
        <f ca="1">L22*参数输入表!$H$331</f>
        <v>0</v>
      </c>
      <c r="M19" s="55">
        <f ca="1">M22*参数输入表!$H$331</f>
        <v>0</v>
      </c>
      <c r="N19" s="55">
        <f ca="1">N22*参数输入表!$H$331</f>
        <v>0</v>
      </c>
      <c r="O19" s="55">
        <f ca="1">O22*参数输入表!$H$331</f>
        <v>0</v>
      </c>
      <c r="P19" s="55">
        <f ca="1">P22*参数输入表!$H$331</f>
        <v>0</v>
      </c>
      <c r="Q19" s="55">
        <f ca="1">Q22*参数输入表!$H$331</f>
        <v>0</v>
      </c>
      <c r="R19" s="55">
        <f ca="1">R22*参数输入表!$H$331</f>
        <v>0</v>
      </c>
      <c r="S19" s="55">
        <f ca="1">S22*参数输入表!$H$331</f>
        <v>0</v>
      </c>
      <c r="T19" s="55">
        <f ca="1">T22*参数输入表!$H$331</f>
        <v>0</v>
      </c>
      <c r="U19" s="55">
        <f ca="1">U22*参数输入表!$H$331</f>
        <v>0</v>
      </c>
      <c r="V19" s="55">
        <f ca="1">V22*参数输入表!$H$331</f>
        <v>0</v>
      </c>
      <c r="W19" s="55">
        <f ca="1">W22*参数输入表!$H$331</f>
        <v>0</v>
      </c>
      <c r="X19" s="55">
        <f ca="1">X22*参数输入表!$H$331</f>
        <v>0</v>
      </c>
      <c r="Y19" s="55">
        <f ca="1">Y22*参数输入表!$H$331</f>
        <v>0</v>
      </c>
      <c r="Z19" s="55">
        <f ca="1">Z22*参数输入表!$H$331</f>
        <v>0</v>
      </c>
      <c r="AA19" s="55">
        <f ca="1">AA22*参数输入表!$H$331</f>
        <v>0</v>
      </c>
      <c r="AB19" s="55">
        <f ca="1">AB22*参数输入表!$H$331</f>
        <v>0</v>
      </c>
      <c r="AC19" s="55">
        <f ca="1">AC22*参数输入表!$H$331</f>
        <v>0</v>
      </c>
      <c r="AD19" s="55">
        <f ca="1">AD22*参数输入表!$H$331</f>
        <v>0</v>
      </c>
      <c r="AE19" s="55">
        <f ca="1">AE22*参数输入表!$H$331</f>
        <v>0</v>
      </c>
      <c r="AF19" s="55">
        <f ca="1">AF22*参数输入表!$H$331</f>
        <v>0</v>
      </c>
    </row>
    <row r="20" spans="2:32">
      <c r="B20" s="122"/>
      <c r="C20" s="151"/>
      <c r="D20" s="93"/>
      <c r="E20" s="122"/>
      <c r="F20" s="93"/>
      <c r="G20" s="93"/>
      <c r="H20" s="152"/>
      <c r="I20" s="152"/>
      <c r="J20" s="152"/>
      <c r="K20" s="152"/>
      <c r="L20" s="152"/>
      <c r="M20" s="152"/>
      <c r="N20" s="152"/>
      <c r="O20" s="152"/>
      <c r="P20" s="152"/>
      <c r="Q20" s="152"/>
      <c r="R20" s="152"/>
      <c r="S20" s="152"/>
      <c r="T20" s="152"/>
      <c r="U20" s="152"/>
      <c r="V20" s="152"/>
      <c r="W20" s="152"/>
      <c r="X20" s="152"/>
      <c r="Y20" s="152"/>
      <c r="Z20" s="152"/>
      <c r="AA20" s="152"/>
      <c r="AB20" s="152"/>
      <c r="AC20" s="152"/>
      <c r="AD20" s="152"/>
      <c r="AE20" s="152"/>
      <c r="AF20" s="152"/>
    </row>
    <row r="21" spans="2:32">
      <c r="B21" s="124" t="s">
        <v>421</v>
      </c>
      <c r="C21" s="151"/>
      <c r="D21" s="93"/>
      <c r="E21" s="122"/>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row>
    <row r="22" spans="2:32">
      <c r="B22" s="86">
        <v>1</v>
      </c>
      <c r="C22" s="139" t="s">
        <v>422</v>
      </c>
      <c r="D22" s="117">
        <f t="shared" ca="1" si="6"/>
        <v>6959.2285304036695</v>
      </c>
      <c r="E22" s="56" t="s">
        <v>111</v>
      </c>
      <c r="F22" s="55">
        <v>0</v>
      </c>
      <c r="G22" s="55">
        <f t="shared" ref="G22" si="8">IF(G45&gt;0,0,G44-F45)</f>
        <v>0</v>
      </c>
      <c r="H22" s="55">
        <f t="shared" ref="H22:AF22" ca="1" si="9">IF(H45&gt;0,0,H44-G45)</f>
        <v>0</v>
      </c>
      <c r="I22" s="55">
        <f t="shared" ca="1" si="9"/>
        <v>0</v>
      </c>
      <c r="J22" s="55">
        <f t="shared" ca="1" si="9"/>
        <v>0</v>
      </c>
      <c r="K22" s="55">
        <f t="shared" ca="1" si="9"/>
        <v>0</v>
      </c>
      <c r="L22" s="55">
        <f t="shared" ca="1" si="9"/>
        <v>0</v>
      </c>
      <c r="M22" s="55">
        <f t="shared" ca="1" si="9"/>
        <v>0</v>
      </c>
      <c r="N22" s="55">
        <f t="shared" ca="1" si="9"/>
        <v>155.27352491242738</v>
      </c>
      <c r="O22" s="55">
        <f t="shared" ca="1" si="9"/>
        <v>395.84924667094998</v>
      </c>
      <c r="P22" s="55">
        <f t="shared" ca="1" si="9"/>
        <v>394.06792506093097</v>
      </c>
      <c r="Q22" s="55">
        <f t="shared" ca="1" si="9"/>
        <v>392.29461939815701</v>
      </c>
      <c r="R22" s="55">
        <f t="shared" ca="1" si="9"/>
        <v>335.30805467281192</v>
      </c>
      <c r="S22" s="55">
        <f t="shared" ca="1" si="9"/>
        <v>388.77191178961601</v>
      </c>
      <c r="T22" s="55">
        <f t="shared" ca="1" si="9"/>
        <v>387.02243818656302</v>
      </c>
      <c r="U22" s="55">
        <f t="shared" ca="1" si="9"/>
        <v>385.28083721472399</v>
      </c>
      <c r="V22" s="55">
        <f t="shared" ca="1" si="9"/>
        <v>383.54707344725699</v>
      </c>
      <c r="W22" s="55">
        <f t="shared" ca="1" si="9"/>
        <v>381.82111161674499</v>
      </c>
      <c r="X22" s="55">
        <f t="shared" ca="1" si="9"/>
        <v>380.10291661447002</v>
      </c>
      <c r="Y22" s="55">
        <f t="shared" ca="1" si="9"/>
        <v>378.392453489704</v>
      </c>
      <c r="Z22" s="55">
        <f t="shared" ca="1" si="9"/>
        <v>376.68968744900098</v>
      </c>
      <c r="AA22" s="55">
        <f t="shared" ca="1" si="9"/>
        <v>374.99458385548002</v>
      </c>
      <c r="AB22" s="55">
        <f t="shared" ca="1" si="9"/>
        <v>373.30710822813103</v>
      </c>
      <c r="AC22" s="55">
        <f t="shared" ca="1" si="9"/>
        <v>371.62722624110398</v>
      </c>
      <c r="AD22" s="55">
        <f t="shared" ca="1" si="9"/>
        <v>369.95490372301902</v>
      </c>
      <c r="AE22" s="55">
        <f t="shared" ca="1" si="9"/>
        <v>368.290106656266</v>
      </c>
      <c r="AF22" s="55">
        <f t="shared" ca="1" si="9"/>
        <v>366.632801176312</v>
      </c>
    </row>
    <row r="23" spans="2:32">
      <c r="B23" s="86">
        <v>2</v>
      </c>
      <c r="C23" s="139" t="s">
        <v>423</v>
      </c>
      <c r="D23" s="117">
        <f t="shared" si="6"/>
        <v>9585.5185942975604</v>
      </c>
      <c r="E23" s="56" t="s">
        <v>111</v>
      </c>
      <c r="F23" s="55">
        <f t="shared" ref="F23:AF23" si="10">SUM(F24:F25)</f>
        <v>0</v>
      </c>
      <c r="G23" s="55">
        <f t="shared" si="10"/>
        <v>0</v>
      </c>
      <c r="H23" s="55">
        <f t="shared" si="10"/>
        <v>389.34187327433602</v>
      </c>
      <c r="I23" s="55">
        <f t="shared" si="10"/>
        <v>387.58983484460202</v>
      </c>
      <c r="J23" s="55">
        <f t="shared" si="10"/>
        <v>385.84568058780098</v>
      </c>
      <c r="K23" s="55">
        <f t="shared" si="10"/>
        <v>384.109375025156</v>
      </c>
      <c r="L23" s="55">
        <f t="shared" si="10"/>
        <v>382.38088283754303</v>
      </c>
      <c r="M23" s="55">
        <f t="shared" si="10"/>
        <v>399.43608283579499</v>
      </c>
      <c r="N23" s="55">
        <f t="shared" si="10"/>
        <v>397.63862046303399</v>
      </c>
      <c r="O23" s="55">
        <f t="shared" si="10"/>
        <v>395.84924667094998</v>
      </c>
      <c r="P23" s="55">
        <f t="shared" si="10"/>
        <v>394.06792506093097</v>
      </c>
      <c r="Q23" s="55">
        <f t="shared" si="10"/>
        <v>392.29461939815701</v>
      </c>
      <c r="R23" s="55">
        <f t="shared" si="10"/>
        <v>390.52929361086501</v>
      </c>
      <c r="S23" s="55">
        <f t="shared" si="10"/>
        <v>388.77191178961601</v>
      </c>
      <c r="T23" s="55">
        <f t="shared" si="10"/>
        <v>387.02243818656302</v>
      </c>
      <c r="U23" s="55">
        <f t="shared" si="10"/>
        <v>385.28083721472399</v>
      </c>
      <c r="V23" s="55">
        <f t="shared" si="10"/>
        <v>383.54707344725699</v>
      </c>
      <c r="W23" s="55">
        <f t="shared" si="10"/>
        <v>381.82111161674499</v>
      </c>
      <c r="X23" s="55">
        <f t="shared" si="10"/>
        <v>380.10291661447002</v>
      </c>
      <c r="Y23" s="55">
        <f t="shared" si="10"/>
        <v>378.392453489704</v>
      </c>
      <c r="Z23" s="55">
        <f t="shared" si="10"/>
        <v>376.68968744900098</v>
      </c>
      <c r="AA23" s="55">
        <f t="shared" si="10"/>
        <v>374.99458385548002</v>
      </c>
      <c r="AB23" s="55">
        <f t="shared" si="10"/>
        <v>373.30710822813103</v>
      </c>
      <c r="AC23" s="55">
        <f t="shared" si="10"/>
        <v>371.62722624110398</v>
      </c>
      <c r="AD23" s="55">
        <f t="shared" si="10"/>
        <v>369.95490372301902</v>
      </c>
      <c r="AE23" s="55">
        <f t="shared" si="10"/>
        <v>368.290106656266</v>
      </c>
      <c r="AF23" s="55">
        <f t="shared" si="10"/>
        <v>366.632801176312</v>
      </c>
    </row>
    <row r="24" spans="2:32">
      <c r="B24" s="56"/>
      <c r="C24" s="146" t="s">
        <v>424</v>
      </c>
      <c r="D24" s="59">
        <f t="shared" si="6"/>
        <v>9585.5185942975604</v>
      </c>
      <c r="E24" s="56" t="s">
        <v>111</v>
      </c>
      <c r="F24" s="59"/>
      <c r="G24" s="59"/>
      <c r="H24" s="59">
        <f>H6*参数输入表!$H$291</f>
        <v>389.34187327433602</v>
      </c>
      <c r="I24" s="59">
        <f>I6*参数输入表!$H$291</f>
        <v>387.58983484460202</v>
      </c>
      <c r="J24" s="59">
        <f>J6*参数输入表!$H$291</f>
        <v>385.84568058780098</v>
      </c>
      <c r="K24" s="59">
        <f>K6*参数输入表!$H$291</f>
        <v>384.109375025156</v>
      </c>
      <c r="L24" s="59">
        <f>L6*参数输入表!$H$291</f>
        <v>382.38088283754303</v>
      </c>
      <c r="M24" s="59">
        <f>M6*参数输入表!$H$291</f>
        <v>399.43608283579499</v>
      </c>
      <c r="N24" s="59">
        <f>N6*参数输入表!$H$291</f>
        <v>397.63862046303399</v>
      </c>
      <c r="O24" s="59">
        <f>O6*参数输入表!$H$291</f>
        <v>395.84924667094998</v>
      </c>
      <c r="P24" s="59">
        <f>P6*参数输入表!$H$291</f>
        <v>394.06792506093097</v>
      </c>
      <c r="Q24" s="59">
        <f>Q6*参数输入表!$H$291</f>
        <v>392.29461939815701</v>
      </c>
      <c r="R24" s="59">
        <f>R6*参数输入表!$H$291</f>
        <v>390.52929361086501</v>
      </c>
      <c r="S24" s="59">
        <f>S6*参数输入表!$H$291</f>
        <v>388.77191178961601</v>
      </c>
      <c r="T24" s="59">
        <f>T6*参数输入表!$H$291</f>
        <v>387.02243818656302</v>
      </c>
      <c r="U24" s="59">
        <f>U6*参数输入表!$H$291</f>
        <v>385.28083721472399</v>
      </c>
      <c r="V24" s="59">
        <f>V6*参数输入表!$H$291</f>
        <v>383.54707344725699</v>
      </c>
      <c r="W24" s="59">
        <f>W6*参数输入表!$H$291</f>
        <v>381.82111161674499</v>
      </c>
      <c r="X24" s="59">
        <f>X6*参数输入表!$H$291</f>
        <v>380.10291661447002</v>
      </c>
      <c r="Y24" s="59">
        <f>Y6*参数输入表!$H$291</f>
        <v>378.392453489704</v>
      </c>
      <c r="Z24" s="59">
        <f>Z6*参数输入表!$H$291</f>
        <v>376.68968744900098</v>
      </c>
      <c r="AA24" s="59">
        <f>AA6*参数输入表!$H$291</f>
        <v>374.99458385548002</v>
      </c>
      <c r="AB24" s="59">
        <f>AB6*参数输入表!$H$291</f>
        <v>373.30710822813103</v>
      </c>
      <c r="AC24" s="59">
        <f>AC6*参数输入表!$H$291</f>
        <v>371.62722624110398</v>
      </c>
      <c r="AD24" s="59">
        <f>AD6*参数输入表!$H$291</f>
        <v>369.95490372301902</v>
      </c>
      <c r="AE24" s="59">
        <f>AE6*参数输入表!$H$291</f>
        <v>368.290106656266</v>
      </c>
      <c r="AF24" s="59">
        <f>AF6*参数输入表!$H$291</f>
        <v>366.632801176312</v>
      </c>
    </row>
    <row r="25" spans="2:32">
      <c r="B25" s="56"/>
      <c r="C25" s="146" t="s">
        <v>425</v>
      </c>
      <c r="D25" s="59">
        <f t="shared" si="6"/>
        <v>0</v>
      </c>
      <c r="E25" s="56" t="s">
        <v>111</v>
      </c>
      <c r="F25" s="59"/>
      <c r="G25" s="59"/>
      <c r="H25" s="59">
        <f>H16*参数输入表!$H$300</f>
        <v>0</v>
      </c>
      <c r="I25" s="59">
        <f>I16*参数输入表!$H$300</f>
        <v>0</v>
      </c>
      <c r="J25" s="59">
        <f>J16*参数输入表!$H$300</f>
        <v>0</v>
      </c>
      <c r="K25" s="59">
        <f>K16*参数输入表!$H$300</f>
        <v>0</v>
      </c>
      <c r="L25" s="59">
        <f>L16*参数输入表!$H$300</f>
        <v>0</v>
      </c>
      <c r="M25" s="59">
        <f>M16*参数输入表!$H$300</f>
        <v>0</v>
      </c>
      <c r="N25" s="59">
        <f>N16*参数输入表!$H$300</f>
        <v>0</v>
      </c>
      <c r="O25" s="59">
        <f>O16*参数输入表!$H$300</f>
        <v>0</v>
      </c>
      <c r="P25" s="59">
        <f>P16*参数输入表!$H$300</f>
        <v>0</v>
      </c>
      <c r="Q25" s="59">
        <f>Q16*参数输入表!$H$300</f>
        <v>0</v>
      </c>
      <c r="R25" s="59">
        <f>R16*参数输入表!$H$300</f>
        <v>0</v>
      </c>
      <c r="S25" s="59">
        <f>S16*参数输入表!$H$300</f>
        <v>0</v>
      </c>
      <c r="T25" s="59">
        <f>T16*参数输入表!$H$300</f>
        <v>0</v>
      </c>
      <c r="U25" s="59">
        <f>U16*参数输入表!$H$300</f>
        <v>0</v>
      </c>
      <c r="V25" s="59">
        <f>V16*参数输入表!$H$300</f>
        <v>0</v>
      </c>
      <c r="W25" s="59">
        <f>W16*参数输入表!$H$300</f>
        <v>0</v>
      </c>
      <c r="X25" s="59">
        <f>X16*参数输入表!$H$300</f>
        <v>0</v>
      </c>
      <c r="Y25" s="59">
        <f>Y16*参数输入表!$H$300</f>
        <v>0</v>
      </c>
      <c r="Z25" s="59">
        <f>Z16*参数输入表!$H$300</f>
        <v>0</v>
      </c>
      <c r="AA25" s="59">
        <f>AA16*参数输入表!$H$300</f>
        <v>0</v>
      </c>
      <c r="AB25" s="59">
        <f>AB16*参数输入表!$H$300</f>
        <v>0</v>
      </c>
      <c r="AC25" s="59">
        <f>AC16*参数输入表!$H$300</f>
        <v>0</v>
      </c>
      <c r="AD25" s="59">
        <f>AD16*参数输入表!$H$300</f>
        <v>0</v>
      </c>
      <c r="AE25" s="59">
        <f>AE16*参数输入表!$H$300</f>
        <v>0</v>
      </c>
      <c r="AF25" s="59">
        <f>AF16*参数输入表!$H$300</f>
        <v>0</v>
      </c>
    </row>
    <row r="26" spans="2:32">
      <c r="B26" s="86">
        <v>3</v>
      </c>
      <c r="C26" s="139" t="s">
        <v>243</v>
      </c>
      <c r="D26" s="117">
        <f t="shared" ca="1" si="6"/>
        <v>2626.2900638938927</v>
      </c>
      <c r="E26" s="56" t="s">
        <v>111</v>
      </c>
      <c r="F26" s="55">
        <f>F27+F28+F42+F43</f>
        <v>2571.0688249558398</v>
      </c>
      <c r="G26" s="55">
        <f t="shared" ref="G26:AF26" si="11">G27+G28+G42+G43</f>
        <v>0</v>
      </c>
      <c r="H26" s="55">
        <f t="shared" ca="1" si="11"/>
        <v>0</v>
      </c>
      <c r="I26" s="55">
        <f t="shared" ca="1" si="11"/>
        <v>0</v>
      </c>
      <c r="J26" s="55">
        <f t="shared" ca="1" si="11"/>
        <v>0</v>
      </c>
      <c r="K26" s="55">
        <f t="shared" ca="1" si="11"/>
        <v>0</v>
      </c>
      <c r="L26" s="55">
        <f t="shared" ca="1" si="11"/>
        <v>0</v>
      </c>
      <c r="M26" s="55">
        <f t="shared" ca="1" si="11"/>
        <v>0</v>
      </c>
      <c r="N26" s="55">
        <f t="shared" ca="1" si="11"/>
        <v>0</v>
      </c>
      <c r="O26" s="55">
        <f t="shared" ca="1" si="11"/>
        <v>0</v>
      </c>
      <c r="P26" s="55">
        <f t="shared" ca="1" si="11"/>
        <v>0</v>
      </c>
      <c r="Q26" s="55">
        <f t="shared" ca="1" si="11"/>
        <v>0</v>
      </c>
      <c r="R26" s="55">
        <f t="shared" ca="1" si="11"/>
        <v>55.221238938053098</v>
      </c>
      <c r="S26" s="55">
        <f t="shared" ca="1" si="11"/>
        <v>0</v>
      </c>
      <c r="T26" s="55">
        <f t="shared" ca="1" si="11"/>
        <v>0</v>
      </c>
      <c r="U26" s="55">
        <f t="shared" ca="1" si="11"/>
        <v>0</v>
      </c>
      <c r="V26" s="55">
        <f t="shared" ca="1" si="11"/>
        <v>0</v>
      </c>
      <c r="W26" s="55">
        <f t="shared" ca="1" si="11"/>
        <v>0</v>
      </c>
      <c r="X26" s="55">
        <f t="shared" ca="1" si="11"/>
        <v>0</v>
      </c>
      <c r="Y26" s="55">
        <f t="shared" ca="1" si="11"/>
        <v>0</v>
      </c>
      <c r="Z26" s="55">
        <f t="shared" ca="1" si="11"/>
        <v>0</v>
      </c>
      <c r="AA26" s="55">
        <f t="shared" ca="1" si="11"/>
        <v>0</v>
      </c>
      <c r="AB26" s="55">
        <f t="shared" ca="1" si="11"/>
        <v>0</v>
      </c>
      <c r="AC26" s="55">
        <f t="shared" ca="1" si="11"/>
        <v>0</v>
      </c>
      <c r="AD26" s="55">
        <f t="shared" ca="1" si="11"/>
        <v>0</v>
      </c>
      <c r="AE26" s="55">
        <f t="shared" ca="1" si="11"/>
        <v>0</v>
      </c>
      <c r="AF26" s="55">
        <f t="shared" ca="1" si="11"/>
        <v>0</v>
      </c>
    </row>
    <row r="27" spans="2:32">
      <c r="B27" s="53">
        <v>3.1</v>
      </c>
      <c r="C27" s="153" t="s">
        <v>426</v>
      </c>
      <c r="D27" s="55">
        <f t="shared" si="6"/>
        <v>2571.0688249558398</v>
      </c>
      <c r="E27" s="56" t="s">
        <v>111</v>
      </c>
      <c r="F27" s="55">
        <f>参数输入表!H120*参数输入表!H7</f>
        <v>2571.0688249558398</v>
      </c>
      <c r="G27" s="55">
        <f>参数输入表!H120*参数输入表!H8</f>
        <v>0</v>
      </c>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row>
    <row r="28" spans="2:32">
      <c r="B28" s="53">
        <v>3.2</v>
      </c>
      <c r="C28" s="153" t="s">
        <v>427</v>
      </c>
      <c r="D28" s="55">
        <f t="shared" ca="1" si="6"/>
        <v>0</v>
      </c>
      <c r="E28" s="56" t="s">
        <v>111</v>
      </c>
      <c r="F28" s="55">
        <f>F29+F37+F38+F41</f>
        <v>0</v>
      </c>
      <c r="G28" s="55">
        <f>G29+G37+G38+G41</f>
        <v>0</v>
      </c>
      <c r="H28" s="55">
        <f ca="1">H29+H37+H38+H41</f>
        <v>0</v>
      </c>
      <c r="I28" s="55">
        <f t="shared" ref="I28:AF28" ca="1" si="12">I29+I37+I38+I41</f>
        <v>0</v>
      </c>
      <c r="J28" s="55">
        <f t="shared" ca="1" si="12"/>
        <v>0</v>
      </c>
      <c r="K28" s="55">
        <f t="shared" ca="1" si="12"/>
        <v>0</v>
      </c>
      <c r="L28" s="55">
        <f t="shared" ca="1" si="12"/>
        <v>0</v>
      </c>
      <c r="M28" s="55">
        <f t="shared" ca="1" si="12"/>
        <v>0</v>
      </c>
      <c r="N28" s="55">
        <f t="shared" ca="1" si="12"/>
        <v>0</v>
      </c>
      <c r="O28" s="55">
        <f t="shared" ca="1" si="12"/>
        <v>0</v>
      </c>
      <c r="P28" s="55">
        <f t="shared" ca="1" si="12"/>
        <v>0</v>
      </c>
      <c r="Q28" s="55">
        <f t="shared" ca="1" si="12"/>
        <v>0</v>
      </c>
      <c r="R28" s="55">
        <f t="shared" ca="1" si="12"/>
        <v>0</v>
      </c>
      <c r="S28" s="55">
        <f t="shared" ca="1" si="12"/>
        <v>0</v>
      </c>
      <c r="T28" s="55">
        <f t="shared" ca="1" si="12"/>
        <v>0</v>
      </c>
      <c r="U28" s="55">
        <f t="shared" ca="1" si="12"/>
        <v>0</v>
      </c>
      <c r="V28" s="55">
        <f t="shared" ca="1" si="12"/>
        <v>0</v>
      </c>
      <c r="W28" s="55">
        <f t="shared" ca="1" si="12"/>
        <v>0</v>
      </c>
      <c r="X28" s="55">
        <f t="shared" ca="1" si="12"/>
        <v>0</v>
      </c>
      <c r="Y28" s="55">
        <f t="shared" ca="1" si="12"/>
        <v>0</v>
      </c>
      <c r="Z28" s="55">
        <f t="shared" ca="1" si="12"/>
        <v>0</v>
      </c>
      <c r="AA28" s="55">
        <f t="shared" ca="1" si="12"/>
        <v>0</v>
      </c>
      <c r="AB28" s="55">
        <f t="shared" ca="1" si="12"/>
        <v>0</v>
      </c>
      <c r="AC28" s="55">
        <f t="shared" ca="1" si="12"/>
        <v>0</v>
      </c>
      <c r="AD28" s="55">
        <f t="shared" ca="1" si="12"/>
        <v>0</v>
      </c>
      <c r="AE28" s="55">
        <f t="shared" ca="1" si="12"/>
        <v>0</v>
      </c>
      <c r="AF28" s="55">
        <f t="shared" ca="1" si="12"/>
        <v>0</v>
      </c>
    </row>
    <row r="29" spans="2:32">
      <c r="B29" s="56" t="s">
        <v>428</v>
      </c>
      <c r="C29" s="154" t="s">
        <v>429</v>
      </c>
      <c r="D29" s="59">
        <f t="shared" si="6"/>
        <v>0</v>
      </c>
      <c r="E29" s="56" t="s">
        <v>111</v>
      </c>
      <c r="F29" s="59"/>
      <c r="G29" s="59"/>
      <c r="H29" s="59">
        <f>SUM(H30:H36)</f>
        <v>0</v>
      </c>
      <c r="I29" s="59">
        <f t="shared" ref="I29:AF29" si="13">SUM(I30:I36)</f>
        <v>0</v>
      </c>
      <c r="J29" s="59">
        <f t="shared" si="13"/>
        <v>0</v>
      </c>
      <c r="K29" s="59">
        <f t="shared" si="13"/>
        <v>0</v>
      </c>
      <c r="L29" s="59">
        <f t="shared" si="13"/>
        <v>0</v>
      </c>
      <c r="M29" s="59">
        <f t="shared" si="13"/>
        <v>0</v>
      </c>
      <c r="N29" s="59">
        <f t="shared" si="13"/>
        <v>0</v>
      </c>
      <c r="O29" s="59">
        <f t="shared" si="13"/>
        <v>0</v>
      </c>
      <c r="P29" s="59">
        <f t="shared" si="13"/>
        <v>0</v>
      </c>
      <c r="Q29" s="59">
        <f t="shared" si="13"/>
        <v>0</v>
      </c>
      <c r="R29" s="59">
        <f t="shared" si="13"/>
        <v>0</v>
      </c>
      <c r="S29" s="59">
        <f t="shared" si="13"/>
        <v>0</v>
      </c>
      <c r="T29" s="59">
        <f t="shared" si="13"/>
        <v>0</v>
      </c>
      <c r="U29" s="59">
        <f t="shared" si="13"/>
        <v>0</v>
      </c>
      <c r="V29" s="59">
        <f t="shared" si="13"/>
        <v>0</v>
      </c>
      <c r="W29" s="59">
        <f t="shared" si="13"/>
        <v>0</v>
      </c>
      <c r="X29" s="59">
        <f t="shared" si="13"/>
        <v>0</v>
      </c>
      <c r="Y29" s="59">
        <f t="shared" si="13"/>
        <v>0</v>
      </c>
      <c r="Z29" s="59">
        <f t="shared" si="13"/>
        <v>0</v>
      </c>
      <c r="AA29" s="59">
        <f t="shared" si="13"/>
        <v>0</v>
      </c>
      <c r="AB29" s="59">
        <f t="shared" si="13"/>
        <v>0</v>
      </c>
      <c r="AC29" s="59">
        <f t="shared" si="13"/>
        <v>0</v>
      </c>
      <c r="AD29" s="59">
        <f t="shared" si="13"/>
        <v>0</v>
      </c>
      <c r="AE29" s="59">
        <f t="shared" si="13"/>
        <v>0</v>
      </c>
      <c r="AF29" s="59">
        <f t="shared" si="13"/>
        <v>0</v>
      </c>
    </row>
    <row r="30" spans="2:32" s="47" customFormat="1">
      <c r="B30" s="66"/>
      <c r="C30" s="155" t="s">
        <v>159</v>
      </c>
      <c r="D30" s="68">
        <f t="shared" si="6"/>
        <v>0</v>
      </c>
      <c r="E30" s="66" t="s">
        <v>111</v>
      </c>
      <c r="F30" s="68"/>
      <c r="G30" s="68"/>
      <c r="H30" s="68">
        <f>'表3-成本费用表'!H50*参数输入表!$H$146</f>
        <v>0</v>
      </c>
      <c r="I30" s="68">
        <f>'表3-成本费用表'!I50*参数输入表!$H$146</f>
        <v>0</v>
      </c>
      <c r="J30" s="68">
        <f>'表3-成本费用表'!J50*参数输入表!$H$146</f>
        <v>0</v>
      </c>
      <c r="K30" s="68">
        <f>'表3-成本费用表'!K50*参数输入表!$H$146</f>
        <v>0</v>
      </c>
      <c r="L30" s="68">
        <f>'表3-成本费用表'!L50*参数输入表!$H$146</f>
        <v>0</v>
      </c>
      <c r="M30" s="68">
        <f>'表3-成本费用表'!M50*参数输入表!$H$146</f>
        <v>0</v>
      </c>
      <c r="N30" s="68">
        <f>'表3-成本费用表'!N50*参数输入表!$H$146</f>
        <v>0</v>
      </c>
      <c r="O30" s="68">
        <f>'表3-成本费用表'!O50*参数输入表!$H$146</f>
        <v>0</v>
      </c>
      <c r="P30" s="68">
        <f>'表3-成本费用表'!P50*参数输入表!$H$146</f>
        <v>0</v>
      </c>
      <c r="Q30" s="68">
        <f>'表3-成本费用表'!Q50*参数输入表!$H$146</f>
        <v>0</v>
      </c>
      <c r="R30" s="68">
        <f>'表3-成本费用表'!R50*参数输入表!$H$146</f>
        <v>0</v>
      </c>
      <c r="S30" s="68">
        <f>'表3-成本费用表'!S50*参数输入表!$H$146</f>
        <v>0</v>
      </c>
      <c r="T30" s="68">
        <f>'表3-成本费用表'!T50*参数输入表!$H$146</f>
        <v>0</v>
      </c>
      <c r="U30" s="68">
        <f>'表3-成本费用表'!U50*参数输入表!$H$146</f>
        <v>0</v>
      </c>
      <c r="V30" s="68">
        <f>'表3-成本费用表'!V50*参数输入表!$H$146</f>
        <v>0</v>
      </c>
      <c r="W30" s="68">
        <f>'表3-成本费用表'!W50*参数输入表!$H$146</f>
        <v>0</v>
      </c>
      <c r="X30" s="68">
        <f>'表3-成本费用表'!X50*参数输入表!$H$146</f>
        <v>0</v>
      </c>
      <c r="Y30" s="68">
        <f>'表3-成本费用表'!Y50*参数输入表!$H$146</f>
        <v>0</v>
      </c>
      <c r="Z30" s="68">
        <f>'表3-成本费用表'!Z50*参数输入表!$H$146</f>
        <v>0</v>
      </c>
      <c r="AA30" s="68">
        <f>'表3-成本费用表'!AA50*参数输入表!$H$146</f>
        <v>0</v>
      </c>
      <c r="AB30" s="68">
        <f>'表3-成本费用表'!AB50*参数输入表!$H$146</f>
        <v>0</v>
      </c>
      <c r="AC30" s="68">
        <f>'表3-成本费用表'!AC50*参数输入表!$H$146</f>
        <v>0</v>
      </c>
      <c r="AD30" s="68">
        <f>'表3-成本费用表'!AD50*参数输入表!$H$146</f>
        <v>0</v>
      </c>
      <c r="AE30" s="68">
        <f>'表3-成本费用表'!AE50*参数输入表!$H$146</f>
        <v>0</v>
      </c>
      <c r="AF30" s="68">
        <f>'表3-成本费用表'!AF50*参数输入表!$H$146</f>
        <v>0</v>
      </c>
    </row>
    <row r="31" spans="2:32" s="47" customFormat="1">
      <c r="B31" s="66"/>
      <c r="C31" s="155" t="s">
        <v>171</v>
      </c>
      <c r="D31" s="68">
        <f t="shared" si="6"/>
        <v>0</v>
      </c>
      <c r="E31" s="66" t="s">
        <v>111</v>
      </c>
      <c r="F31" s="68"/>
      <c r="G31" s="68"/>
      <c r="H31" s="68">
        <f>'表3-成本费用表'!H51*参数输入表!$H$155</f>
        <v>0</v>
      </c>
      <c r="I31" s="68">
        <f>'表3-成本费用表'!I51*参数输入表!$H$155</f>
        <v>0</v>
      </c>
      <c r="J31" s="68">
        <f>'表3-成本费用表'!J51*参数输入表!$H$155</f>
        <v>0</v>
      </c>
      <c r="K31" s="68">
        <f>'表3-成本费用表'!K51*参数输入表!$H$155</f>
        <v>0</v>
      </c>
      <c r="L31" s="68">
        <f>'表3-成本费用表'!L51*参数输入表!$H$155</f>
        <v>0</v>
      </c>
      <c r="M31" s="68">
        <f>'表3-成本费用表'!M51*参数输入表!$H$155</f>
        <v>0</v>
      </c>
      <c r="N31" s="68">
        <f>'表3-成本费用表'!N51*参数输入表!$H$155</f>
        <v>0</v>
      </c>
      <c r="O31" s="68">
        <f>'表3-成本费用表'!O51*参数输入表!$H$155</f>
        <v>0</v>
      </c>
      <c r="P31" s="68">
        <f>'表3-成本费用表'!P51*参数输入表!$H$155</f>
        <v>0</v>
      </c>
      <c r="Q31" s="68">
        <f>'表3-成本费用表'!Q51*参数输入表!$H$155</f>
        <v>0</v>
      </c>
      <c r="R31" s="68">
        <f>'表3-成本费用表'!R51*参数输入表!$H$155</f>
        <v>0</v>
      </c>
      <c r="S31" s="68">
        <f>'表3-成本费用表'!S51*参数输入表!$H$155</f>
        <v>0</v>
      </c>
      <c r="T31" s="68">
        <f>'表3-成本费用表'!T51*参数输入表!$H$155</f>
        <v>0</v>
      </c>
      <c r="U31" s="68">
        <f>'表3-成本费用表'!U51*参数输入表!$H$155</f>
        <v>0</v>
      </c>
      <c r="V31" s="68">
        <f>'表3-成本费用表'!V51*参数输入表!$H$155</f>
        <v>0</v>
      </c>
      <c r="W31" s="68">
        <f>'表3-成本费用表'!W51*参数输入表!$H$155</f>
        <v>0</v>
      </c>
      <c r="X31" s="68">
        <f>'表3-成本费用表'!X51*参数输入表!$H$155</f>
        <v>0</v>
      </c>
      <c r="Y31" s="68">
        <f>'表3-成本费用表'!Y51*参数输入表!$H$155</f>
        <v>0</v>
      </c>
      <c r="Z31" s="68">
        <f>'表3-成本费用表'!Z51*参数输入表!$H$155</f>
        <v>0</v>
      </c>
      <c r="AA31" s="68">
        <f>'表3-成本费用表'!AA51*参数输入表!$H$155</f>
        <v>0</v>
      </c>
      <c r="AB31" s="68">
        <f>'表3-成本费用表'!AB51*参数输入表!$H$155</f>
        <v>0</v>
      </c>
      <c r="AC31" s="68">
        <f>'表3-成本费用表'!AC51*参数输入表!$H$155</f>
        <v>0</v>
      </c>
      <c r="AD31" s="68">
        <f>'表3-成本费用表'!AD51*参数输入表!$H$155</f>
        <v>0</v>
      </c>
      <c r="AE31" s="68">
        <f>'表3-成本费用表'!AE51*参数输入表!$H$155</f>
        <v>0</v>
      </c>
      <c r="AF31" s="68">
        <f>'表3-成本费用表'!AF51*参数输入表!$H$155</f>
        <v>0</v>
      </c>
    </row>
    <row r="32" spans="2:32" s="47" customFormat="1">
      <c r="B32" s="66"/>
      <c r="C32" s="155" t="s">
        <v>182</v>
      </c>
      <c r="D32" s="68">
        <f t="shared" si="6"/>
        <v>0</v>
      </c>
      <c r="E32" s="66" t="s">
        <v>111</v>
      </c>
      <c r="F32" s="68"/>
      <c r="G32" s="68"/>
      <c r="H32" s="68">
        <f>'表3-成本费用表'!H52*参数输入表!$H$174</f>
        <v>0</v>
      </c>
      <c r="I32" s="68">
        <f>'表3-成本费用表'!I52*参数输入表!$H$174</f>
        <v>0</v>
      </c>
      <c r="J32" s="68">
        <f>'表3-成本费用表'!J52*参数输入表!$H$174</f>
        <v>0</v>
      </c>
      <c r="K32" s="68">
        <f>'表3-成本费用表'!K52*参数输入表!$H$174</f>
        <v>0</v>
      </c>
      <c r="L32" s="68">
        <f>'表3-成本费用表'!L52*参数输入表!$H$174</f>
        <v>0</v>
      </c>
      <c r="M32" s="68">
        <f>'表3-成本费用表'!M52*参数输入表!$H$174</f>
        <v>0</v>
      </c>
      <c r="N32" s="68">
        <f>'表3-成本费用表'!N52*参数输入表!$H$174</f>
        <v>0</v>
      </c>
      <c r="O32" s="68">
        <f>'表3-成本费用表'!O52*参数输入表!$H$174</f>
        <v>0</v>
      </c>
      <c r="P32" s="68">
        <f>'表3-成本费用表'!P52*参数输入表!$H$174</f>
        <v>0</v>
      </c>
      <c r="Q32" s="68">
        <f>'表3-成本费用表'!Q52*参数输入表!$H$174</f>
        <v>0</v>
      </c>
      <c r="R32" s="68">
        <f>'表3-成本费用表'!R52*参数输入表!$H$174</f>
        <v>0</v>
      </c>
      <c r="S32" s="68">
        <f>'表3-成本费用表'!S52*参数输入表!$H$174</f>
        <v>0</v>
      </c>
      <c r="T32" s="68">
        <f>'表3-成本费用表'!T52*参数输入表!$H$174</f>
        <v>0</v>
      </c>
      <c r="U32" s="68">
        <f>'表3-成本费用表'!U52*参数输入表!$H$174</f>
        <v>0</v>
      </c>
      <c r="V32" s="68">
        <f>'表3-成本费用表'!V52*参数输入表!$H$174</f>
        <v>0</v>
      </c>
      <c r="W32" s="68">
        <f>'表3-成本费用表'!W52*参数输入表!$H$174</f>
        <v>0</v>
      </c>
      <c r="X32" s="68">
        <f>'表3-成本费用表'!X52*参数输入表!$H$174</f>
        <v>0</v>
      </c>
      <c r="Y32" s="68">
        <f>'表3-成本费用表'!Y52*参数输入表!$H$174</f>
        <v>0</v>
      </c>
      <c r="Z32" s="68">
        <f>'表3-成本费用表'!Z52*参数输入表!$H$174</f>
        <v>0</v>
      </c>
      <c r="AA32" s="68">
        <f>'表3-成本费用表'!AA52*参数输入表!$H$174</f>
        <v>0</v>
      </c>
      <c r="AB32" s="68">
        <f>'表3-成本费用表'!AB52*参数输入表!$H$174</f>
        <v>0</v>
      </c>
      <c r="AC32" s="68">
        <f>'表3-成本费用表'!AC52*参数输入表!$H$174</f>
        <v>0</v>
      </c>
      <c r="AD32" s="68">
        <f>'表3-成本费用表'!AD52*参数输入表!$H$174</f>
        <v>0</v>
      </c>
      <c r="AE32" s="68">
        <f>'表3-成本费用表'!AE52*参数输入表!$H$174</f>
        <v>0</v>
      </c>
      <c r="AF32" s="68">
        <f>'表3-成本费用表'!AF52*参数输入表!$H$174</f>
        <v>0</v>
      </c>
    </row>
    <row r="33" spans="2:32" s="47" customFormat="1">
      <c r="B33" s="66"/>
      <c r="C33" s="155" t="s">
        <v>21</v>
      </c>
      <c r="D33" s="68">
        <f t="shared" si="6"/>
        <v>0</v>
      </c>
      <c r="E33" s="66" t="s">
        <v>111</v>
      </c>
      <c r="F33" s="68"/>
      <c r="G33" s="68"/>
      <c r="H33" s="68">
        <f>'表3-成本费用表'!H54*参数输入表!$H$176</f>
        <v>0</v>
      </c>
      <c r="I33" s="68">
        <f>'表3-成本费用表'!I54*参数输入表!$H$176</f>
        <v>0</v>
      </c>
      <c r="J33" s="68">
        <f>'表3-成本费用表'!J54*参数输入表!$H$176</f>
        <v>0</v>
      </c>
      <c r="K33" s="68">
        <f>'表3-成本费用表'!K54*参数输入表!$H$176</f>
        <v>0</v>
      </c>
      <c r="L33" s="68">
        <f>'表3-成本费用表'!L54*参数输入表!$H$176</f>
        <v>0</v>
      </c>
      <c r="M33" s="68">
        <f>'表3-成本费用表'!M54*参数输入表!$H$176</f>
        <v>0</v>
      </c>
      <c r="N33" s="68">
        <f>'表3-成本费用表'!N54*参数输入表!$H$176</f>
        <v>0</v>
      </c>
      <c r="O33" s="68">
        <f>'表3-成本费用表'!O54*参数输入表!$H$176</f>
        <v>0</v>
      </c>
      <c r="P33" s="68">
        <f>'表3-成本费用表'!P54*参数输入表!$H$176</f>
        <v>0</v>
      </c>
      <c r="Q33" s="68">
        <f>'表3-成本费用表'!Q54*参数输入表!$H$176</f>
        <v>0</v>
      </c>
      <c r="R33" s="68">
        <f>'表3-成本费用表'!R54*参数输入表!$H$176</f>
        <v>0</v>
      </c>
      <c r="S33" s="68">
        <f>'表3-成本费用表'!S54*参数输入表!$H$176</f>
        <v>0</v>
      </c>
      <c r="T33" s="68">
        <f>'表3-成本费用表'!T54*参数输入表!$H$176</f>
        <v>0</v>
      </c>
      <c r="U33" s="68">
        <f>'表3-成本费用表'!U54*参数输入表!$H$176</f>
        <v>0</v>
      </c>
      <c r="V33" s="68">
        <f>'表3-成本费用表'!V54*参数输入表!$H$176</f>
        <v>0</v>
      </c>
      <c r="W33" s="68">
        <f>'表3-成本费用表'!W54*参数输入表!$H$176</f>
        <v>0</v>
      </c>
      <c r="X33" s="68">
        <f>'表3-成本费用表'!X54*参数输入表!$H$176</f>
        <v>0</v>
      </c>
      <c r="Y33" s="68">
        <f>'表3-成本费用表'!Y54*参数输入表!$H$176</f>
        <v>0</v>
      </c>
      <c r="Z33" s="68">
        <f>'表3-成本费用表'!Z54*参数输入表!$H$176</f>
        <v>0</v>
      </c>
      <c r="AA33" s="68">
        <f>'表3-成本费用表'!AA54*参数输入表!$H$176</f>
        <v>0</v>
      </c>
      <c r="AB33" s="68">
        <f>'表3-成本费用表'!AB54*参数输入表!$H$176</f>
        <v>0</v>
      </c>
      <c r="AC33" s="68">
        <f>'表3-成本费用表'!AC54*参数输入表!$H$176</f>
        <v>0</v>
      </c>
      <c r="AD33" s="68">
        <f>'表3-成本费用表'!AD54*参数输入表!$H$176</f>
        <v>0</v>
      </c>
      <c r="AE33" s="68">
        <f>'表3-成本费用表'!AE54*参数输入表!$H$176</f>
        <v>0</v>
      </c>
      <c r="AF33" s="68">
        <f>'表3-成本费用表'!AF54*参数输入表!$H$176</f>
        <v>0</v>
      </c>
    </row>
    <row r="34" spans="2:32" s="47" customFormat="1">
      <c r="B34" s="66"/>
      <c r="C34" s="155" t="s">
        <v>208</v>
      </c>
      <c r="D34" s="68">
        <f t="shared" si="6"/>
        <v>0</v>
      </c>
      <c r="E34" s="66" t="s">
        <v>111</v>
      </c>
      <c r="F34" s="68"/>
      <c r="G34" s="68"/>
      <c r="H34" s="68">
        <f>'表3-成本费用表'!H55*参数输入表!$H$192</f>
        <v>0</v>
      </c>
      <c r="I34" s="68">
        <f>'表3-成本费用表'!I55*参数输入表!$H$192</f>
        <v>0</v>
      </c>
      <c r="J34" s="68">
        <f>'表3-成本费用表'!J55*参数输入表!$H$192</f>
        <v>0</v>
      </c>
      <c r="K34" s="68">
        <f>'表3-成本费用表'!K55*参数输入表!$H$192</f>
        <v>0</v>
      </c>
      <c r="L34" s="68">
        <f>'表3-成本费用表'!L55*参数输入表!$H$192</f>
        <v>0</v>
      </c>
      <c r="M34" s="68">
        <f>'表3-成本费用表'!M55*参数输入表!$H$192</f>
        <v>0</v>
      </c>
      <c r="N34" s="68">
        <f>'表3-成本费用表'!N55*参数输入表!$H$192</f>
        <v>0</v>
      </c>
      <c r="O34" s="68">
        <f>'表3-成本费用表'!O55*参数输入表!$H$192</f>
        <v>0</v>
      </c>
      <c r="P34" s="68">
        <f>'表3-成本费用表'!P55*参数输入表!$H$192</f>
        <v>0</v>
      </c>
      <c r="Q34" s="68">
        <f>'表3-成本费用表'!Q55*参数输入表!$H$192</f>
        <v>0</v>
      </c>
      <c r="R34" s="68">
        <f>'表3-成本费用表'!R55*参数输入表!$H$192</f>
        <v>0</v>
      </c>
      <c r="S34" s="68">
        <f>'表3-成本费用表'!S55*参数输入表!$H$192</f>
        <v>0</v>
      </c>
      <c r="T34" s="68">
        <f>'表3-成本费用表'!T55*参数输入表!$H$192</f>
        <v>0</v>
      </c>
      <c r="U34" s="68">
        <f>'表3-成本费用表'!U55*参数输入表!$H$192</f>
        <v>0</v>
      </c>
      <c r="V34" s="68">
        <f>'表3-成本费用表'!V55*参数输入表!$H$192</f>
        <v>0</v>
      </c>
      <c r="W34" s="68">
        <f>'表3-成本费用表'!W55*参数输入表!$H$192</f>
        <v>0</v>
      </c>
      <c r="X34" s="68">
        <f>'表3-成本费用表'!X55*参数输入表!$H$192</f>
        <v>0</v>
      </c>
      <c r="Y34" s="68">
        <f>'表3-成本费用表'!Y55*参数输入表!$H$192</f>
        <v>0</v>
      </c>
      <c r="Z34" s="68">
        <f>'表3-成本费用表'!Z55*参数输入表!$H$192</f>
        <v>0</v>
      </c>
      <c r="AA34" s="68">
        <f>'表3-成本费用表'!AA55*参数输入表!$H$192</f>
        <v>0</v>
      </c>
      <c r="AB34" s="68">
        <f>'表3-成本费用表'!AB55*参数输入表!$H$192</f>
        <v>0</v>
      </c>
      <c r="AC34" s="68">
        <f>'表3-成本费用表'!AC55*参数输入表!$H$192</f>
        <v>0</v>
      </c>
      <c r="AD34" s="68">
        <f>'表3-成本费用表'!AD55*参数输入表!$H$192</f>
        <v>0</v>
      </c>
      <c r="AE34" s="68">
        <f>'表3-成本费用表'!AE55*参数输入表!$H$192</f>
        <v>0</v>
      </c>
      <c r="AF34" s="68">
        <f>'表3-成本费用表'!AF55*参数输入表!$H$192</f>
        <v>0</v>
      </c>
    </row>
    <row r="35" spans="2:32" s="47" customFormat="1">
      <c r="B35" s="66"/>
      <c r="C35" s="155" t="s">
        <v>199</v>
      </c>
      <c r="D35" s="68">
        <f t="shared" si="6"/>
        <v>0</v>
      </c>
      <c r="E35" s="66" t="s">
        <v>111</v>
      </c>
      <c r="F35" s="68"/>
      <c r="G35" s="68"/>
      <c r="H35" s="68">
        <f>'表3-成本费用表'!H56*参数输入表!$H$186</f>
        <v>0</v>
      </c>
      <c r="I35" s="68">
        <f>'表3-成本费用表'!I56*参数输入表!$H$186</f>
        <v>0</v>
      </c>
      <c r="J35" s="68">
        <f>'表3-成本费用表'!J56*参数输入表!$H$186</f>
        <v>0</v>
      </c>
      <c r="K35" s="68">
        <f>'表3-成本费用表'!K56*参数输入表!$H$186</f>
        <v>0</v>
      </c>
      <c r="L35" s="68">
        <f>'表3-成本费用表'!L56*参数输入表!$H$186</f>
        <v>0</v>
      </c>
      <c r="M35" s="68">
        <f>'表3-成本费用表'!M56*参数输入表!$H$186</f>
        <v>0</v>
      </c>
      <c r="N35" s="68">
        <f>'表3-成本费用表'!N56*参数输入表!$H$186</f>
        <v>0</v>
      </c>
      <c r="O35" s="68">
        <f>'表3-成本费用表'!O56*参数输入表!$H$186</f>
        <v>0</v>
      </c>
      <c r="P35" s="68">
        <f>'表3-成本费用表'!P56*参数输入表!$H$186</f>
        <v>0</v>
      </c>
      <c r="Q35" s="68">
        <f>'表3-成本费用表'!Q56*参数输入表!$H$186</f>
        <v>0</v>
      </c>
      <c r="R35" s="68">
        <f>'表3-成本费用表'!R56*参数输入表!$H$186</f>
        <v>0</v>
      </c>
      <c r="S35" s="68">
        <f>'表3-成本费用表'!S56*参数输入表!$H$186</f>
        <v>0</v>
      </c>
      <c r="T35" s="68">
        <f>'表3-成本费用表'!T56*参数输入表!$H$186</f>
        <v>0</v>
      </c>
      <c r="U35" s="68">
        <f>'表3-成本费用表'!U56*参数输入表!$H$186</f>
        <v>0</v>
      </c>
      <c r="V35" s="68">
        <f>'表3-成本费用表'!V56*参数输入表!$H$186</f>
        <v>0</v>
      </c>
      <c r="W35" s="68">
        <f>'表3-成本费用表'!W56*参数输入表!$H$186</f>
        <v>0</v>
      </c>
      <c r="X35" s="68">
        <f>'表3-成本费用表'!X56*参数输入表!$H$186</f>
        <v>0</v>
      </c>
      <c r="Y35" s="68">
        <f>'表3-成本费用表'!Y56*参数输入表!$H$186</f>
        <v>0</v>
      </c>
      <c r="Z35" s="68">
        <f>'表3-成本费用表'!Z56*参数输入表!$H$186</f>
        <v>0</v>
      </c>
      <c r="AA35" s="68">
        <f>'表3-成本费用表'!AA56*参数输入表!$H$186</f>
        <v>0</v>
      </c>
      <c r="AB35" s="68">
        <f>'表3-成本费用表'!AB56*参数输入表!$H$186</f>
        <v>0</v>
      </c>
      <c r="AC35" s="68">
        <f>'表3-成本费用表'!AC56*参数输入表!$H$186</f>
        <v>0</v>
      </c>
      <c r="AD35" s="68">
        <f>'表3-成本费用表'!AD56*参数输入表!$H$186</f>
        <v>0</v>
      </c>
      <c r="AE35" s="68">
        <f>'表3-成本费用表'!AE56*参数输入表!$H$186</f>
        <v>0</v>
      </c>
      <c r="AF35" s="68">
        <f>'表3-成本费用表'!AF56*参数输入表!$H$186</f>
        <v>0</v>
      </c>
    </row>
    <row r="36" spans="2:32" s="47" customFormat="1">
      <c r="B36" s="66"/>
      <c r="C36" s="155" t="s">
        <v>430</v>
      </c>
      <c r="D36" s="68">
        <f t="shared" si="6"/>
        <v>0</v>
      </c>
      <c r="E36" s="66" t="s">
        <v>111</v>
      </c>
      <c r="F36" s="68"/>
      <c r="G36" s="68"/>
      <c r="H36" s="68">
        <f>'表3-成本费用表'!H53*参数输入表!$H$233</f>
        <v>0</v>
      </c>
      <c r="I36" s="68">
        <f>'表3-成本费用表'!I53*参数输入表!$H$233</f>
        <v>0</v>
      </c>
      <c r="J36" s="68">
        <f>'表3-成本费用表'!J53*参数输入表!$H$233</f>
        <v>0</v>
      </c>
      <c r="K36" s="68">
        <f>'表3-成本费用表'!K53*参数输入表!$H$233</f>
        <v>0</v>
      </c>
      <c r="L36" s="68">
        <f>'表3-成本费用表'!L53*参数输入表!$H$233</f>
        <v>0</v>
      </c>
      <c r="M36" s="68">
        <f>'表3-成本费用表'!M53*参数输入表!$H$233</f>
        <v>0</v>
      </c>
      <c r="N36" s="68">
        <f>'表3-成本费用表'!N53*参数输入表!$H$233</f>
        <v>0</v>
      </c>
      <c r="O36" s="68">
        <f>'表3-成本费用表'!O53*参数输入表!$H$233</f>
        <v>0</v>
      </c>
      <c r="P36" s="68">
        <f>'表3-成本费用表'!P53*参数输入表!$H$233</f>
        <v>0</v>
      </c>
      <c r="Q36" s="68">
        <f>'表3-成本费用表'!Q53*参数输入表!$H$233</f>
        <v>0</v>
      </c>
      <c r="R36" s="68">
        <f>'表3-成本费用表'!R53*参数输入表!$H$233</f>
        <v>0</v>
      </c>
      <c r="S36" s="68">
        <f>'表3-成本费用表'!S53*参数输入表!$H$233</f>
        <v>0</v>
      </c>
      <c r="T36" s="68">
        <f>'表3-成本费用表'!T53*参数输入表!$H$233</f>
        <v>0</v>
      </c>
      <c r="U36" s="68">
        <f>'表3-成本费用表'!U53*参数输入表!$H$233</f>
        <v>0</v>
      </c>
      <c r="V36" s="68">
        <f>'表3-成本费用表'!V53*参数输入表!$H$233</f>
        <v>0</v>
      </c>
      <c r="W36" s="68">
        <f>'表3-成本费用表'!W53*参数输入表!$H$233</f>
        <v>0</v>
      </c>
      <c r="X36" s="68">
        <f>'表3-成本费用表'!X53*参数输入表!$H$233</f>
        <v>0</v>
      </c>
      <c r="Y36" s="68">
        <f>'表3-成本费用表'!Y53*参数输入表!$H$233</f>
        <v>0</v>
      </c>
      <c r="Z36" s="68">
        <f>'表3-成本费用表'!Z53*参数输入表!$H$233</f>
        <v>0</v>
      </c>
      <c r="AA36" s="68">
        <f>'表3-成本费用表'!AA53*参数输入表!$H$233</f>
        <v>0</v>
      </c>
      <c r="AB36" s="68">
        <f>'表3-成本费用表'!AB53*参数输入表!$H$233</f>
        <v>0</v>
      </c>
      <c r="AC36" s="68">
        <f>'表3-成本费用表'!AC53*参数输入表!$H$233</f>
        <v>0</v>
      </c>
      <c r="AD36" s="68">
        <f>'表3-成本费用表'!AD53*参数输入表!$H$233</f>
        <v>0</v>
      </c>
      <c r="AE36" s="68">
        <f>'表3-成本费用表'!AE53*参数输入表!$H$233</f>
        <v>0</v>
      </c>
      <c r="AF36" s="68">
        <f>'表3-成本费用表'!AF53*参数输入表!$H$233</f>
        <v>0</v>
      </c>
    </row>
    <row r="37" spans="2:32" s="47" customFormat="1">
      <c r="B37" s="66" t="s">
        <v>431</v>
      </c>
      <c r="C37" s="156" t="s">
        <v>432</v>
      </c>
      <c r="D37" s="68">
        <f t="shared" si="6"/>
        <v>0</v>
      </c>
      <c r="E37" s="66" t="s">
        <v>111</v>
      </c>
      <c r="F37" s="68"/>
      <c r="G37" s="68"/>
      <c r="H37" s="68">
        <v>0</v>
      </c>
      <c r="I37" s="68">
        <v>0</v>
      </c>
      <c r="J37" s="68">
        <v>0</v>
      </c>
      <c r="K37" s="68">
        <v>0</v>
      </c>
      <c r="L37" s="68">
        <v>0</v>
      </c>
      <c r="M37" s="68">
        <v>0</v>
      </c>
      <c r="N37" s="68">
        <v>0</v>
      </c>
      <c r="O37" s="68">
        <v>0</v>
      </c>
      <c r="P37" s="68">
        <v>0</v>
      </c>
      <c r="Q37" s="68">
        <v>0</v>
      </c>
      <c r="R37" s="68">
        <v>0</v>
      </c>
      <c r="S37" s="68">
        <v>0</v>
      </c>
      <c r="T37" s="68">
        <v>0</v>
      </c>
      <c r="U37" s="68">
        <v>0</v>
      </c>
      <c r="V37" s="68">
        <v>0</v>
      </c>
      <c r="W37" s="68">
        <v>0</v>
      </c>
      <c r="X37" s="68">
        <v>0</v>
      </c>
      <c r="Y37" s="68">
        <v>0</v>
      </c>
      <c r="Z37" s="68">
        <v>0</v>
      </c>
      <c r="AA37" s="68">
        <v>0</v>
      </c>
      <c r="AB37" s="68">
        <v>0</v>
      </c>
      <c r="AC37" s="68">
        <v>0</v>
      </c>
      <c r="AD37" s="68">
        <v>0</v>
      </c>
      <c r="AE37" s="68">
        <v>0</v>
      </c>
      <c r="AF37" s="68">
        <v>0</v>
      </c>
    </row>
    <row r="38" spans="2:32" s="47" customFormat="1">
      <c r="B38" s="66" t="s">
        <v>433</v>
      </c>
      <c r="C38" s="156" t="s">
        <v>434</v>
      </c>
      <c r="D38" s="68">
        <f t="shared" ca="1" si="6"/>
        <v>0</v>
      </c>
      <c r="E38" s="66" t="s">
        <v>111</v>
      </c>
      <c r="F38" s="68"/>
      <c r="G38" s="68"/>
      <c r="H38" s="68">
        <f t="shared" ref="H38:AF38" ca="1" si="14">SUM(H39:H40)</f>
        <v>0</v>
      </c>
      <c r="I38" s="68">
        <f t="shared" ca="1" si="14"/>
        <v>0</v>
      </c>
      <c r="J38" s="68">
        <f t="shared" ca="1" si="14"/>
        <v>0</v>
      </c>
      <c r="K38" s="68">
        <f t="shared" ca="1" si="14"/>
        <v>0</v>
      </c>
      <c r="L38" s="68">
        <f t="shared" ca="1" si="14"/>
        <v>0</v>
      </c>
      <c r="M38" s="68">
        <f t="shared" ca="1" si="14"/>
        <v>0</v>
      </c>
      <c r="N38" s="68">
        <f t="shared" ca="1" si="14"/>
        <v>0</v>
      </c>
      <c r="O38" s="68">
        <f t="shared" ca="1" si="14"/>
        <v>0</v>
      </c>
      <c r="P38" s="68">
        <f t="shared" ca="1" si="14"/>
        <v>0</v>
      </c>
      <c r="Q38" s="68">
        <f t="shared" ca="1" si="14"/>
        <v>0</v>
      </c>
      <c r="R38" s="68">
        <f t="shared" ca="1" si="14"/>
        <v>0</v>
      </c>
      <c r="S38" s="68">
        <f t="shared" ca="1" si="14"/>
        <v>0</v>
      </c>
      <c r="T38" s="68">
        <f t="shared" ca="1" si="14"/>
        <v>0</v>
      </c>
      <c r="U38" s="68">
        <f t="shared" ca="1" si="14"/>
        <v>0</v>
      </c>
      <c r="V38" s="68">
        <f t="shared" ca="1" si="14"/>
        <v>0</v>
      </c>
      <c r="W38" s="68">
        <f t="shared" ca="1" si="14"/>
        <v>0</v>
      </c>
      <c r="X38" s="68">
        <f t="shared" ca="1" si="14"/>
        <v>0</v>
      </c>
      <c r="Y38" s="68">
        <f t="shared" ca="1" si="14"/>
        <v>0</v>
      </c>
      <c r="Z38" s="68">
        <f t="shared" ca="1" si="14"/>
        <v>0</v>
      </c>
      <c r="AA38" s="68">
        <f t="shared" ca="1" si="14"/>
        <v>0</v>
      </c>
      <c r="AB38" s="68">
        <f t="shared" ca="1" si="14"/>
        <v>0</v>
      </c>
      <c r="AC38" s="68">
        <f t="shared" ca="1" si="14"/>
        <v>0</v>
      </c>
      <c r="AD38" s="68">
        <f t="shared" ca="1" si="14"/>
        <v>0</v>
      </c>
      <c r="AE38" s="68">
        <f t="shared" ca="1" si="14"/>
        <v>0</v>
      </c>
      <c r="AF38" s="68">
        <f t="shared" ca="1" si="14"/>
        <v>0</v>
      </c>
    </row>
    <row r="39" spans="2:32" s="47" customFormat="1">
      <c r="B39" s="66"/>
      <c r="C39" s="155" t="s">
        <v>395</v>
      </c>
      <c r="D39" s="68">
        <f t="shared" ca="1" si="6"/>
        <v>0</v>
      </c>
      <c r="E39" s="66" t="s">
        <v>111</v>
      </c>
      <c r="F39" s="68"/>
      <c r="G39" s="68"/>
      <c r="H39" s="68">
        <f ca="1">'表3-成本费用表'!H17*参数输入表!$H$164</f>
        <v>0</v>
      </c>
      <c r="I39" s="68">
        <f ca="1">'表3-成本费用表'!I17*参数输入表!$H$164</f>
        <v>0</v>
      </c>
      <c r="J39" s="68">
        <f ca="1">'表3-成本费用表'!J17*参数输入表!$H$164</f>
        <v>0</v>
      </c>
      <c r="K39" s="68">
        <f ca="1">'表3-成本费用表'!K17*参数输入表!$H$164</f>
        <v>0</v>
      </c>
      <c r="L39" s="68">
        <f ca="1">'表3-成本费用表'!L17*参数输入表!$H$164</f>
        <v>0</v>
      </c>
      <c r="M39" s="68">
        <f ca="1">'表3-成本费用表'!M17*参数输入表!$H$164</f>
        <v>0</v>
      </c>
      <c r="N39" s="68">
        <f ca="1">'表3-成本费用表'!N17*参数输入表!$H$164</f>
        <v>0</v>
      </c>
      <c r="O39" s="68">
        <f ca="1">'表3-成本费用表'!O17*参数输入表!$H$164</f>
        <v>0</v>
      </c>
      <c r="P39" s="68">
        <f ca="1">'表3-成本费用表'!P17*参数输入表!$H$164</f>
        <v>0</v>
      </c>
      <c r="Q39" s="68">
        <f ca="1">'表3-成本费用表'!Q17*参数输入表!$H$164</f>
        <v>0</v>
      </c>
      <c r="R39" s="68">
        <f ca="1">'表3-成本费用表'!R17*参数输入表!$H$164</f>
        <v>0</v>
      </c>
      <c r="S39" s="68">
        <f ca="1">'表3-成本费用表'!S17*参数输入表!$H$164</f>
        <v>0</v>
      </c>
      <c r="T39" s="68">
        <f ca="1">'表3-成本费用表'!T17*参数输入表!$H$164</f>
        <v>0</v>
      </c>
      <c r="U39" s="68">
        <f ca="1">'表3-成本费用表'!U17*参数输入表!$H$164</f>
        <v>0</v>
      </c>
      <c r="V39" s="68">
        <f ca="1">'表3-成本费用表'!V17*参数输入表!$H$164</f>
        <v>0</v>
      </c>
      <c r="W39" s="68">
        <f ca="1">'表3-成本费用表'!W17*参数输入表!$H$164</f>
        <v>0</v>
      </c>
      <c r="X39" s="68">
        <f ca="1">'表3-成本费用表'!X17*参数输入表!$H$164</f>
        <v>0</v>
      </c>
      <c r="Y39" s="68">
        <f ca="1">'表3-成本费用表'!Y17*参数输入表!$H$164</f>
        <v>0</v>
      </c>
      <c r="Z39" s="68">
        <f ca="1">'表3-成本费用表'!Z17*参数输入表!$H$164</f>
        <v>0</v>
      </c>
      <c r="AA39" s="68">
        <f ca="1">'表3-成本费用表'!AA17*参数输入表!$H$164</f>
        <v>0</v>
      </c>
      <c r="AB39" s="68">
        <f ca="1">'表3-成本费用表'!AB17*参数输入表!$H$164</f>
        <v>0</v>
      </c>
      <c r="AC39" s="68">
        <f ca="1">'表3-成本费用表'!AC17*参数输入表!$H$164</f>
        <v>0</v>
      </c>
      <c r="AD39" s="68">
        <f ca="1">'表3-成本费用表'!AD17*参数输入表!$H$164</f>
        <v>0</v>
      </c>
      <c r="AE39" s="68">
        <f ca="1">'表3-成本费用表'!AE17*参数输入表!$H$164</f>
        <v>0</v>
      </c>
      <c r="AF39" s="68">
        <f ca="1">'表3-成本费用表'!AF17*参数输入表!$H$164</f>
        <v>0</v>
      </c>
    </row>
    <row r="40" spans="2:32" s="47" customFormat="1">
      <c r="B40" s="66"/>
      <c r="C40" s="155" t="s">
        <v>206</v>
      </c>
      <c r="D40" s="68">
        <f t="shared" ca="1" si="6"/>
        <v>0</v>
      </c>
      <c r="E40" s="66" t="s">
        <v>111</v>
      </c>
      <c r="F40" s="68"/>
      <c r="G40" s="68"/>
      <c r="H40" s="68">
        <f>'表3-成本费用表'!H18*参数输入表!$H$190</f>
        <v>0</v>
      </c>
      <c r="I40" s="68">
        <f>'表3-成本费用表'!I18*参数输入表!$H$190</f>
        <v>0</v>
      </c>
      <c r="J40" s="68">
        <f>'表3-成本费用表'!J18*参数输入表!$H$190</f>
        <v>0</v>
      </c>
      <c r="K40" s="68">
        <f>'表3-成本费用表'!K18*参数输入表!$H$190</f>
        <v>0</v>
      </c>
      <c r="L40" s="68">
        <f>'表3-成本费用表'!L18*参数输入表!$H$190</f>
        <v>0</v>
      </c>
      <c r="M40" s="68">
        <f>'表3-成本费用表'!M18*参数输入表!$H$190</f>
        <v>0</v>
      </c>
      <c r="N40" s="68">
        <f>'表3-成本费用表'!N18*参数输入表!$H$190</f>
        <v>0</v>
      </c>
      <c r="O40" s="68">
        <f>'表3-成本费用表'!O18*参数输入表!$H$190</f>
        <v>0</v>
      </c>
      <c r="P40" s="68">
        <f>'表3-成本费用表'!P18*参数输入表!$H$190</f>
        <v>0</v>
      </c>
      <c r="Q40" s="68">
        <f>'表3-成本费用表'!Q18*参数输入表!$H$190</f>
        <v>0</v>
      </c>
      <c r="R40" s="68">
        <f>'表3-成本费用表'!R18*参数输入表!$H$190</f>
        <v>0</v>
      </c>
      <c r="S40" s="68">
        <f>'表3-成本费用表'!S18*参数输入表!$H$190</f>
        <v>0</v>
      </c>
      <c r="T40" s="68">
        <f>'表3-成本费用表'!T18*参数输入表!$H$190</f>
        <v>0</v>
      </c>
      <c r="U40" s="68">
        <f>'表3-成本费用表'!U18*参数输入表!$H$190</f>
        <v>0</v>
      </c>
      <c r="V40" s="68">
        <f>'表3-成本费用表'!V18*参数输入表!$H$190</f>
        <v>0</v>
      </c>
      <c r="W40" s="68">
        <f>'表3-成本费用表'!W18*参数输入表!$H$190</f>
        <v>0</v>
      </c>
      <c r="X40" s="68">
        <f>'表3-成本费用表'!X18*参数输入表!$H$190</f>
        <v>0</v>
      </c>
      <c r="Y40" s="68">
        <f>'表3-成本费用表'!Y18*参数输入表!$H$190</f>
        <v>0</v>
      </c>
      <c r="Z40" s="68">
        <f>'表3-成本费用表'!Z18*参数输入表!$H$190</f>
        <v>0</v>
      </c>
      <c r="AA40" s="68">
        <f>'表3-成本费用表'!AA18*参数输入表!$H$190</f>
        <v>0</v>
      </c>
      <c r="AB40" s="68">
        <f>'表3-成本费用表'!AB18*参数输入表!$H$190</f>
        <v>0</v>
      </c>
      <c r="AC40" s="68">
        <f>'表3-成本费用表'!AC18*参数输入表!$H$190</f>
        <v>0</v>
      </c>
      <c r="AD40" s="68">
        <f>'表3-成本费用表'!AD18*参数输入表!$H$190</f>
        <v>0</v>
      </c>
      <c r="AE40" s="68">
        <f>'表3-成本费用表'!AE18*参数输入表!$H$190</f>
        <v>0</v>
      </c>
      <c r="AF40" s="68">
        <f ca="1">'表3-成本费用表'!AF18*参数输入表!$H$190</f>
        <v>0</v>
      </c>
    </row>
    <row r="41" spans="2:32" s="47" customFormat="1">
      <c r="B41" s="66" t="s">
        <v>435</v>
      </c>
      <c r="C41" s="156" t="s">
        <v>436</v>
      </c>
      <c r="D41" s="68">
        <f t="shared" si="6"/>
        <v>0</v>
      </c>
      <c r="E41" s="66" t="s">
        <v>111</v>
      </c>
      <c r="F41" s="68"/>
      <c r="G41" s="68"/>
      <c r="H41" s="68">
        <v>0</v>
      </c>
      <c r="I41" s="68">
        <v>0</v>
      </c>
      <c r="J41" s="68">
        <v>0</v>
      </c>
      <c r="K41" s="68">
        <v>0</v>
      </c>
      <c r="L41" s="68">
        <v>0</v>
      </c>
      <c r="M41" s="68">
        <v>0</v>
      </c>
      <c r="N41" s="68">
        <v>0</v>
      </c>
      <c r="O41" s="68">
        <v>0</v>
      </c>
      <c r="P41" s="68">
        <v>0</v>
      </c>
      <c r="Q41" s="68">
        <v>0</v>
      </c>
      <c r="R41" s="68">
        <v>0</v>
      </c>
      <c r="S41" s="68">
        <v>0</v>
      </c>
      <c r="T41" s="68">
        <v>0</v>
      </c>
      <c r="U41" s="68">
        <v>0</v>
      </c>
      <c r="V41" s="68">
        <v>0</v>
      </c>
      <c r="W41" s="68">
        <v>0</v>
      </c>
      <c r="X41" s="68">
        <v>0</v>
      </c>
      <c r="Y41" s="68">
        <v>0</v>
      </c>
      <c r="Z41" s="68">
        <v>0</v>
      </c>
      <c r="AA41" s="68">
        <v>0</v>
      </c>
      <c r="AB41" s="68">
        <v>0</v>
      </c>
      <c r="AC41" s="68">
        <v>0</v>
      </c>
      <c r="AD41" s="68">
        <v>0</v>
      </c>
      <c r="AE41" s="68">
        <v>0</v>
      </c>
      <c r="AF41" s="68">
        <v>0</v>
      </c>
    </row>
    <row r="42" spans="2:32" s="47" customFormat="1">
      <c r="B42" s="157">
        <v>3.3</v>
      </c>
      <c r="C42" s="158" t="s">
        <v>437</v>
      </c>
      <c r="D42" s="68">
        <f t="shared" si="6"/>
        <v>0</v>
      </c>
      <c r="E42" s="66" t="s">
        <v>111</v>
      </c>
      <c r="F42" s="68"/>
      <c r="G42" s="68"/>
      <c r="H42" s="159">
        <f>'表3-成本费用表'!H62*参数输入表!$H$271</f>
        <v>0</v>
      </c>
      <c r="I42" s="159">
        <f>'表3-成本费用表'!I62*参数输入表!$H$271</f>
        <v>0</v>
      </c>
      <c r="J42" s="159">
        <f>'表3-成本费用表'!J62*参数输入表!$H$271</f>
        <v>0</v>
      </c>
      <c r="K42" s="159">
        <f>'表3-成本费用表'!K62*参数输入表!$H$271</f>
        <v>0</v>
      </c>
      <c r="L42" s="159">
        <f>'表3-成本费用表'!L62*参数输入表!$H$271</f>
        <v>0</v>
      </c>
      <c r="M42" s="159">
        <f>'表3-成本费用表'!M62*参数输入表!$H$271</f>
        <v>0</v>
      </c>
      <c r="N42" s="159">
        <f>'表3-成本费用表'!N62*参数输入表!$H$271</f>
        <v>0</v>
      </c>
      <c r="O42" s="159">
        <f>'表3-成本费用表'!O62*参数输入表!$H$271</f>
        <v>0</v>
      </c>
      <c r="P42" s="159">
        <f>'表3-成本费用表'!P62*参数输入表!$H$271</f>
        <v>0</v>
      </c>
      <c r="Q42" s="159">
        <f>'表3-成本费用表'!Q62*参数输入表!$H$271</f>
        <v>0</v>
      </c>
      <c r="R42" s="159">
        <f>'表3-成本费用表'!R62*参数输入表!$H$271</f>
        <v>0</v>
      </c>
      <c r="S42" s="159">
        <f>'表3-成本费用表'!S62*参数输入表!$H$271</f>
        <v>0</v>
      </c>
      <c r="T42" s="159">
        <f>'表3-成本费用表'!T62*参数输入表!$H$271</f>
        <v>0</v>
      </c>
      <c r="U42" s="159">
        <f>'表3-成本费用表'!U62*参数输入表!$H$271</f>
        <v>0</v>
      </c>
      <c r="V42" s="159">
        <f>'表3-成本费用表'!V62*参数输入表!$H$271</f>
        <v>0</v>
      </c>
      <c r="W42" s="159">
        <f>'表3-成本费用表'!W62*参数输入表!$H$271</f>
        <v>0</v>
      </c>
      <c r="X42" s="159">
        <f>'表3-成本费用表'!X62*参数输入表!$H$271</f>
        <v>0</v>
      </c>
      <c r="Y42" s="159">
        <f>'表3-成本费用表'!Y62*参数输入表!$H$271</f>
        <v>0</v>
      </c>
      <c r="Z42" s="159">
        <f>'表3-成本费用表'!Z62*参数输入表!$H$271</f>
        <v>0</v>
      </c>
      <c r="AA42" s="159">
        <f>'表3-成本费用表'!AA62*参数输入表!$H$271</f>
        <v>0</v>
      </c>
      <c r="AB42" s="159">
        <f>'表3-成本费用表'!AB62*参数输入表!$H$271</f>
        <v>0</v>
      </c>
      <c r="AC42" s="159">
        <f>'表3-成本费用表'!AC62*参数输入表!$H$271</f>
        <v>0</v>
      </c>
      <c r="AD42" s="159">
        <f>'表3-成本费用表'!AD62*参数输入表!$H$271</f>
        <v>0</v>
      </c>
      <c r="AE42" s="159">
        <f>'表3-成本费用表'!AE62*参数输入表!$H$271</f>
        <v>0</v>
      </c>
      <c r="AF42" s="159">
        <f>'表3-成本费用表'!AF62*参数输入表!$H$271</f>
        <v>0</v>
      </c>
    </row>
    <row r="43" spans="2:32">
      <c r="B43" s="53">
        <v>3.4</v>
      </c>
      <c r="C43" s="153" t="s">
        <v>438</v>
      </c>
      <c r="D43" s="55">
        <f t="shared" si="6"/>
        <v>55.221238938053098</v>
      </c>
      <c r="E43" s="56" t="s">
        <v>111</v>
      </c>
      <c r="F43" s="55"/>
      <c r="G43" s="55"/>
      <c r="H43" s="55">
        <f>参数输入表!H236/(1+参数输入表!$H$264)*参数输入表!$H$264</f>
        <v>0</v>
      </c>
      <c r="I43" s="55">
        <f>参数输入表!H237/(1+参数输入表!$H$264)*参数输入表!$H$264</f>
        <v>0</v>
      </c>
      <c r="J43" s="55">
        <f>参数输入表!H238/(1+参数输入表!$H$264)*参数输入表!$H$264</f>
        <v>0</v>
      </c>
      <c r="K43" s="55">
        <f>参数输入表!H239/(1+参数输入表!$H$264)*参数输入表!$H$264</f>
        <v>0</v>
      </c>
      <c r="L43" s="55">
        <f>参数输入表!H240/(1+参数输入表!$H$264)*参数输入表!$H$264</f>
        <v>0</v>
      </c>
      <c r="M43" s="55">
        <f>参数输入表!H241/(1+参数输入表!$H$264)*参数输入表!$H$264</f>
        <v>0</v>
      </c>
      <c r="N43" s="55">
        <f>参数输入表!H242/(1+参数输入表!$H$264)*参数输入表!$H$264</f>
        <v>0</v>
      </c>
      <c r="O43" s="55">
        <f>参数输入表!H243/(1+参数输入表!$H$264)*参数输入表!$H$264</f>
        <v>0</v>
      </c>
      <c r="P43" s="55">
        <f>参数输入表!H244/(1+参数输入表!$H$264)*参数输入表!$H$264</f>
        <v>0</v>
      </c>
      <c r="Q43" s="55">
        <f>参数输入表!H245/(1+参数输入表!$H$264)*参数输入表!$H$264</f>
        <v>0</v>
      </c>
      <c r="R43" s="55">
        <f>参数输入表!H246/(1+参数输入表!$H$264)*参数输入表!$H$264</f>
        <v>55.221238938053098</v>
      </c>
      <c r="S43" s="55">
        <f>参数输入表!H247/(1+参数输入表!$H$264)*参数输入表!$H$264</f>
        <v>0</v>
      </c>
      <c r="T43" s="55">
        <f>参数输入表!H248/(1+参数输入表!$H$264)*参数输入表!$H$264</f>
        <v>0</v>
      </c>
      <c r="U43" s="55">
        <f>参数输入表!H249/(1+参数输入表!$H$264)*参数输入表!$H$264</f>
        <v>0</v>
      </c>
      <c r="V43" s="55">
        <f>参数输入表!H250/(1+参数输入表!$H$264)*参数输入表!$H$264</f>
        <v>0</v>
      </c>
      <c r="W43" s="55">
        <f>参数输入表!H251/(1+参数输入表!$H$264)*参数输入表!$H$264</f>
        <v>0</v>
      </c>
      <c r="X43" s="55">
        <f>参数输入表!H252/(1+参数输入表!$H$264)*参数输入表!$H$264</f>
        <v>0</v>
      </c>
      <c r="Y43" s="55">
        <f>参数输入表!H253/(1+参数输入表!$H$264)*参数输入表!$H$264</f>
        <v>0</v>
      </c>
      <c r="Z43" s="55">
        <f>参数输入表!H254/(1+参数输入表!$H$264)*参数输入表!$H$264</f>
        <v>0</v>
      </c>
      <c r="AA43" s="55">
        <f>参数输入表!H255/(1+参数输入表!$H$264)*参数输入表!$H$264</f>
        <v>0</v>
      </c>
      <c r="AB43" s="55">
        <f>参数输入表!H256/(1+参数输入表!$H$264)*参数输入表!$H$264</f>
        <v>0</v>
      </c>
      <c r="AC43" s="55">
        <f>参数输入表!H257/(1+参数输入表!$H$264)*参数输入表!$H$264</f>
        <v>0</v>
      </c>
      <c r="AD43" s="55">
        <f>参数输入表!H258/(1+参数输入表!$H$264)*参数输入表!$H$264</f>
        <v>0</v>
      </c>
      <c r="AE43" s="55">
        <f>参数输入表!H259/(1+参数输入表!$H$264)*参数输入表!$H$264</f>
        <v>0</v>
      </c>
      <c r="AF43" s="55">
        <f>参数输入表!H260/(1+参数输入表!$H$264)*参数输入表!$H$264</f>
        <v>0</v>
      </c>
    </row>
    <row r="44" spans="2:32">
      <c r="B44" s="86">
        <v>4</v>
      </c>
      <c r="C44" s="139" t="s">
        <v>439</v>
      </c>
      <c r="D44" s="117">
        <f t="shared" ca="1" si="6"/>
        <v>6959.2285304036695</v>
      </c>
      <c r="E44" s="56" t="s">
        <v>111</v>
      </c>
      <c r="F44" s="55">
        <f t="shared" ref="F44:AF44" si="15">F23-F26</f>
        <v>-2571.0688249558398</v>
      </c>
      <c r="G44" s="55">
        <f t="shared" si="15"/>
        <v>0</v>
      </c>
      <c r="H44" s="55">
        <f t="shared" ca="1" si="15"/>
        <v>389.34187327433602</v>
      </c>
      <c r="I44" s="55">
        <f t="shared" ca="1" si="15"/>
        <v>387.58983484460202</v>
      </c>
      <c r="J44" s="55">
        <f t="shared" ca="1" si="15"/>
        <v>385.84568058780098</v>
      </c>
      <c r="K44" s="55">
        <f t="shared" ca="1" si="15"/>
        <v>384.109375025156</v>
      </c>
      <c r="L44" s="55">
        <f t="shared" ca="1" si="15"/>
        <v>382.38088283754303</v>
      </c>
      <c r="M44" s="55">
        <f t="shared" ca="1" si="15"/>
        <v>399.43608283579499</v>
      </c>
      <c r="N44" s="55">
        <f t="shared" ca="1" si="15"/>
        <v>397.63862046303399</v>
      </c>
      <c r="O44" s="55">
        <f t="shared" ca="1" si="15"/>
        <v>395.84924667094998</v>
      </c>
      <c r="P44" s="55">
        <f t="shared" ca="1" si="15"/>
        <v>394.06792506093097</v>
      </c>
      <c r="Q44" s="55">
        <f t="shared" ca="1" si="15"/>
        <v>392.29461939815701</v>
      </c>
      <c r="R44" s="55">
        <f t="shared" ca="1" si="15"/>
        <v>335.30805467281192</v>
      </c>
      <c r="S44" s="55">
        <f t="shared" ca="1" si="15"/>
        <v>388.77191178961601</v>
      </c>
      <c r="T44" s="55">
        <f t="shared" ca="1" si="15"/>
        <v>387.02243818656302</v>
      </c>
      <c r="U44" s="55">
        <f t="shared" ca="1" si="15"/>
        <v>385.28083721472399</v>
      </c>
      <c r="V44" s="55">
        <f t="shared" ca="1" si="15"/>
        <v>383.54707344725699</v>
      </c>
      <c r="W44" s="55">
        <f t="shared" ca="1" si="15"/>
        <v>381.82111161674499</v>
      </c>
      <c r="X44" s="55">
        <f t="shared" ca="1" si="15"/>
        <v>380.10291661447002</v>
      </c>
      <c r="Y44" s="55">
        <f t="shared" ca="1" si="15"/>
        <v>378.392453489704</v>
      </c>
      <c r="Z44" s="55">
        <f t="shared" ca="1" si="15"/>
        <v>376.68968744900098</v>
      </c>
      <c r="AA44" s="55">
        <f t="shared" ca="1" si="15"/>
        <v>374.99458385548002</v>
      </c>
      <c r="AB44" s="55">
        <f t="shared" ca="1" si="15"/>
        <v>373.30710822813103</v>
      </c>
      <c r="AC44" s="55">
        <f t="shared" ca="1" si="15"/>
        <v>371.62722624110398</v>
      </c>
      <c r="AD44" s="55">
        <f t="shared" ca="1" si="15"/>
        <v>369.95490372301902</v>
      </c>
      <c r="AE44" s="55">
        <f t="shared" ca="1" si="15"/>
        <v>368.290106656266</v>
      </c>
      <c r="AF44" s="55">
        <f t="shared" ca="1" si="15"/>
        <v>366.632801176312</v>
      </c>
    </row>
    <row r="45" spans="2:32">
      <c r="B45" s="107">
        <v>5</v>
      </c>
      <c r="C45" s="160" t="s">
        <v>440</v>
      </c>
      <c r="D45" s="121"/>
      <c r="E45" s="56" t="s">
        <v>111</v>
      </c>
      <c r="F45" s="59">
        <f>IF(F44&lt;0,-F44,0)</f>
        <v>2571.0688249558398</v>
      </c>
      <c r="G45" s="59">
        <f>IF(F45-G44&gt;0,F45-G44,0)</f>
        <v>2571.0688249558398</v>
      </c>
      <c r="H45" s="59">
        <f ca="1">IF(G45-H44&gt;0,G45-H44,0)</f>
        <v>2181.7269516815036</v>
      </c>
      <c r="I45" s="59">
        <f t="shared" ref="I45:AF45" ca="1" si="16">IF(H45-I44&gt;0,H45-I44,0)</f>
        <v>1794.1371168369014</v>
      </c>
      <c r="J45" s="59">
        <f t="shared" ca="1" si="16"/>
        <v>1408.2914362491006</v>
      </c>
      <c r="K45" s="59">
        <f t="shared" ca="1" si="16"/>
        <v>1024.1820612239446</v>
      </c>
      <c r="L45" s="59">
        <f t="shared" ca="1" si="16"/>
        <v>641.8011783864016</v>
      </c>
      <c r="M45" s="59">
        <f t="shared" ca="1" si="16"/>
        <v>242.36509555060661</v>
      </c>
      <c r="N45" s="59">
        <f t="shared" ca="1" si="16"/>
        <v>0</v>
      </c>
      <c r="O45" s="59">
        <f t="shared" ca="1" si="16"/>
        <v>0</v>
      </c>
      <c r="P45" s="59">
        <f t="shared" ca="1" si="16"/>
        <v>0</v>
      </c>
      <c r="Q45" s="59">
        <f t="shared" ca="1" si="16"/>
        <v>0</v>
      </c>
      <c r="R45" s="59">
        <f t="shared" ca="1" si="16"/>
        <v>0</v>
      </c>
      <c r="S45" s="59">
        <f t="shared" ca="1" si="16"/>
        <v>0</v>
      </c>
      <c r="T45" s="59">
        <f t="shared" ca="1" si="16"/>
        <v>0</v>
      </c>
      <c r="U45" s="59">
        <f t="shared" ca="1" si="16"/>
        <v>0</v>
      </c>
      <c r="V45" s="59">
        <f t="shared" ca="1" si="16"/>
        <v>0</v>
      </c>
      <c r="W45" s="59">
        <f t="shared" ca="1" si="16"/>
        <v>0</v>
      </c>
      <c r="X45" s="59">
        <f t="shared" ca="1" si="16"/>
        <v>0</v>
      </c>
      <c r="Y45" s="59">
        <f t="shared" ca="1" si="16"/>
        <v>0</v>
      </c>
      <c r="Z45" s="59">
        <f t="shared" ca="1" si="16"/>
        <v>0</v>
      </c>
      <c r="AA45" s="59">
        <f t="shared" ca="1" si="16"/>
        <v>0</v>
      </c>
      <c r="AB45" s="59">
        <f t="shared" ca="1" si="16"/>
        <v>0</v>
      </c>
      <c r="AC45" s="59">
        <f t="shared" ca="1" si="16"/>
        <v>0</v>
      </c>
      <c r="AD45" s="59">
        <f t="shared" ca="1" si="16"/>
        <v>0</v>
      </c>
      <c r="AE45" s="59">
        <f t="shared" ca="1" si="16"/>
        <v>0</v>
      </c>
      <c r="AF45" s="59">
        <f t="shared" ca="1" si="16"/>
        <v>0</v>
      </c>
    </row>
    <row r="46" spans="2:32">
      <c r="B46" s="86">
        <v>6</v>
      </c>
      <c r="C46" s="139" t="s">
        <v>441</v>
      </c>
      <c r="D46" s="117">
        <f t="shared" ref="D46:D50" ca="1" si="17">SUM(F46:AF46)</f>
        <v>835.10742364844054</v>
      </c>
      <c r="E46" s="56" t="s">
        <v>111</v>
      </c>
      <c r="F46" s="55"/>
      <c r="G46" s="55"/>
      <c r="H46" s="55">
        <f ca="1">SUM(H47:H49)</f>
        <v>0</v>
      </c>
      <c r="I46" s="55">
        <f t="shared" ref="I46:AF46" ca="1" si="18">SUM(I47:I49)</f>
        <v>0</v>
      </c>
      <c r="J46" s="55">
        <f t="shared" ca="1" si="18"/>
        <v>0</v>
      </c>
      <c r="K46" s="55">
        <f t="shared" ca="1" si="18"/>
        <v>0</v>
      </c>
      <c r="L46" s="55">
        <f t="shared" ca="1" si="18"/>
        <v>0</v>
      </c>
      <c r="M46" s="55">
        <f t="shared" ca="1" si="18"/>
        <v>0</v>
      </c>
      <c r="N46" s="55">
        <f t="shared" ca="1" si="18"/>
        <v>18.632822989491284</v>
      </c>
      <c r="O46" s="55">
        <f t="shared" ca="1" si="18"/>
        <v>47.501909600514004</v>
      </c>
      <c r="P46" s="55">
        <f t="shared" ca="1" si="18"/>
        <v>47.288151007311718</v>
      </c>
      <c r="Q46" s="55">
        <f t="shared" ca="1" si="18"/>
        <v>47.075354327778847</v>
      </c>
      <c r="R46" s="55">
        <f t="shared" ca="1" si="18"/>
        <v>40.236966560737436</v>
      </c>
      <c r="S46" s="55">
        <f t="shared" ca="1" si="18"/>
        <v>46.652629414753925</v>
      </c>
      <c r="T46" s="55">
        <f t="shared" ca="1" si="18"/>
        <v>46.442692582387565</v>
      </c>
      <c r="U46" s="55">
        <f t="shared" ca="1" si="18"/>
        <v>46.23370046576688</v>
      </c>
      <c r="V46" s="55">
        <f t="shared" ca="1" si="18"/>
        <v>46.025648813670841</v>
      </c>
      <c r="W46" s="55">
        <f t="shared" ca="1" si="18"/>
        <v>45.8185333940094</v>
      </c>
      <c r="X46" s="55">
        <f t="shared" ca="1" si="18"/>
        <v>45.612349993736402</v>
      </c>
      <c r="Y46" s="55">
        <f t="shared" ca="1" si="18"/>
        <v>45.40709441876448</v>
      </c>
      <c r="Z46" s="55">
        <f t="shared" ca="1" si="18"/>
        <v>45.202762493880115</v>
      </c>
      <c r="AA46" s="55">
        <f t="shared" ca="1" si="18"/>
        <v>44.999350062657605</v>
      </c>
      <c r="AB46" s="161">
        <f t="shared" ca="1" si="18"/>
        <v>44.796852987375722</v>
      </c>
      <c r="AC46" s="161">
        <f t="shared" ca="1" si="18"/>
        <v>44.595267148932479</v>
      </c>
      <c r="AD46" s="161">
        <f t="shared" ca="1" si="18"/>
        <v>44.394588446762285</v>
      </c>
      <c r="AE46" s="161">
        <f t="shared" ca="1" si="18"/>
        <v>44.194812798751926</v>
      </c>
      <c r="AF46" s="161">
        <f t="shared" ca="1" si="18"/>
        <v>43.995936141157443</v>
      </c>
    </row>
    <row r="47" spans="2:32">
      <c r="B47" s="107">
        <v>6.1</v>
      </c>
      <c r="C47" s="162" t="s">
        <v>442</v>
      </c>
      <c r="D47" s="121">
        <f t="shared" ca="1" si="17"/>
        <v>487.14599712825679</v>
      </c>
      <c r="E47" s="56" t="s">
        <v>111</v>
      </c>
      <c r="F47" s="59"/>
      <c r="G47" s="59"/>
      <c r="H47" s="59">
        <f ca="1">H22*参数输入表!$H$338</f>
        <v>0</v>
      </c>
      <c r="I47" s="59">
        <f ca="1">I22*参数输入表!$H$338</f>
        <v>0</v>
      </c>
      <c r="J47" s="59">
        <f ca="1">J22*参数输入表!$H$338</f>
        <v>0</v>
      </c>
      <c r="K47" s="59">
        <f ca="1">K22*参数输入表!$H$338</f>
        <v>0</v>
      </c>
      <c r="L47" s="59">
        <f ca="1">L22*参数输入表!$H$338</f>
        <v>0</v>
      </c>
      <c r="M47" s="59">
        <f ca="1">M22*参数输入表!$H$338</f>
        <v>0</v>
      </c>
      <c r="N47" s="59">
        <f ca="1">N22*参数输入表!$H$338</f>
        <v>10.869146743869917</v>
      </c>
      <c r="O47" s="59">
        <f ca="1">O22*参数输入表!$H$338</f>
        <v>27.709447266966503</v>
      </c>
      <c r="P47" s="59">
        <f ca="1">P22*参数输入表!$H$338</f>
        <v>27.58475475426517</v>
      </c>
      <c r="Q47" s="59">
        <f ca="1">Q22*参数输入表!$H$338</f>
        <v>27.460623357870993</v>
      </c>
      <c r="R47" s="59">
        <f ca="1">R22*参数输入表!$H$338</f>
        <v>23.471563827096837</v>
      </c>
      <c r="S47" s="59">
        <f ca="1">S22*参数输入表!$H$338</f>
        <v>27.214033825273123</v>
      </c>
      <c r="T47" s="59">
        <f ca="1">T22*参数输入表!$H$338</f>
        <v>27.091570673059415</v>
      </c>
      <c r="U47" s="59">
        <f ca="1">U22*参数输入表!$H$338</f>
        <v>26.969658605030681</v>
      </c>
      <c r="V47" s="59">
        <f ca="1">V22*参数输入表!$H$338</f>
        <v>26.848295141307993</v>
      </c>
      <c r="W47" s="59">
        <f ca="1">W22*参数输入表!$H$338</f>
        <v>26.72747781317215</v>
      </c>
      <c r="X47" s="59">
        <f ca="1">X22*参数输入表!$H$338</f>
        <v>26.607204163012902</v>
      </c>
      <c r="Y47" s="59">
        <f ca="1">Y22*参数输入表!$H$338</f>
        <v>26.487471744279283</v>
      </c>
      <c r="Z47" s="59">
        <f ca="1">Z22*参数输入表!$H$338</f>
        <v>26.368278121430073</v>
      </c>
      <c r="AA47" s="59">
        <f ca="1">AA22*参数输入表!$H$338</f>
        <v>26.249620869883604</v>
      </c>
      <c r="AB47" s="59">
        <f ca="1">AB22*参数输入表!$H$338</f>
        <v>26.131497575969174</v>
      </c>
      <c r="AC47" s="59">
        <f ca="1">AC22*参数输入表!$H$338</f>
        <v>26.013905836877282</v>
      </c>
      <c r="AD47" s="59">
        <f ca="1">AD22*参数输入表!$H$338</f>
        <v>25.896843260611334</v>
      </c>
      <c r="AE47" s="59">
        <f ca="1">AE22*参数输入表!$H$338</f>
        <v>25.780307465938623</v>
      </c>
      <c r="AF47" s="59">
        <f ca="1">AF22*参数输入表!$H$338</f>
        <v>25.664296082341842</v>
      </c>
    </row>
    <row r="48" spans="2:32">
      <c r="B48" s="107">
        <v>6.2</v>
      </c>
      <c r="C48" s="162" t="s">
        <v>443</v>
      </c>
      <c r="D48" s="121">
        <f t="shared" ca="1" si="17"/>
        <v>208.77685591211014</v>
      </c>
      <c r="E48" s="56" t="s">
        <v>111</v>
      </c>
      <c r="F48" s="59"/>
      <c r="G48" s="59"/>
      <c r="H48" s="59">
        <f ca="1">H22*参数输入表!$H$342</f>
        <v>0</v>
      </c>
      <c r="I48" s="59">
        <f ca="1">I22*参数输入表!$H$342</f>
        <v>0</v>
      </c>
      <c r="J48" s="59">
        <f ca="1">J22*参数输入表!$H$342</f>
        <v>0</v>
      </c>
      <c r="K48" s="59">
        <f ca="1">K22*参数输入表!$H$342</f>
        <v>0</v>
      </c>
      <c r="L48" s="59">
        <f ca="1">L22*参数输入表!$H$342</f>
        <v>0</v>
      </c>
      <c r="M48" s="59">
        <f ca="1">M22*参数输入表!$H$342</f>
        <v>0</v>
      </c>
      <c r="N48" s="59">
        <f ca="1">N22*参数输入表!$H$342</f>
        <v>4.6582057473728211</v>
      </c>
      <c r="O48" s="59">
        <f ca="1">O22*参数输入表!$H$342</f>
        <v>11.875477400128499</v>
      </c>
      <c r="P48" s="59">
        <f ca="1">P22*参数输入表!$H$342</f>
        <v>11.82203775182793</v>
      </c>
      <c r="Q48" s="59">
        <f ca="1">Q22*参数输入表!$H$342</f>
        <v>11.76883858194471</v>
      </c>
      <c r="R48" s="59">
        <f ca="1">R22*参数输入表!$H$342</f>
        <v>10.059241640184357</v>
      </c>
      <c r="S48" s="59">
        <f ca="1">S22*参数输入表!$H$342</f>
        <v>11.663157353688479</v>
      </c>
      <c r="T48" s="59">
        <f ca="1">T22*参数输入表!$H$342</f>
        <v>11.610673145596889</v>
      </c>
      <c r="U48" s="59">
        <f ca="1">U22*参数输入表!$H$342</f>
        <v>11.55842511644172</v>
      </c>
      <c r="V48" s="59">
        <f ca="1">V22*参数输入表!$H$342</f>
        <v>11.506412203417709</v>
      </c>
      <c r="W48" s="59">
        <f ca="1">W22*参数输入表!$H$342</f>
        <v>11.45463334850235</v>
      </c>
      <c r="X48" s="59">
        <f ca="1">X22*参数输入表!$H$342</f>
        <v>11.4030874984341</v>
      </c>
      <c r="Y48" s="59">
        <f ca="1">Y22*参数输入表!$H$342</f>
        <v>11.35177360469112</v>
      </c>
      <c r="Z48" s="59">
        <f ca="1">Z22*参数输入表!$H$342</f>
        <v>11.300690623470029</v>
      </c>
      <c r="AA48" s="59">
        <f ca="1">AA22*参数输入表!$H$342</f>
        <v>11.249837515664399</v>
      </c>
      <c r="AB48" s="59">
        <f ca="1">AB22*参数输入表!$H$342</f>
        <v>11.19921324684393</v>
      </c>
      <c r="AC48" s="59">
        <f ca="1">AC22*参数输入表!$H$342</f>
        <v>11.14881678723312</v>
      </c>
      <c r="AD48" s="59">
        <f ca="1">AD22*参数输入表!$H$342</f>
        <v>11.098647111690569</v>
      </c>
      <c r="AE48" s="59">
        <f ca="1">AE22*参数输入表!$H$342</f>
        <v>11.04870319968798</v>
      </c>
      <c r="AF48" s="59">
        <f ca="1">AF22*参数输入表!$H$342</f>
        <v>10.998984035289359</v>
      </c>
    </row>
    <row r="49" spans="2:32">
      <c r="B49" s="107">
        <v>6.3</v>
      </c>
      <c r="C49" s="162" t="s">
        <v>444</v>
      </c>
      <c r="D49" s="121">
        <f t="shared" ca="1" si="17"/>
        <v>139.18457060807339</v>
      </c>
      <c r="E49" s="56" t="s">
        <v>111</v>
      </c>
      <c r="F49" s="59"/>
      <c r="G49" s="59"/>
      <c r="H49" s="59">
        <f ca="1">H22*参数输入表!$H$343</f>
        <v>0</v>
      </c>
      <c r="I49" s="59">
        <f ca="1">I22*参数输入表!$H$343</f>
        <v>0</v>
      </c>
      <c r="J49" s="59">
        <f ca="1">J22*参数输入表!$H$343</f>
        <v>0</v>
      </c>
      <c r="K49" s="59">
        <f ca="1">K22*参数输入表!$H$343</f>
        <v>0</v>
      </c>
      <c r="L49" s="59">
        <f ca="1">L22*参数输入表!$H$343</f>
        <v>0</v>
      </c>
      <c r="M49" s="59">
        <f ca="1">M22*参数输入表!$H$343</f>
        <v>0</v>
      </c>
      <c r="N49" s="59">
        <f ca="1">N22*参数输入表!$H$343</f>
        <v>3.1054704982485477</v>
      </c>
      <c r="O49" s="59">
        <f ca="1">O22*参数输入表!$H$343</f>
        <v>7.9169849334190001</v>
      </c>
      <c r="P49" s="59">
        <f ca="1">P22*参数输入表!$H$343</f>
        <v>7.88135850121862</v>
      </c>
      <c r="Q49" s="59">
        <f ca="1">Q22*参数输入表!$H$343</f>
        <v>7.8458923879631408</v>
      </c>
      <c r="R49" s="59">
        <f ca="1">R22*参数输入表!$H$343</f>
        <v>6.7061610934562381</v>
      </c>
      <c r="S49" s="59">
        <f ca="1">S22*参数输入表!$H$343</f>
        <v>7.7754382357923202</v>
      </c>
      <c r="T49" s="59">
        <f ca="1">T22*参数输入表!$H$343</f>
        <v>7.7404487637312602</v>
      </c>
      <c r="U49" s="59">
        <f ca="1">U22*参数输入表!$H$343</f>
        <v>7.7056167442944803</v>
      </c>
      <c r="V49" s="59">
        <f ca="1">V22*参数输入表!$H$343</f>
        <v>7.6709414689451396</v>
      </c>
      <c r="W49" s="59">
        <f ca="1">W22*参数输入表!$H$343</f>
        <v>7.6364222323349003</v>
      </c>
      <c r="X49" s="59">
        <f ca="1">X22*参数输入表!$H$343</f>
        <v>7.6020583322894009</v>
      </c>
      <c r="Y49" s="59">
        <f ca="1">Y22*参数输入表!$H$343</f>
        <v>7.5678490697940797</v>
      </c>
      <c r="Z49" s="59">
        <f ca="1">Z22*参数输入表!$H$343</f>
        <v>7.5337937489800195</v>
      </c>
      <c r="AA49" s="59">
        <f ca="1">AA22*参数输入表!$H$343</f>
        <v>7.4998916771096003</v>
      </c>
      <c r="AB49" s="59">
        <f ca="1">AB22*参数输入表!$H$343</f>
        <v>7.4661421645626209</v>
      </c>
      <c r="AC49" s="59">
        <f ca="1">AC22*参数输入表!$H$343</f>
        <v>7.4325445248220801</v>
      </c>
      <c r="AD49" s="59">
        <f ca="1">AD22*参数输入表!$H$343</f>
        <v>7.3990980744603805</v>
      </c>
      <c r="AE49" s="59">
        <f ca="1">AE22*参数输入表!$H$343</f>
        <v>7.3658021331253201</v>
      </c>
      <c r="AF49" s="59">
        <f ca="1">AF22*参数输入表!$H$343</f>
        <v>7.3326560235262406</v>
      </c>
    </row>
    <row r="50" spans="2:32">
      <c r="B50" s="86">
        <v>7</v>
      </c>
      <c r="C50" s="139" t="s">
        <v>299</v>
      </c>
      <c r="D50" s="117">
        <f t="shared" si="17"/>
        <v>0</v>
      </c>
      <c r="E50" s="56" t="s">
        <v>111</v>
      </c>
      <c r="F50" s="59"/>
      <c r="G50" s="59"/>
      <c r="H50" s="55">
        <f>参数输入表!$H$345*参数输入表!$H$346/10000</f>
        <v>0</v>
      </c>
      <c r="I50" s="55">
        <f>参数输入表!$H$345*参数输入表!$H$346/10000</f>
        <v>0</v>
      </c>
      <c r="J50" s="55">
        <f>参数输入表!$H$345*参数输入表!$H$346/10000</f>
        <v>0</v>
      </c>
      <c r="K50" s="55">
        <f>参数输入表!$H$345*参数输入表!$H$346/10000</f>
        <v>0</v>
      </c>
      <c r="L50" s="55">
        <f>参数输入表!$H$345*参数输入表!$H$346/10000</f>
        <v>0</v>
      </c>
      <c r="M50" s="55">
        <f>参数输入表!$H$345*参数输入表!$H$346/10000</f>
        <v>0</v>
      </c>
      <c r="N50" s="55">
        <f>参数输入表!$H$345*参数输入表!$H$346/10000</f>
        <v>0</v>
      </c>
      <c r="O50" s="55">
        <f>参数输入表!$H$345*参数输入表!$H$346/10000</f>
        <v>0</v>
      </c>
      <c r="P50" s="55">
        <f>参数输入表!$H$345*参数输入表!$H$346/10000</f>
        <v>0</v>
      </c>
      <c r="Q50" s="55">
        <f>参数输入表!$H$345*参数输入表!$H$346/10000</f>
        <v>0</v>
      </c>
      <c r="R50" s="55">
        <f>参数输入表!$H$345*参数输入表!$H$346/10000</f>
        <v>0</v>
      </c>
      <c r="S50" s="55">
        <f>参数输入表!$H$345*参数输入表!$H$346/10000</f>
        <v>0</v>
      </c>
      <c r="T50" s="55">
        <f>参数输入表!$H$345*参数输入表!$H$346/10000</f>
        <v>0</v>
      </c>
      <c r="U50" s="55">
        <f>参数输入表!$H$345*参数输入表!$H$346/10000</f>
        <v>0</v>
      </c>
      <c r="V50" s="55">
        <f>参数输入表!$H$345*参数输入表!$H$346/10000</f>
        <v>0</v>
      </c>
      <c r="W50" s="55">
        <f>参数输入表!$H$345*参数输入表!$H$346/10000</f>
        <v>0</v>
      </c>
      <c r="X50" s="55">
        <f>参数输入表!$H$345*参数输入表!$H$346/10000</f>
        <v>0</v>
      </c>
      <c r="Y50" s="55">
        <f>参数输入表!$H$345*参数输入表!$H$346/10000</f>
        <v>0</v>
      </c>
      <c r="Z50" s="55">
        <f>参数输入表!$H$345*参数输入表!$H$346/10000</f>
        <v>0</v>
      </c>
      <c r="AA50" s="55">
        <f>参数输入表!$H$345*参数输入表!$H$346/10000</f>
        <v>0</v>
      </c>
      <c r="AB50" s="55">
        <f>参数输入表!$H$345*参数输入表!$H$346/10000</f>
        <v>0</v>
      </c>
      <c r="AC50" s="55">
        <f>参数输入表!$H$345*参数输入表!$H$346/10000</f>
        <v>0</v>
      </c>
      <c r="AD50" s="55">
        <f>参数输入表!$H$345*参数输入表!$H$346/10000</f>
        <v>0</v>
      </c>
      <c r="AE50" s="55">
        <f>参数输入表!$H$345*参数输入表!$H$346/10000</f>
        <v>0</v>
      </c>
      <c r="AF50" s="55">
        <f>参数输入表!$H$345*参数输入表!$H$346/10000</f>
        <v>0</v>
      </c>
    </row>
    <row r="51" spans="2:32">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row>
    <row r="53" spans="2:32" ht="19">
      <c r="C53" s="163" t="s">
        <v>445</v>
      </c>
    </row>
    <row r="54" spans="2:32" ht="19">
      <c r="C54" s="163" t="s">
        <v>412</v>
      </c>
    </row>
    <row r="55" spans="2:32" ht="19">
      <c r="C55" s="163" t="s">
        <v>446</v>
      </c>
    </row>
    <row r="56" spans="2:32" ht="24" customHeight="1">
      <c r="B56" s="50" t="s">
        <v>447</v>
      </c>
    </row>
    <row r="57" spans="2:32">
      <c r="B57" s="357" t="s">
        <v>14</v>
      </c>
      <c r="C57" s="357" t="s">
        <v>323</v>
      </c>
      <c r="D57" s="357" t="s">
        <v>311</v>
      </c>
      <c r="E57" s="357" t="s">
        <v>39</v>
      </c>
      <c r="F57" s="356" t="s">
        <v>43</v>
      </c>
      <c r="G57" s="356"/>
      <c r="H57" s="356" t="s">
        <v>54</v>
      </c>
      <c r="I57" s="356"/>
      <c r="J57" s="356"/>
      <c r="K57" s="356"/>
      <c r="L57" s="356"/>
      <c r="M57" s="356"/>
      <c r="N57" s="356"/>
      <c r="O57" s="356"/>
      <c r="P57" s="356"/>
      <c r="Q57" s="356"/>
      <c r="R57" s="356"/>
      <c r="S57" s="356"/>
      <c r="T57" s="356"/>
      <c r="U57" s="356"/>
      <c r="V57" s="356"/>
      <c r="W57" s="356"/>
      <c r="X57" s="356"/>
      <c r="Y57" s="356"/>
      <c r="Z57" s="356"/>
      <c r="AA57" s="356"/>
      <c r="AB57" s="356"/>
      <c r="AC57" s="356"/>
      <c r="AD57" s="356"/>
      <c r="AE57" s="356"/>
      <c r="AF57" s="356"/>
    </row>
    <row r="58" spans="2:32">
      <c r="B58" s="358"/>
      <c r="C58" s="358"/>
      <c r="D58" s="358"/>
      <c r="E58" s="358"/>
      <c r="F58" s="164">
        <v>1</v>
      </c>
      <c r="G58" s="164">
        <v>2</v>
      </c>
      <c r="H58" s="164">
        <v>1</v>
      </c>
      <c r="I58" s="164">
        <v>2</v>
      </c>
      <c r="J58" s="164">
        <v>3</v>
      </c>
      <c r="K58" s="164">
        <v>4</v>
      </c>
      <c r="L58" s="164">
        <v>5</v>
      </c>
      <c r="M58" s="164">
        <v>6</v>
      </c>
      <c r="N58" s="164">
        <v>7</v>
      </c>
      <c r="O58" s="164">
        <v>8</v>
      </c>
      <c r="P58" s="164">
        <v>9</v>
      </c>
      <c r="Q58" s="164">
        <v>10</v>
      </c>
      <c r="R58" s="164">
        <v>11</v>
      </c>
      <c r="S58" s="164">
        <v>12</v>
      </c>
      <c r="T58" s="164">
        <v>13</v>
      </c>
      <c r="U58" s="164">
        <v>14</v>
      </c>
      <c r="V58" s="164">
        <v>15</v>
      </c>
      <c r="W58" s="164">
        <v>16</v>
      </c>
      <c r="X58" s="164">
        <v>17</v>
      </c>
      <c r="Y58" s="164">
        <v>18</v>
      </c>
      <c r="Z58" s="164">
        <v>19</v>
      </c>
      <c r="AA58" s="164">
        <v>20</v>
      </c>
      <c r="AB58" s="164">
        <v>21</v>
      </c>
      <c r="AC58" s="164">
        <v>22</v>
      </c>
      <c r="AD58" s="164">
        <v>23</v>
      </c>
      <c r="AE58" s="164">
        <v>24</v>
      </c>
      <c r="AF58" s="164">
        <v>25</v>
      </c>
    </row>
    <row r="59" spans="2:32">
      <c r="B59" s="164" t="s">
        <v>344</v>
      </c>
      <c r="C59" s="166" t="s">
        <v>324</v>
      </c>
      <c r="D59" s="167"/>
      <c r="E59" s="168" t="s">
        <v>111</v>
      </c>
      <c r="F59" s="115">
        <f>SUM(F60:F63)</f>
        <v>0</v>
      </c>
      <c r="G59" s="115">
        <f t="shared" ref="G59:AF59" si="19">SUM(G60:G63)</f>
        <v>0</v>
      </c>
      <c r="H59" s="115">
        <f t="shared" si="19"/>
        <v>0</v>
      </c>
      <c r="I59" s="115">
        <f t="shared" si="19"/>
        <v>0</v>
      </c>
      <c r="J59" s="115">
        <f t="shared" si="19"/>
        <v>0</v>
      </c>
      <c r="K59" s="115">
        <f t="shared" si="19"/>
        <v>0</v>
      </c>
      <c r="L59" s="115">
        <f t="shared" si="19"/>
        <v>0</v>
      </c>
      <c r="M59" s="115">
        <f t="shared" si="19"/>
        <v>0</v>
      </c>
      <c r="N59" s="115">
        <f t="shared" si="19"/>
        <v>0</v>
      </c>
      <c r="O59" s="115">
        <f t="shared" si="19"/>
        <v>0</v>
      </c>
      <c r="P59" s="115">
        <f t="shared" si="19"/>
        <v>0</v>
      </c>
      <c r="Q59" s="115">
        <f t="shared" si="19"/>
        <v>0</v>
      </c>
      <c r="R59" s="115">
        <f t="shared" si="19"/>
        <v>0</v>
      </c>
      <c r="S59" s="115">
        <f t="shared" si="19"/>
        <v>0</v>
      </c>
      <c r="T59" s="115">
        <f t="shared" si="19"/>
        <v>0</v>
      </c>
      <c r="U59" s="115">
        <f t="shared" si="19"/>
        <v>0</v>
      </c>
      <c r="V59" s="115">
        <f t="shared" si="19"/>
        <v>0</v>
      </c>
      <c r="W59" s="115">
        <f t="shared" si="19"/>
        <v>0</v>
      </c>
      <c r="X59" s="115">
        <f t="shared" si="19"/>
        <v>0</v>
      </c>
      <c r="Y59" s="115">
        <f t="shared" si="19"/>
        <v>0</v>
      </c>
      <c r="Z59" s="115">
        <f t="shared" si="19"/>
        <v>0</v>
      </c>
      <c r="AA59" s="115">
        <f t="shared" si="19"/>
        <v>0</v>
      </c>
      <c r="AB59" s="115">
        <f t="shared" si="19"/>
        <v>0</v>
      </c>
      <c r="AC59" s="115">
        <f t="shared" si="19"/>
        <v>0</v>
      </c>
      <c r="AD59" s="115">
        <f t="shared" si="19"/>
        <v>0</v>
      </c>
      <c r="AE59" s="115">
        <f t="shared" si="19"/>
        <v>0</v>
      </c>
      <c r="AF59" s="115">
        <f t="shared" si="19"/>
        <v>0</v>
      </c>
    </row>
    <row r="60" spans="2:32">
      <c r="B60" s="168">
        <v>1.1000000000000001</v>
      </c>
      <c r="C60" s="146" t="s">
        <v>326</v>
      </c>
      <c r="D60" s="167"/>
      <c r="E60" s="168" t="s">
        <v>111</v>
      </c>
      <c r="F60" s="115"/>
      <c r="G60" s="115"/>
      <c r="H60" s="115">
        <f>('表4-收入税金表'!H6+'表4-收入税金表'!H24)*(1-100%)+('表4-收入税金表'!H16+'表4-收入税金表'!H25)*(1-100%)</f>
        <v>0</v>
      </c>
      <c r="I60" s="115">
        <f>('表4-收入税金表'!I6+'表4-收入税金表'!I24)*(1-100%)+('表4-收入税金表'!I16+'表4-收入税金表'!I25)*(1-100%)</f>
        <v>0</v>
      </c>
      <c r="J60" s="115">
        <f>('表4-收入税金表'!J6+'表4-收入税金表'!J24)*(1-100%)+('表4-收入税金表'!J16+'表4-收入税金表'!J25)*(1-100%)</f>
        <v>0</v>
      </c>
      <c r="K60" s="115">
        <f>('表4-收入税金表'!K6+'表4-收入税金表'!K24)*(1-100%)+('表4-收入税金表'!K16+'表4-收入税金表'!K25)*(1-100%)</f>
        <v>0</v>
      </c>
      <c r="L60" s="115">
        <f>('表4-收入税金表'!L6+'表4-收入税金表'!L24)*(1-100%)+('表4-收入税金表'!L16+'表4-收入税金表'!L25)*(1-100%)</f>
        <v>0</v>
      </c>
      <c r="M60" s="115">
        <f>('表4-收入税金表'!M6+'表4-收入税金表'!M24)*(1-100%)+('表4-收入税金表'!M16+'表4-收入税金表'!M25)*(1-100%)</f>
        <v>0</v>
      </c>
      <c r="N60" s="115">
        <f>('表4-收入税金表'!N6+'表4-收入税金表'!N24)*(1-100%)+('表4-收入税金表'!N16+'表4-收入税金表'!N25)*(1-100%)</f>
        <v>0</v>
      </c>
      <c r="O60" s="115">
        <f>('表4-收入税金表'!O6+'表4-收入税金表'!O24)*(1-100%)+('表4-收入税金表'!O16+'表4-收入税金表'!O25)*(1-100%)</f>
        <v>0</v>
      </c>
      <c r="P60" s="115">
        <f>('表4-收入税金表'!P6+'表4-收入税金表'!P24)*(1-100%)+('表4-收入税金表'!P16+'表4-收入税金表'!P25)*(1-100%)</f>
        <v>0</v>
      </c>
      <c r="Q60" s="115">
        <f>('表4-收入税金表'!Q6+'表4-收入税金表'!Q24)*(1-100%)+('表4-收入税金表'!Q16+'表4-收入税金表'!Q25)*(1-100%)</f>
        <v>0</v>
      </c>
      <c r="R60" s="115">
        <f>('表4-收入税金表'!R6+'表4-收入税金表'!R24)*(1-100%)+('表4-收入税金表'!R16+'表4-收入税金表'!R25)*(1-100%)</f>
        <v>0</v>
      </c>
      <c r="S60" s="115">
        <f>('表4-收入税金表'!S6+'表4-收入税金表'!S24)*(1-100%)+('表4-收入税金表'!S16+'表4-收入税金表'!S25)*(1-100%)</f>
        <v>0</v>
      </c>
      <c r="T60" s="115">
        <f>('表4-收入税金表'!T6+'表4-收入税金表'!T24)*(1-100%)+('表4-收入税金表'!T16+'表4-收入税金表'!T25)*(1-100%)</f>
        <v>0</v>
      </c>
      <c r="U60" s="115">
        <f>('表4-收入税金表'!U6+'表4-收入税金表'!U24)*(1-100%)+('表4-收入税金表'!U16+'表4-收入税金表'!U25)*(1-100%)</f>
        <v>0</v>
      </c>
      <c r="V60" s="115">
        <f>('表4-收入税金表'!V6+'表4-收入税金表'!V24)*(1-100%)+('表4-收入税金表'!V16+'表4-收入税金表'!V25)*(1-100%)</f>
        <v>0</v>
      </c>
      <c r="W60" s="115">
        <f>('表4-收入税金表'!W6+'表4-收入税金表'!W24)*(1-100%)+('表4-收入税金表'!W16+'表4-收入税金表'!W25)*(1-100%)</f>
        <v>0</v>
      </c>
      <c r="X60" s="115">
        <f>('表4-收入税金表'!X6+'表4-收入税金表'!X24)*(1-100%)+('表4-收入税金表'!X16+'表4-收入税金表'!X25)*(1-100%)</f>
        <v>0</v>
      </c>
      <c r="Y60" s="115">
        <f>('表4-收入税金表'!Y6+'表4-收入税金表'!Y24)*(1-100%)+('表4-收入税金表'!Y16+'表4-收入税金表'!Y25)*(1-100%)</f>
        <v>0</v>
      </c>
      <c r="Z60" s="115">
        <f>('表4-收入税金表'!Z6+'表4-收入税金表'!Z24)*(1-100%)+('表4-收入税金表'!Z16+'表4-收入税金表'!Z25)*(1-100%)</f>
        <v>0</v>
      </c>
      <c r="AA60" s="115">
        <f>('表4-收入税金表'!AA6+'表4-收入税金表'!AA24)*(1-100%)+('表4-收入税金表'!AA16+'表4-收入税金表'!AA25)*(1-100%)</f>
        <v>0</v>
      </c>
      <c r="AB60" s="115">
        <f>('表4-收入税金表'!AB6+'表4-收入税金表'!AB24)*(1-100%)+('表4-收入税金表'!AB16+'表4-收入税金表'!AB25)*(1-100%)</f>
        <v>0</v>
      </c>
      <c r="AC60" s="115">
        <f>('表4-收入税金表'!AC6+'表4-收入税金表'!AC24)*(1-100%)+('表4-收入税金表'!AC16+'表4-收入税金表'!AC25)*(1-100%)</f>
        <v>0</v>
      </c>
      <c r="AD60" s="115">
        <f>('表4-收入税金表'!AD6+'表4-收入税金表'!AD24)*(1-100%)+('表4-收入税金表'!AD16+'表4-收入税金表'!AD25)*(1-100%)</f>
        <v>0</v>
      </c>
      <c r="AE60" s="115">
        <f>('表4-收入税金表'!AE6+'表4-收入税金表'!AE24)*(1-100%)+('表4-收入税金表'!AE16+'表4-收入税金表'!AE25)*(1-100%)</f>
        <v>0</v>
      </c>
      <c r="AF60" s="115">
        <f>('表4-收入税金表'!AF6+'表4-收入税金表'!AF24)*(1-100%)+('表4-收入税金表'!AF16+'表4-收入税金表'!AF25)*(1-100%)</f>
        <v>0</v>
      </c>
    </row>
    <row r="61" spans="2:32">
      <c r="B61" s="168">
        <v>1.2</v>
      </c>
      <c r="C61" s="146" t="s">
        <v>327</v>
      </c>
      <c r="D61" s="167"/>
      <c r="E61" s="168" t="s">
        <v>111</v>
      </c>
      <c r="F61" s="115"/>
      <c r="G61" s="115"/>
      <c r="H61" s="115"/>
      <c r="I61" s="115"/>
      <c r="J61" s="115"/>
      <c r="K61" s="115"/>
      <c r="L61" s="115"/>
      <c r="M61" s="115"/>
      <c r="N61" s="115"/>
      <c r="O61" s="115"/>
      <c r="P61" s="115"/>
      <c r="Q61" s="115"/>
      <c r="R61" s="115"/>
      <c r="S61" s="115"/>
      <c r="T61" s="115"/>
      <c r="U61" s="115"/>
      <c r="V61" s="115"/>
      <c r="W61" s="115"/>
      <c r="X61" s="115"/>
      <c r="Y61" s="115"/>
      <c r="Z61" s="115"/>
      <c r="AA61" s="115"/>
      <c r="AB61" s="115"/>
      <c r="AC61" s="115"/>
      <c r="AD61" s="115"/>
      <c r="AE61" s="115"/>
      <c r="AF61" s="115"/>
    </row>
    <row r="62" spans="2:32">
      <c r="B62" s="168">
        <v>1.3</v>
      </c>
      <c r="C62" s="146" t="s">
        <v>448</v>
      </c>
      <c r="D62" s="167"/>
      <c r="E62" s="168" t="s">
        <v>111</v>
      </c>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row>
    <row r="63" spans="2:32">
      <c r="B63" s="168">
        <v>1.4</v>
      </c>
      <c r="C63" s="146" t="s">
        <v>449</v>
      </c>
      <c r="D63" s="167"/>
      <c r="E63" s="168" t="s">
        <v>111</v>
      </c>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row>
    <row r="64" spans="2:32">
      <c r="B64" s="164" t="s">
        <v>345</v>
      </c>
      <c r="C64" s="166" t="s">
        <v>329</v>
      </c>
      <c r="D64" s="167"/>
      <c r="E64" s="168" t="s">
        <v>111</v>
      </c>
      <c r="F64" s="115">
        <f>SUM(F65:F66)</f>
        <v>0</v>
      </c>
      <c r="G64" s="115">
        <f t="shared" ref="G64:AF64" si="20">SUM(G65:G66)</f>
        <v>0</v>
      </c>
      <c r="H64" s="115">
        <f t="shared" si="20"/>
        <v>0</v>
      </c>
      <c r="I64" s="115">
        <f t="shared" si="20"/>
        <v>0</v>
      </c>
      <c r="J64" s="115">
        <f t="shared" si="20"/>
        <v>0</v>
      </c>
      <c r="K64" s="115">
        <f t="shared" si="20"/>
        <v>0</v>
      </c>
      <c r="L64" s="115">
        <f t="shared" si="20"/>
        <v>0</v>
      </c>
      <c r="M64" s="115">
        <f t="shared" si="20"/>
        <v>0</v>
      </c>
      <c r="N64" s="115">
        <f t="shared" si="20"/>
        <v>0</v>
      </c>
      <c r="O64" s="115">
        <f t="shared" si="20"/>
        <v>0</v>
      </c>
      <c r="P64" s="115">
        <f t="shared" si="20"/>
        <v>0</v>
      </c>
      <c r="Q64" s="115">
        <f t="shared" si="20"/>
        <v>0</v>
      </c>
      <c r="R64" s="115">
        <f t="shared" si="20"/>
        <v>0</v>
      </c>
      <c r="S64" s="115">
        <f t="shared" si="20"/>
        <v>0</v>
      </c>
      <c r="T64" s="115">
        <f t="shared" si="20"/>
        <v>0</v>
      </c>
      <c r="U64" s="115">
        <f t="shared" si="20"/>
        <v>0</v>
      </c>
      <c r="V64" s="115">
        <f t="shared" si="20"/>
        <v>0</v>
      </c>
      <c r="W64" s="115">
        <f t="shared" si="20"/>
        <v>0</v>
      </c>
      <c r="X64" s="115">
        <f t="shared" si="20"/>
        <v>0</v>
      </c>
      <c r="Y64" s="115">
        <f t="shared" si="20"/>
        <v>0</v>
      </c>
      <c r="Z64" s="115">
        <f t="shared" si="20"/>
        <v>0</v>
      </c>
      <c r="AA64" s="115">
        <f t="shared" si="20"/>
        <v>0</v>
      </c>
      <c r="AB64" s="115">
        <f t="shared" si="20"/>
        <v>0</v>
      </c>
      <c r="AC64" s="115">
        <f t="shared" si="20"/>
        <v>0</v>
      </c>
      <c r="AD64" s="115">
        <f t="shared" si="20"/>
        <v>0</v>
      </c>
      <c r="AE64" s="115">
        <f t="shared" si="20"/>
        <v>0</v>
      </c>
      <c r="AF64" s="115">
        <f t="shared" si="20"/>
        <v>0</v>
      </c>
    </row>
    <row r="65" spans="2:32">
      <c r="B65" s="168">
        <v>2.1</v>
      </c>
      <c r="C65" s="146" t="s">
        <v>450</v>
      </c>
      <c r="D65" s="167"/>
      <c r="E65" s="168" t="s">
        <v>111</v>
      </c>
      <c r="F65" s="115"/>
      <c r="G65" s="115"/>
      <c r="H65" s="115"/>
      <c r="I65" s="115"/>
      <c r="J65" s="115"/>
      <c r="K65" s="115"/>
      <c r="L65" s="115"/>
      <c r="M65" s="115"/>
      <c r="N65" s="115"/>
      <c r="O65" s="115"/>
      <c r="P65" s="115"/>
      <c r="Q65" s="115"/>
      <c r="R65" s="115"/>
      <c r="S65" s="115"/>
      <c r="T65" s="115"/>
      <c r="U65" s="115"/>
      <c r="V65" s="115"/>
      <c r="W65" s="115"/>
      <c r="X65" s="115"/>
      <c r="Y65" s="115"/>
      <c r="Z65" s="115"/>
      <c r="AA65" s="115"/>
      <c r="AB65" s="115"/>
      <c r="AC65" s="115"/>
      <c r="AD65" s="115"/>
      <c r="AE65" s="115"/>
      <c r="AF65" s="115"/>
    </row>
    <row r="66" spans="2:32">
      <c r="B66" s="168">
        <v>2.2000000000000002</v>
      </c>
      <c r="C66" s="146" t="s">
        <v>451</v>
      </c>
      <c r="D66" s="167"/>
      <c r="E66" s="168" t="s">
        <v>111</v>
      </c>
      <c r="F66" s="115"/>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row>
    <row r="67" spans="2:32">
      <c r="B67" s="164" t="s">
        <v>346</v>
      </c>
      <c r="C67" s="166" t="s">
        <v>29</v>
      </c>
      <c r="D67" s="167"/>
      <c r="E67" s="168" t="s">
        <v>111</v>
      </c>
      <c r="F67" s="115">
        <f>F59-F64</f>
        <v>0</v>
      </c>
      <c r="G67" s="115">
        <f t="shared" ref="G67:AF67" si="21">G59-G64</f>
        <v>0</v>
      </c>
      <c r="H67" s="115">
        <f t="shared" si="21"/>
        <v>0</v>
      </c>
      <c r="I67" s="115">
        <f t="shared" si="21"/>
        <v>0</v>
      </c>
      <c r="J67" s="115">
        <f t="shared" si="21"/>
        <v>0</v>
      </c>
      <c r="K67" s="115">
        <f t="shared" si="21"/>
        <v>0</v>
      </c>
      <c r="L67" s="115">
        <f t="shared" si="21"/>
        <v>0</v>
      </c>
      <c r="M67" s="115">
        <f t="shared" si="21"/>
        <v>0</v>
      </c>
      <c r="N67" s="115">
        <f t="shared" si="21"/>
        <v>0</v>
      </c>
      <c r="O67" s="115">
        <f t="shared" si="21"/>
        <v>0</v>
      </c>
      <c r="P67" s="115">
        <f t="shared" si="21"/>
        <v>0</v>
      </c>
      <c r="Q67" s="115">
        <f t="shared" si="21"/>
        <v>0</v>
      </c>
      <c r="R67" s="115">
        <f t="shared" si="21"/>
        <v>0</v>
      </c>
      <c r="S67" s="115">
        <f t="shared" si="21"/>
        <v>0</v>
      </c>
      <c r="T67" s="115">
        <f t="shared" si="21"/>
        <v>0</v>
      </c>
      <c r="U67" s="115">
        <f t="shared" si="21"/>
        <v>0</v>
      </c>
      <c r="V67" s="115">
        <f t="shared" si="21"/>
        <v>0</v>
      </c>
      <c r="W67" s="115">
        <f t="shared" si="21"/>
        <v>0</v>
      </c>
      <c r="X67" s="115">
        <f t="shared" si="21"/>
        <v>0</v>
      </c>
      <c r="Y67" s="115">
        <f t="shared" si="21"/>
        <v>0</v>
      </c>
      <c r="Z67" s="115">
        <f t="shared" si="21"/>
        <v>0</v>
      </c>
      <c r="AA67" s="115">
        <f t="shared" si="21"/>
        <v>0</v>
      </c>
      <c r="AB67" s="115">
        <f t="shared" si="21"/>
        <v>0</v>
      </c>
      <c r="AC67" s="115">
        <f t="shared" si="21"/>
        <v>0</v>
      </c>
      <c r="AD67" s="115">
        <f t="shared" si="21"/>
        <v>0</v>
      </c>
      <c r="AE67" s="115">
        <f t="shared" si="21"/>
        <v>0</v>
      </c>
      <c r="AF67" s="115">
        <f t="shared" si="21"/>
        <v>0</v>
      </c>
    </row>
    <row r="68" spans="2:32">
      <c r="B68" s="164" t="s">
        <v>348</v>
      </c>
      <c r="C68" s="166" t="s">
        <v>452</v>
      </c>
      <c r="D68" s="115"/>
      <c r="E68" s="168" t="s">
        <v>111</v>
      </c>
      <c r="F68" s="115">
        <f>F67</f>
        <v>0</v>
      </c>
      <c r="G68" s="115">
        <f>G67-F67</f>
        <v>0</v>
      </c>
      <c r="H68" s="115">
        <f t="shared" ref="H68:AF68" si="22">H67-G67</f>
        <v>0</v>
      </c>
      <c r="I68" s="115">
        <f t="shared" si="22"/>
        <v>0</v>
      </c>
      <c r="J68" s="115">
        <f t="shared" si="22"/>
        <v>0</v>
      </c>
      <c r="K68" s="115">
        <f t="shared" si="22"/>
        <v>0</v>
      </c>
      <c r="L68" s="115">
        <f t="shared" si="22"/>
        <v>0</v>
      </c>
      <c r="M68" s="115">
        <f t="shared" si="22"/>
        <v>0</v>
      </c>
      <c r="N68" s="115">
        <f t="shared" si="22"/>
        <v>0</v>
      </c>
      <c r="O68" s="115">
        <f t="shared" si="22"/>
        <v>0</v>
      </c>
      <c r="P68" s="115">
        <f t="shared" si="22"/>
        <v>0</v>
      </c>
      <c r="Q68" s="115">
        <f t="shared" si="22"/>
        <v>0</v>
      </c>
      <c r="R68" s="115">
        <f t="shared" si="22"/>
        <v>0</v>
      </c>
      <c r="S68" s="115">
        <f t="shared" si="22"/>
        <v>0</v>
      </c>
      <c r="T68" s="115">
        <f t="shared" si="22"/>
        <v>0</v>
      </c>
      <c r="U68" s="115">
        <f t="shared" si="22"/>
        <v>0</v>
      </c>
      <c r="V68" s="115">
        <f t="shared" si="22"/>
        <v>0</v>
      </c>
      <c r="W68" s="115">
        <f t="shared" si="22"/>
        <v>0</v>
      </c>
      <c r="X68" s="115">
        <f t="shared" si="22"/>
        <v>0</v>
      </c>
      <c r="Y68" s="115">
        <f t="shared" si="22"/>
        <v>0</v>
      </c>
      <c r="Z68" s="115">
        <f t="shared" si="22"/>
        <v>0</v>
      </c>
      <c r="AA68" s="115">
        <f t="shared" si="22"/>
        <v>0</v>
      </c>
      <c r="AB68" s="115">
        <f t="shared" si="22"/>
        <v>0</v>
      </c>
      <c r="AC68" s="115">
        <f t="shared" si="22"/>
        <v>0</v>
      </c>
      <c r="AD68" s="115">
        <f t="shared" si="22"/>
        <v>0</v>
      </c>
      <c r="AE68" s="115">
        <f t="shared" si="22"/>
        <v>0</v>
      </c>
      <c r="AF68" s="115">
        <f t="shared" si="22"/>
        <v>0</v>
      </c>
    </row>
    <row r="70" spans="2:32">
      <c r="C70" s="46" t="s">
        <v>453</v>
      </c>
    </row>
    <row r="71" spans="2:32">
      <c r="C71" s="46" t="s">
        <v>454</v>
      </c>
    </row>
    <row r="79" spans="2:32">
      <c r="E79" s="169"/>
    </row>
    <row r="80" spans="2:32">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c r="AA80" s="170"/>
      <c r="AB80" s="170"/>
      <c r="AC80" s="170"/>
      <c r="AD80" s="170"/>
      <c r="AE80" s="170"/>
    </row>
    <row r="81" spans="3:3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c r="AA81" s="171"/>
      <c r="AB81" s="171"/>
      <c r="AC81" s="171"/>
      <c r="AD81" s="171"/>
      <c r="AE81" s="171"/>
    </row>
  </sheetData>
  <mergeCells count="12">
    <mergeCell ref="F3:G3"/>
    <mergeCell ref="H3:AF3"/>
    <mergeCell ref="F57:G57"/>
    <mergeCell ref="H57:AF57"/>
    <mergeCell ref="B3:B4"/>
    <mergeCell ref="B57:B58"/>
    <mergeCell ref="C3:C4"/>
    <mergeCell ref="C57:C58"/>
    <mergeCell ref="D3:D4"/>
    <mergeCell ref="D57:D58"/>
    <mergeCell ref="E3:E4"/>
    <mergeCell ref="E57:E58"/>
  </mergeCells>
  <phoneticPr fontId="51"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F41"/>
  <sheetViews>
    <sheetView showGridLines="0" topLeftCell="A3" zoomScale="50" zoomScaleNormal="50" workbookViewId="0">
      <selection activeCell="H14" sqref="H14"/>
    </sheetView>
  </sheetViews>
  <sheetFormatPr defaultColWidth="8.81640625" defaultRowHeight="16.5"/>
  <cols>
    <col min="1" max="1" width="2.36328125" style="74" customWidth="1"/>
    <col min="2" max="2" width="8.81640625" style="74"/>
    <col min="3" max="3" width="35" style="74" customWidth="1"/>
    <col min="4" max="4" width="17.36328125" style="74" customWidth="1"/>
    <col min="5" max="5" width="10.81640625" style="74" customWidth="1"/>
    <col min="6" max="32" width="12.453125" style="74" customWidth="1"/>
    <col min="33" max="16384" width="8.81640625" style="74"/>
  </cols>
  <sheetData>
    <row r="1" spans="2:32" ht="8.5" customHeight="1"/>
    <row r="2" spans="2:32" ht="18.649999999999999" customHeight="1">
      <c r="B2" s="50" t="s">
        <v>455</v>
      </c>
    </row>
    <row r="3" spans="2:32">
      <c r="B3" s="354" t="s">
        <v>14</v>
      </c>
      <c r="C3" s="354" t="s">
        <v>323</v>
      </c>
      <c r="D3" s="354" t="s">
        <v>311</v>
      </c>
      <c r="E3" s="354" t="s">
        <v>39</v>
      </c>
      <c r="F3" s="342" t="s">
        <v>43</v>
      </c>
      <c r="G3" s="342"/>
      <c r="H3" s="343" t="s">
        <v>54</v>
      </c>
      <c r="I3" s="343"/>
      <c r="J3" s="343"/>
      <c r="K3" s="343"/>
      <c r="L3" s="343"/>
      <c r="M3" s="343"/>
      <c r="N3" s="343"/>
      <c r="O3" s="343"/>
      <c r="P3" s="343"/>
      <c r="Q3" s="343"/>
      <c r="R3" s="343"/>
      <c r="S3" s="343"/>
      <c r="T3" s="343"/>
      <c r="U3" s="343"/>
      <c r="V3" s="343"/>
      <c r="W3" s="343"/>
      <c r="X3" s="343"/>
      <c r="Y3" s="343"/>
      <c r="Z3" s="343"/>
      <c r="AA3" s="343"/>
      <c r="AB3" s="343"/>
      <c r="AC3" s="343"/>
      <c r="AD3" s="343"/>
      <c r="AE3" s="343"/>
      <c r="AF3" s="343"/>
    </row>
    <row r="4" spans="2:32">
      <c r="B4" s="355"/>
      <c r="C4" s="355"/>
      <c r="D4" s="355"/>
      <c r="E4" s="355"/>
      <c r="F4" s="51">
        <v>1</v>
      </c>
      <c r="G4" s="51">
        <v>2</v>
      </c>
      <c r="H4" s="52">
        <v>1</v>
      </c>
      <c r="I4" s="52">
        <v>2</v>
      </c>
      <c r="J4" s="52">
        <v>3</v>
      </c>
      <c r="K4" s="52">
        <v>4</v>
      </c>
      <c r="L4" s="52">
        <v>5</v>
      </c>
      <c r="M4" s="52">
        <v>6</v>
      </c>
      <c r="N4" s="52">
        <v>7</v>
      </c>
      <c r="O4" s="52">
        <v>8</v>
      </c>
      <c r="P4" s="52">
        <v>9</v>
      </c>
      <c r="Q4" s="52">
        <v>10</v>
      </c>
      <c r="R4" s="52">
        <v>11</v>
      </c>
      <c r="S4" s="52">
        <v>12</v>
      </c>
      <c r="T4" s="52">
        <v>13</v>
      </c>
      <c r="U4" s="52">
        <v>14</v>
      </c>
      <c r="V4" s="52">
        <v>15</v>
      </c>
      <c r="W4" s="52">
        <v>16</v>
      </c>
      <c r="X4" s="52">
        <v>17</v>
      </c>
      <c r="Y4" s="52">
        <v>18</v>
      </c>
      <c r="Z4" s="52">
        <v>19</v>
      </c>
      <c r="AA4" s="52">
        <v>20</v>
      </c>
      <c r="AB4" s="52">
        <v>21</v>
      </c>
      <c r="AC4" s="52">
        <v>22</v>
      </c>
      <c r="AD4" s="52">
        <v>23</v>
      </c>
      <c r="AE4" s="52">
        <v>24</v>
      </c>
      <c r="AF4" s="52">
        <v>25</v>
      </c>
    </row>
    <row r="5" spans="2:32">
      <c r="B5" s="99">
        <v>1</v>
      </c>
      <c r="C5" s="100" t="s">
        <v>456</v>
      </c>
      <c r="D5" s="101">
        <f t="shared" ref="D5:D34" si="0">SUM(F5:AF5)</f>
        <v>73734.758417673598</v>
      </c>
      <c r="E5" s="106" t="s">
        <v>111</v>
      </c>
      <c r="F5" s="53"/>
      <c r="G5" s="53"/>
      <c r="H5" s="137">
        <f>H6+H7</f>
        <v>2994.9374867256602</v>
      </c>
      <c r="I5" s="137">
        <f t="shared" ref="I5:AF5" si="1">I6+I7</f>
        <v>2981.4602680354001</v>
      </c>
      <c r="J5" s="137">
        <f t="shared" si="1"/>
        <v>2968.0436968292402</v>
      </c>
      <c r="K5" s="137">
        <f t="shared" si="1"/>
        <v>2954.68750019351</v>
      </c>
      <c r="L5" s="137">
        <f t="shared" si="1"/>
        <v>2941.3914064426399</v>
      </c>
      <c r="M5" s="137">
        <f t="shared" si="1"/>
        <v>3072.5852525830401</v>
      </c>
      <c r="N5" s="137">
        <f t="shared" si="1"/>
        <v>3058.75861894642</v>
      </c>
      <c r="O5" s="137">
        <f t="shared" si="1"/>
        <v>3044.9942051611602</v>
      </c>
      <c r="P5" s="137">
        <f t="shared" si="1"/>
        <v>3031.29173123793</v>
      </c>
      <c r="Q5" s="137">
        <f t="shared" si="1"/>
        <v>3017.6509184473598</v>
      </c>
      <c r="R5" s="137">
        <f t="shared" si="1"/>
        <v>3004.0714893143499</v>
      </c>
      <c r="S5" s="137">
        <f t="shared" si="1"/>
        <v>2990.5531676124301</v>
      </c>
      <c r="T5" s="137">
        <f t="shared" si="1"/>
        <v>2977.0956783581801</v>
      </c>
      <c r="U5" s="137">
        <f t="shared" si="1"/>
        <v>2963.6987478055698</v>
      </c>
      <c r="V5" s="137">
        <f t="shared" si="1"/>
        <v>2950.36210344044</v>
      </c>
      <c r="W5" s="137">
        <f t="shared" si="1"/>
        <v>2937.0854739749602</v>
      </c>
      <c r="X5" s="137">
        <f t="shared" si="1"/>
        <v>2923.8685893420702</v>
      </c>
      <c r="Y5" s="137">
        <f t="shared" si="1"/>
        <v>2910.7111806900298</v>
      </c>
      <c r="Z5" s="137">
        <f t="shared" si="1"/>
        <v>2897.61298037693</v>
      </c>
      <c r="AA5" s="137">
        <f t="shared" si="1"/>
        <v>2884.5737219652301</v>
      </c>
      <c r="AB5" s="137">
        <f t="shared" si="1"/>
        <v>2871.5931402163901</v>
      </c>
      <c r="AC5" s="137">
        <f t="shared" si="1"/>
        <v>2858.6709710854102</v>
      </c>
      <c r="AD5" s="137">
        <f t="shared" si="1"/>
        <v>2845.80695171553</v>
      </c>
      <c r="AE5" s="137">
        <f t="shared" si="1"/>
        <v>2833.0008204328101</v>
      </c>
      <c r="AF5" s="137">
        <f t="shared" si="1"/>
        <v>2820.2523167408599</v>
      </c>
    </row>
    <row r="6" spans="2:32">
      <c r="B6" s="103">
        <v>1.1000000000000001</v>
      </c>
      <c r="C6" s="104" t="s">
        <v>250</v>
      </c>
      <c r="D6" s="105">
        <f t="shared" si="0"/>
        <v>73734.758417673598</v>
      </c>
      <c r="E6" s="106" t="s">
        <v>111</v>
      </c>
      <c r="F6" s="59"/>
      <c r="G6" s="59"/>
      <c r="H6" s="59">
        <f>'表4-收入税金表'!H5</f>
        <v>2994.9374867256602</v>
      </c>
      <c r="I6" s="59">
        <f>'表4-收入税金表'!I5</f>
        <v>2981.4602680354001</v>
      </c>
      <c r="J6" s="59">
        <f>'表4-收入税金表'!J5</f>
        <v>2968.0436968292402</v>
      </c>
      <c r="K6" s="59">
        <f>'表4-收入税金表'!K5</f>
        <v>2954.68750019351</v>
      </c>
      <c r="L6" s="59">
        <f>'表4-收入税金表'!L5</f>
        <v>2941.3914064426399</v>
      </c>
      <c r="M6" s="59">
        <f>'表4-收入税金表'!M5</f>
        <v>3072.5852525830401</v>
      </c>
      <c r="N6" s="59">
        <f>'表4-收入税金表'!N5</f>
        <v>3058.75861894642</v>
      </c>
      <c r="O6" s="59">
        <f>'表4-收入税金表'!O5</f>
        <v>3044.9942051611602</v>
      </c>
      <c r="P6" s="59">
        <f>'表4-收入税金表'!P5</f>
        <v>3031.29173123793</v>
      </c>
      <c r="Q6" s="59">
        <f>'表4-收入税金表'!Q5</f>
        <v>3017.6509184473598</v>
      </c>
      <c r="R6" s="59">
        <f>'表4-收入税金表'!R5</f>
        <v>3004.0714893143499</v>
      </c>
      <c r="S6" s="59">
        <f>'表4-收入税金表'!S5</f>
        <v>2990.5531676124301</v>
      </c>
      <c r="T6" s="59">
        <f>'表4-收入税金表'!T5</f>
        <v>2977.0956783581801</v>
      </c>
      <c r="U6" s="59">
        <f>'表4-收入税金表'!U5</f>
        <v>2963.6987478055698</v>
      </c>
      <c r="V6" s="59">
        <f>'表4-收入税金表'!V5</f>
        <v>2950.36210344044</v>
      </c>
      <c r="W6" s="59">
        <f>'表4-收入税金表'!W5</f>
        <v>2937.0854739749602</v>
      </c>
      <c r="X6" s="59">
        <f>'表4-收入税金表'!X5</f>
        <v>2923.8685893420702</v>
      </c>
      <c r="Y6" s="59">
        <f>'表4-收入税金表'!Y5</f>
        <v>2910.7111806900298</v>
      </c>
      <c r="Z6" s="59">
        <f>'表4-收入税金表'!Z5</f>
        <v>2897.61298037693</v>
      </c>
      <c r="AA6" s="59">
        <f>'表4-收入税金表'!AA5</f>
        <v>2884.5737219652301</v>
      </c>
      <c r="AB6" s="59">
        <f>'表4-收入税金表'!AB5</f>
        <v>2871.5931402163901</v>
      </c>
      <c r="AC6" s="59">
        <f>'表4-收入税金表'!AC5</f>
        <v>2858.6709710854102</v>
      </c>
      <c r="AD6" s="59">
        <f>'表4-收入税金表'!AD5</f>
        <v>2845.80695171553</v>
      </c>
      <c r="AE6" s="59">
        <f>'表4-收入税金表'!AE5</f>
        <v>2833.0008204328101</v>
      </c>
      <c r="AF6" s="59">
        <f>'表4-收入税金表'!AF5</f>
        <v>2820.2523167408599</v>
      </c>
    </row>
    <row r="7" spans="2:32">
      <c r="B7" s="107">
        <v>1.2</v>
      </c>
      <c r="C7" s="108" t="s">
        <v>260</v>
      </c>
      <c r="D7" s="105">
        <f t="shared" si="0"/>
        <v>0</v>
      </c>
      <c r="E7" s="106" t="s">
        <v>111</v>
      </c>
      <c r="F7" s="59"/>
      <c r="G7" s="59"/>
      <c r="H7" s="59">
        <f>'表4-收入税金表'!H16</f>
        <v>0</v>
      </c>
      <c r="I7" s="59">
        <f>'表4-收入税金表'!I16</f>
        <v>0</v>
      </c>
      <c r="J7" s="59">
        <f>'表4-收入税金表'!J16</f>
        <v>0</v>
      </c>
      <c r="K7" s="59">
        <f>'表4-收入税金表'!K16</f>
        <v>0</v>
      </c>
      <c r="L7" s="59">
        <f>'表4-收入税金表'!L16</f>
        <v>0</v>
      </c>
      <c r="M7" s="59">
        <f>'表4-收入税金表'!M16</f>
        <v>0</v>
      </c>
      <c r="N7" s="59">
        <f>'表4-收入税金表'!N16</f>
        <v>0</v>
      </c>
      <c r="O7" s="59">
        <f>'表4-收入税金表'!O16</f>
        <v>0</v>
      </c>
      <c r="P7" s="59">
        <f>'表4-收入税金表'!P16</f>
        <v>0</v>
      </c>
      <c r="Q7" s="59">
        <f>'表4-收入税金表'!Q16</f>
        <v>0</v>
      </c>
      <c r="R7" s="59">
        <f>'表4-收入税金表'!R16</f>
        <v>0</v>
      </c>
      <c r="S7" s="59">
        <f>'表4-收入税金表'!S16</f>
        <v>0</v>
      </c>
      <c r="T7" s="59">
        <f>'表4-收入税金表'!T16</f>
        <v>0</v>
      </c>
      <c r="U7" s="59">
        <f>'表4-收入税金表'!U16</f>
        <v>0</v>
      </c>
      <c r="V7" s="59">
        <f>'表4-收入税金表'!V16</f>
        <v>0</v>
      </c>
      <c r="W7" s="59">
        <f>'表4-收入税金表'!W16</f>
        <v>0</v>
      </c>
      <c r="X7" s="59">
        <f>'表4-收入税金表'!X16</f>
        <v>0</v>
      </c>
      <c r="Y7" s="59">
        <f>'表4-收入税金表'!Y16</f>
        <v>0</v>
      </c>
      <c r="Z7" s="59">
        <f>'表4-收入税金表'!Z16</f>
        <v>0</v>
      </c>
      <c r="AA7" s="59">
        <f>'表4-收入税金表'!AA16</f>
        <v>0</v>
      </c>
      <c r="AB7" s="59">
        <f>'表4-收入税金表'!AB16</f>
        <v>0</v>
      </c>
      <c r="AC7" s="59">
        <f>'表4-收入税金表'!AC16</f>
        <v>0</v>
      </c>
      <c r="AD7" s="59">
        <f>'表4-收入税金表'!AD16</f>
        <v>0</v>
      </c>
      <c r="AE7" s="59">
        <f>'表4-收入税金表'!AE16</f>
        <v>0</v>
      </c>
      <c r="AF7" s="59">
        <f>'表4-收入税金表'!AF16</f>
        <v>0</v>
      </c>
    </row>
    <row r="8" spans="2:32">
      <c r="B8" s="86">
        <v>2</v>
      </c>
      <c r="C8" s="109" t="s">
        <v>391</v>
      </c>
      <c r="D8" s="101">
        <f t="shared" ca="1" si="0"/>
        <v>46821.458344288621</v>
      </c>
      <c r="E8" s="106" t="s">
        <v>111</v>
      </c>
      <c r="F8" s="59"/>
      <c r="G8" s="59"/>
      <c r="H8" s="55">
        <f ca="1">'表3-成本费用表'!H5</f>
        <v>2517.4607670568594</v>
      </c>
      <c r="I8" s="55">
        <f ca="1">'表3-成本费用表'!I49-'表3-成本费用表'!I53+'表3-成本费用表'!I15+'表3-成本费用表'!I16+'表3-成本费用表'!I19+'表3-成本费用表'!I20+'表2-折旧摊销表'!I39</f>
        <v>2465.4612134498448</v>
      </c>
      <c r="J8" s="55">
        <f ca="1">'表3-成本费用表'!J49-'表3-成本费用表'!J53+'表3-成本费用表'!J15+'表3-成本费用表'!J16+'表3-成本费用表'!J19+'表3-成本费用表'!J20+'表2-折旧摊销表'!J39</f>
        <v>2413.4616598428297</v>
      </c>
      <c r="K8" s="55">
        <f ca="1">'表3-成本费用表'!K49-'表3-成本费用表'!K53+'表3-成本费用表'!K15+'表3-成本费用表'!K16+'表3-成本费用表'!K19+'表3-成本费用表'!K20+'表2-折旧摊销表'!K39</f>
        <v>2361.4621062358151</v>
      </c>
      <c r="L8" s="55">
        <f ca="1">'表3-成本费用表'!L49-'表3-成本费用表'!L53+'表3-成本费用表'!L15+'表3-成本费用表'!L16+'表3-成本费用表'!L19+'表3-成本费用表'!L20+'表2-折旧摊销表'!L39</f>
        <v>2309.4625526288</v>
      </c>
      <c r="M8" s="55">
        <f ca="1">'表3-成本费用表'!M49-'表3-成本费用表'!M53+'表3-成本费用表'!M15+'表3-成本费用表'!M16+'表3-成本费用表'!M19+'表3-成本费用表'!M20+'表2-折旧摊销表'!M39</f>
        <v>2308.7208613718744</v>
      </c>
      <c r="N8" s="55">
        <f ca="1">'表3-成本费用表'!N49-'表3-成本费用表'!N53+'表3-成本费用表'!N15+'表3-成本费用表'!N16+'表3-成本费用表'!N19+'表3-成本费用表'!N20+'表2-折旧摊销表'!N39</f>
        <v>2256.7213077648598</v>
      </c>
      <c r="O8" s="55">
        <f ca="1">'表3-成本费用表'!O49-'表3-成本费用表'!O53+'表3-成本费用表'!O15+'表3-成本费用表'!O16+'表3-成本费用表'!O19+'表3-成本费用表'!O20+'表2-折旧摊销表'!O39</f>
        <v>2204.7217541578448</v>
      </c>
      <c r="P8" s="55">
        <f ca="1">'表3-成本费用表'!P49-'表3-成本费用表'!P53+'表3-成本费用表'!P15+'表3-成本费用表'!P16+'表3-成本费用表'!P19+'表3-成本费用表'!P20+'表2-折旧摊销表'!P39</f>
        <v>2152.7222005508302</v>
      </c>
      <c r="Q8" s="55">
        <f ca="1">'表3-成本费用表'!Q49-'表3-成本费用表'!Q53+'表3-成本费用表'!Q15+'表3-成本费用表'!Q16+'表3-成本费用表'!Q19+'表3-成本费用表'!Q20+'表2-折旧摊销表'!Q39</f>
        <v>2100.7226469438156</v>
      </c>
      <c r="R8" s="55">
        <f ca="1">'表3-成本费用表'!R49-'表3-成本费用表'!R53+'表3-成本费用表'!R15+'表3-成本费用表'!R16+'表3-成本费用表'!R19+'表3-成本费用表'!R20+'表2-折旧摊销表'!R39</f>
        <v>2140.3349379877736</v>
      </c>
      <c r="S8" s="55">
        <f ca="1">'表3-成本费用表'!S49-'表3-成本费用表'!S53+'表3-成本费用表'!S15+'表3-成本费用表'!S16+'表3-成本费用表'!S19+'表3-成本费用表'!S20+'表2-折旧摊销表'!S39</f>
        <v>2088.335384380759</v>
      </c>
      <c r="T8" s="55">
        <f ca="1">'表3-成本费用表'!T49-'表3-成本费用表'!T53+'表3-成本费用表'!T15+'表3-成本费用表'!T16+'表3-成本费用表'!T19+'表3-成本费用表'!T20+'表2-折旧摊销表'!T39</f>
        <v>2036.3358307737444</v>
      </c>
      <c r="U8" s="55">
        <f ca="1">'表3-成本费用表'!U49-'表3-成本费用表'!U53+'表3-成本费用表'!U15+'表3-成本费用表'!U16+'表3-成本费用表'!U19+'表3-成本费用表'!U20+'表2-折旧摊销表'!U39</f>
        <v>1984.3362771667296</v>
      </c>
      <c r="V8" s="55">
        <f ca="1">'表3-成本费用表'!V49-'表3-成本费用表'!V53+'表3-成本费用表'!V15+'表3-成本费用表'!V16+'表3-成本费用表'!V19+'表3-成本费用表'!V20+'表2-折旧摊销表'!V39</f>
        <v>1932.3367235597148</v>
      </c>
      <c r="W8" s="55">
        <f ca="1">'表3-成本费用表'!W49-'表3-成本费用表'!W53+'表3-成本费用表'!W15+'表3-成本费用表'!W16+'表3-成本费用表'!W19+'表3-成本费用表'!W20+'表2-折旧摊销表'!W39</f>
        <v>1931.5950323027882</v>
      </c>
      <c r="X8" s="55">
        <f ca="1">'表3-成本费用表'!X49-'表3-成本费用表'!X53+'表3-成本费用表'!X15+'表3-成本费用表'!X16+'表3-成本费用表'!X19+'表3-成本费用表'!X20+'表2-折旧摊销表'!X39</f>
        <v>1931.5950323027882</v>
      </c>
      <c r="Y8" s="55">
        <f ca="1">'表3-成本费用表'!Y49-'表3-成本费用表'!Y53+'表3-成本费用表'!Y15+'表3-成本费用表'!Y16+'表3-成本费用表'!Y19+'表3-成本费用表'!Y20+'表2-折旧摊销表'!Y39</f>
        <v>1931.5950323027882</v>
      </c>
      <c r="Z8" s="55">
        <f ca="1">'表3-成本费用表'!Z49-'表3-成本费用表'!Z53+'表3-成本费用表'!Z15+'表3-成本费用表'!Z16+'表3-成本费用表'!Z19+'表3-成本费用表'!Z20+'表2-折旧摊销表'!Z39</f>
        <v>1931.5950323027882</v>
      </c>
      <c r="AA8" s="55">
        <f ca="1">'表3-成本费用表'!AA49-'表3-成本费用表'!AA53+'表3-成本费用表'!AA15+'表3-成本费用表'!AA16+'表3-成本费用表'!AA19+'表3-成本费用表'!AA20+'表2-折旧摊销表'!AA39</f>
        <v>1931.5950323027882</v>
      </c>
      <c r="AB8" s="55">
        <f ca="1">'表3-成本费用表'!AB49-'表3-成本费用表'!AB53+'表3-成本费用表'!AB15+'表3-成本费用表'!AB16+'表3-成本费用表'!AB19+'表3-成本费用表'!AB20+'表2-折旧摊销表'!AB39</f>
        <v>778.17739178051954</v>
      </c>
      <c r="AC8" s="55">
        <f ca="1">'表3-成本费用表'!AC49-'表3-成本费用表'!AC53+'表3-成本费用表'!AC15+'表3-成本费用表'!AC16+'表3-成本费用表'!AC19+'表3-成本费用表'!AC20+'表2-折旧摊销表'!AC39</f>
        <v>778.17739178051954</v>
      </c>
      <c r="AD8" s="55">
        <f ca="1">'表3-成本费用表'!AD49-'表3-成本费用表'!AD53+'表3-成本费用表'!AD15+'表3-成本费用表'!AD16+'表3-成本费用表'!AD19+'表3-成本费用表'!AD20+'表2-折旧摊销表'!AD39</f>
        <v>778.17739178051954</v>
      </c>
      <c r="AE8" s="55">
        <f ca="1">'表3-成本费用表'!AE49-'表3-成本费用表'!AE53+'表3-成本费用表'!AE15+'表3-成本费用表'!AE16+'表3-成本费用表'!AE19+'表3-成本费用表'!AE20+'表2-折旧摊销表'!AE39</f>
        <v>778.17739178051954</v>
      </c>
      <c r="AF8" s="55">
        <f ca="1">'表3-成本费用表'!AF49-'表3-成本费用表'!AF53+'表3-成本费用表'!AF15+'表3-成本费用表'!AF16+'表3-成本费用表'!AF19+'表3-成本费用表'!AF20+'表2-折旧摊销表'!AF39</f>
        <v>778.17739178051954</v>
      </c>
    </row>
    <row r="9" spans="2:32">
      <c r="B9" s="86">
        <v>3</v>
      </c>
      <c r="C9" s="110" t="s">
        <v>457</v>
      </c>
      <c r="D9" s="101">
        <f t="shared" ca="1" si="0"/>
        <v>835.10742364844054</v>
      </c>
      <c r="E9" s="106" t="s">
        <v>111</v>
      </c>
      <c r="F9" s="59"/>
      <c r="G9" s="59"/>
      <c r="H9" s="55">
        <f ca="1">'表4-收入税金表'!H46+'表4-收入税金表'!H50</f>
        <v>0</v>
      </c>
      <c r="I9" s="55">
        <f ca="1">'表4-收入税金表'!I46+'表4-收入税金表'!I50</f>
        <v>0</v>
      </c>
      <c r="J9" s="55">
        <f ca="1">'表4-收入税金表'!J46+'表4-收入税金表'!J50</f>
        <v>0</v>
      </c>
      <c r="K9" s="55">
        <f ca="1">'表4-收入税金表'!K46+'表4-收入税金表'!K50</f>
        <v>0</v>
      </c>
      <c r="L9" s="55">
        <f ca="1">'表4-收入税金表'!L46+'表4-收入税金表'!L50</f>
        <v>0</v>
      </c>
      <c r="M9" s="55">
        <f ca="1">'表4-收入税金表'!M46+'表4-收入税金表'!M50</f>
        <v>0</v>
      </c>
      <c r="N9" s="55">
        <f ca="1">'表4-收入税金表'!N46+'表4-收入税金表'!N50</f>
        <v>18.632822989491284</v>
      </c>
      <c r="O9" s="55">
        <f ca="1">'表4-收入税金表'!O46+'表4-收入税金表'!O50</f>
        <v>47.501909600514004</v>
      </c>
      <c r="P9" s="55">
        <f ca="1">'表4-收入税金表'!P46+'表4-收入税金表'!P50</f>
        <v>47.288151007311718</v>
      </c>
      <c r="Q9" s="55">
        <f ca="1">'表4-收入税金表'!Q46+'表4-收入税金表'!Q50</f>
        <v>47.075354327778847</v>
      </c>
      <c r="R9" s="55">
        <f ca="1">'表4-收入税金表'!R46+'表4-收入税金表'!R50</f>
        <v>40.236966560737436</v>
      </c>
      <c r="S9" s="55">
        <f ca="1">'表4-收入税金表'!S46+'表4-收入税金表'!S50</f>
        <v>46.652629414753925</v>
      </c>
      <c r="T9" s="55">
        <f ca="1">'表4-收入税金表'!T46+'表4-收入税金表'!T50</f>
        <v>46.442692582387565</v>
      </c>
      <c r="U9" s="55">
        <f ca="1">'表4-收入税金表'!U46+'表4-收入税金表'!U50</f>
        <v>46.23370046576688</v>
      </c>
      <c r="V9" s="55">
        <f ca="1">'表4-收入税金表'!V46+'表4-收入税金表'!V50</f>
        <v>46.025648813670841</v>
      </c>
      <c r="W9" s="55">
        <f ca="1">'表4-收入税金表'!W46+'表4-收入税金表'!W50</f>
        <v>45.8185333940094</v>
      </c>
      <c r="X9" s="55">
        <f ca="1">'表4-收入税金表'!X46+'表4-收入税金表'!X50</f>
        <v>45.612349993736402</v>
      </c>
      <c r="Y9" s="55">
        <f ca="1">'表4-收入税金表'!Y46+'表4-收入税金表'!Y50</f>
        <v>45.40709441876448</v>
      </c>
      <c r="Z9" s="55">
        <f ca="1">'表4-收入税金表'!Z46+'表4-收入税金表'!Z50</f>
        <v>45.202762493880115</v>
      </c>
      <c r="AA9" s="55">
        <f ca="1">'表4-收入税金表'!AA46+'表4-收入税金表'!AA50</f>
        <v>44.999350062657605</v>
      </c>
      <c r="AB9" s="55">
        <f ca="1">'表4-收入税金表'!AB46+'表4-收入税金表'!AB50</f>
        <v>44.796852987375722</v>
      </c>
      <c r="AC9" s="55">
        <f ca="1">'表4-收入税金表'!AC46+'表4-收入税金表'!AC50</f>
        <v>44.595267148932479</v>
      </c>
      <c r="AD9" s="55">
        <f ca="1">'表4-收入税金表'!AD46+'表4-收入税金表'!AD50</f>
        <v>44.394588446762285</v>
      </c>
      <c r="AE9" s="55">
        <f ca="1">'表4-收入税金表'!AE46+'表4-收入税金表'!AE50</f>
        <v>44.194812798751926</v>
      </c>
      <c r="AF9" s="55">
        <f ca="1">'表4-收入税金表'!AF46+'表4-收入税金表'!AF50</f>
        <v>43.995936141157443</v>
      </c>
    </row>
    <row r="10" spans="2:32">
      <c r="B10" s="86">
        <v>4</v>
      </c>
      <c r="C10" s="109" t="s">
        <v>264</v>
      </c>
      <c r="D10" s="101">
        <f t="shared" ca="1" si="0"/>
        <v>0</v>
      </c>
      <c r="E10" s="106" t="s">
        <v>111</v>
      </c>
      <c r="F10" s="59"/>
      <c r="G10" s="59"/>
      <c r="H10" s="55">
        <f ca="1">SUM(H11:H12)</f>
        <v>0</v>
      </c>
      <c r="I10" s="55">
        <f t="shared" ref="I10:AF10" ca="1" si="2">SUM(I11:I12)</f>
        <v>0</v>
      </c>
      <c r="J10" s="55">
        <f t="shared" ca="1" si="2"/>
        <v>0</v>
      </c>
      <c r="K10" s="55">
        <f t="shared" ca="1" si="2"/>
        <v>0</v>
      </c>
      <c r="L10" s="55">
        <f t="shared" ca="1" si="2"/>
        <v>0</v>
      </c>
      <c r="M10" s="55">
        <f t="shared" ca="1" si="2"/>
        <v>0</v>
      </c>
      <c r="N10" s="55">
        <f t="shared" ca="1" si="2"/>
        <v>0</v>
      </c>
      <c r="O10" s="55">
        <f t="shared" ca="1" si="2"/>
        <v>0</v>
      </c>
      <c r="P10" s="55">
        <f t="shared" ca="1" si="2"/>
        <v>0</v>
      </c>
      <c r="Q10" s="55">
        <f t="shared" ca="1" si="2"/>
        <v>0</v>
      </c>
      <c r="R10" s="55">
        <f t="shared" ca="1" si="2"/>
        <v>0</v>
      </c>
      <c r="S10" s="55">
        <f t="shared" ca="1" si="2"/>
        <v>0</v>
      </c>
      <c r="T10" s="55">
        <f t="shared" ca="1" si="2"/>
        <v>0</v>
      </c>
      <c r="U10" s="55">
        <f t="shared" ca="1" si="2"/>
        <v>0</v>
      </c>
      <c r="V10" s="55">
        <f t="shared" ca="1" si="2"/>
        <v>0</v>
      </c>
      <c r="W10" s="55">
        <f t="shared" ca="1" si="2"/>
        <v>0</v>
      </c>
      <c r="X10" s="55">
        <f t="shared" ca="1" si="2"/>
        <v>0</v>
      </c>
      <c r="Y10" s="55">
        <f t="shared" ca="1" si="2"/>
        <v>0</v>
      </c>
      <c r="Z10" s="55">
        <f t="shared" ca="1" si="2"/>
        <v>0</v>
      </c>
      <c r="AA10" s="55">
        <f t="shared" ca="1" si="2"/>
        <v>0</v>
      </c>
      <c r="AB10" s="55">
        <f t="shared" ca="1" si="2"/>
        <v>0</v>
      </c>
      <c r="AC10" s="55">
        <f t="shared" ca="1" si="2"/>
        <v>0</v>
      </c>
      <c r="AD10" s="55">
        <f t="shared" ca="1" si="2"/>
        <v>0</v>
      </c>
      <c r="AE10" s="55">
        <f t="shared" ca="1" si="2"/>
        <v>0</v>
      </c>
      <c r="AF10" s="55">
        <f t="shared" ca="1" si="2"/>
        <v>0</v>
      </c>
    </row>
    <row r="11" spans="2:32">
      <c r="B11" s="107">
        <v>4.0999999999999996</v>
      </c>
      <c r="C11" s="111" t="s">
        <v>458</v>
      </c>
      <c r="D11" s="105">
        <f t="shared" si="0"/>
        <v>0</v>
      </c>
      <c r="E11" s="106" t="s">
        <v>111</v>
      </c>
      <c r="F11" s="59"/>
      <c r="G11" s="59"/>
      <c r="H11" s="59">
        <f>参数输入表!H305</f>
        <v>0</v>
      </c>
      <c r="I11" s="59">
        <f>参数输入表!H306</f>
        <v>0</v>
      </c>
      <c r="J11" s="59">
        <f>参数输入表!H307</f>
        <v>0</v>
      </c>
      <c r="K11" s="59">
        <f>参数输入表!H308</f>
        <v>0</v>
      </c>
      <c r="L11" s="59">
        <f>参数输入表!H309</f>
        <v>0</v>
      </c>
      <c r="M11" s="59">
        <f>参数输入表!H310</f>
        <v>0</v>
      </c>
      <c r="N11" s="59">
        <f>参数输入表!H311</f>
        <v>0</v>
      </c>
      <c r="O11" s="59">
        <f>参数输入表!H312</f>
        <v>0</v>
      </c>
      <c r="P11" s="59">
        <f>参数输入表!H313</f>
        <v>0</v>
      </c>
      <c r="Q11" s="59">
        <f>参数输入表!H314</f>
        <v>0</v>
      </c>
      <c r="R11" s="59">
        <f>参数输入表!H315</f>
        <v>0</v>
      </c>
      <c r="S11" s="59">
        <f>参数输入表!H316</f>
        <v>0</v>
      </c>
      <c r="T11" s="59">
        <f>参数输入表!H317</f>
        <v>0</v>
      </c>
      <c r="U11" s="59">
        <f>参数输入表!H318</f>
        <v>0</v>
      </c>
      <c r="V11" s="59">
        <f>参数输入表!H319</f>
        <v>0</v>
      </c>
      <c r="W11" s="59">
        <f>参数输入表!H320</f>
        <v>0</v>
      </c>
      <c r="X11" s="59">
        <f>参数输入表!H321</f>
        <v>0</v>
      </c>
      <c r="Y11" s="59">
        <f>参数输入表!H322</f>
        <v>0</v>
      </c>
      <c r="Z11" s="59">
        <f>参数输入表!H323</f>
        <v>0</v>
      </c>
      <c r="AA11" s="59">
        <f>参数输入表!H324</f>
        <v>0</v>
      </c>
      <c r="AB11" s="59">
        <f>参数输入表!H325</f>
        <v>0</v>
      </c>
      <c r="AC11" s="59">
        <f>参数输入表!H326</f>
        <v>0</v>
      </c>
      <c r="AD11" s="59">
        <f>参数输入表!H327</f>
        <v>0</v>
      </c>
      <c r="AE11" s="59">
        <f>参数输入表!H328</f>
        <v>0</v>
      </c>
      <c r="AF11" s="59">
        <f>参数输入表!H329</f>
        <v>0</v>
      </c>
    </row>
    <row r="12" spans="2:32">
      <c r="B12" s="107">
        <v>4.2</v>
      </c>
      <c r="C12" s="111" t="s">
        <v>459</v>
      </c>
      <c r="D12" s="105">
        <f t="shared" ca="1" si="0"/>
        <v>0</v>
      </c>
      <c r="E12" s="106" t="s">
        <v>111</v>
      </c>
      <c r="F12" s="59"/>
      <c r="G12" s="59"/>
      <c r="H12" s="59">
        <f ca="1">'表4-收入税金表'!H19</f>
        <v>0</v>
      </c>
      <c r="I12" s="59">
        <f ca="1">'表4-收入税金表'!I19</f>
        <v>0</v>
      </c>
      <c r="J12" s="59">
        <f ca="1">'表4-收入税金表'!J19</f>
        <v>0</v>
      </c>
      <c r="K12" s="59">
        <f ca="1">'表4-收入税金表'!K19</f>
        <v>0</v>
      </c>
      <c r="L12" s="59">
        <f ca="1">'表4-收入税金表'!L19</f>
        <v>0</v>
      </c>
      <c r="M12" s="59">
        <f ca="1">'表4-收入税金表'!M19</f>
        <v>0</v>
      </c>
      <c r="N12" s="59">
        <f ca="1">'表4-收入税金表'!N19</f>
        <v>0</v>
      </c>
      <c r="O12" s="59">
        <f ca="1">'表4-收入税金表'!O19</f>
        <v>0</v>
      </c>
      <c r="P12" s="59">
        <f ca="1">'表4-收入税金表'!P19</f>
        <v>0</v>
      </c>
      <c r="Q12" s="59">
        <f ca="1">'表4-收入税金表'!Q19</f>
        <v>0</v>
      </c>
      <c r="R12" s="59">
        <f ca="1">'表4-收入税金表'!R19</f>
        <v>0</v>
      </c>
      <c r="S12" s="59">
        <f ca="1">'表4-收入税金表'!S19</f>
        <v>0</v>
      </c>
      <c r="T12" s="59">
        <f ca="1">'表4-收入税金表'!T19</f>
        <v>0</v>
      </c>
      <c r="U12" s="59">
        <f ca="1">'表4-收入税金表'!U19</f>
        <v>0</v>
      </c>
      <c r="V12" s="59">
        <f ca="1">'表4-收入税金表'!V19</f>
        <v>0</v>
      </c>
      <c r="W12" s="59">
        <f ca="1">'表4-收入税金表'!W19</f>
        <v>0</v>
      </c>
      <c r="X12" s="59">
        <f ca="1">'表4-收入税金表'!X19</f>
        <v>0</v>
      </c>
      <c r="Y12" s="59">
        <f ca="1">'表4-收入税金表'!Y19</f>
        <v>0</v>
      </c>
      <c r="Z12" s="59">
        <f ca="1">'表4-收入税金表'!Z19</f>
        <v>0</v>
      </c>
      <c r="AA12" s="59">
        <f ca="1">'表4-收入税金表'!AA19</f>
        <v>0</v>
      </c>
      <c r="AB12" s="59">
        <f ca="1">'表4-收入税金表'!AB19</f>
        <v>0</v>
      </c>
      <c r="AC12" s="59">
        <f ca="1">'表4-收入税金表'!AC19</f>
        <v>0</v>
      </c>
      <c r="AD12" s="59">
        <f ca="1">'表4-收入税金表'!AD19</f>
        <v>0</v>
      </c>
      <c r="AE12" s="59">
        <f ca="1">'表4-收入税金表'!AE19</f>
        <v>0</v>
      </c>
      <c r="AF12" s="59">
        <f ca="1">'表4-收入税金表'!AF19</f>
        <v>0</v>
      </c>
    </row>
    <row r="13" spans="2:32">
      <c r="B13" s="86">
        <v>5</v>
      </c>
      <c r="C13" s="109" t="s">
        <v>246</v>
      </c>
      <c r="D13" s="101">
        <f t="shared" si="0"/>
        <v>0</v>
      </c>
      <c r="E13" s="106" t="s">
        <v>111</v>
      </c>
      <c r="F13" s="59"/>
      <c r="G13" s="59"/>
      <c r="H13" s="55">
        <f>'表3-成本费用表'!H24</f>
        <v>0</v>
      </c>
      <c r="I13" s="55">
        <f>'表3-成本费用表'!I24</f>
        <v>0</v>
      </c>
      <c r="J13" s="55">
        <f>'表3-成本费用表'!J24</f>
        <v>0</v>
      </c>
      <c r="K13" s="55">
        <f>'表3-成本费用表'!K24</f>
        <v>0</v>
      </c>
      <c r="L13" s="55">
        <f>'表3-成本费用表'!L24</f>
        <v>0</v>
      </c>
      <c r="M13" s="55">
        <f>'表3-成本费用表'!M24</f>
        <v>0</v>
      </c>
      <c r="N13" s="55">
        <f>'表3-成本费用表'!N24</f>
        <v>0</v>
      </c>
      <c r="O13" s="55">
        <f>'表3-成本费用表'!O24</f>
        <v>0</v>
      </c>
      <c r="P13" s="55">
        <f>'表3-成本费用表'!P24</f>
        <v>0</v>
      </c>
      <c r="Q13" s="55">
        <f>'表3-成本费用表'!Q24</f>
        <v>0</v>
      </c>
      <c r="R13" s="55">
        <f>'表3-成本费用表'!R24</f>
        <v>0</v>
      </c>
      <c r="S13" s="55">
        <f>'表3-成本费用表'!S24</f>
        <v>0</v>
      </c>
      <c r="T13" s="55">
        <f>'表3-成本费用表'!T24</f>
        <v>0</v>
      </c>
      <c r="U13" s="55">
        <f>'表3-成本费用表'!U24</f>
        <v>0</v>
      </c>
      <c r="V13" s="55">
        <f>'表3-成本费用表'!V24</f>
        <v>0</v>
      </c>
      <c r="W13" s="55">
        <f>'表3-成本费用表'!W24</f>
        <v>0</v>
      </c>
      <c r="X13" s="55">
        <f>'表3-成本费用表'!X24</f>
        <v>0</v>
      </c>
      <c r="Y13" s="55">
        <f>'表3-成本费用表'!Y24</f>
        <v>0</v>
      </c>
      <c r="Z13" s="55">
        <f>'表3-成本费用表'!Z24</f>
        <v>0</v>
      </c>
      <c r="AA13" s="55">
        <f>'表3-成本费用表'!AA24</f>
        <v>0</v>
      </c>
      <c r="AB13" s="55">
        <f>'表3-成本费用表'!AB24</f>
        <v>0</v>
      </c>
      <c r="AC13" s="55">
        <f>'表3-成本费用表'!AC24</f>
        <v>0</v>
      </c>
      <c r="AD13" s="55">
        <f>'表3-成本费用表'!AD24</f>
        <v>0</v>
      </c>
      <c r="AE13" s="55">
        <f>'表3-成本费用表'!AE24</f>
        <v>0</v>
      </c>
      <c r="AF13" s="55">
        <f>'表3-成本费用表'!AF24</f>
        <v>0</v>
      </c>
    </row>
    <row r="14" spans="2:32" s="96" customFormat="1">
      <c r="B14" s="86">
        <v>6</v>
      </c>
      <c r="C14" s="109" t="s">
        <v>460</v>
      </c>
      <c r="D14" s="101">
        <f t="shared" ca="1" si="0"/>
        <v>26078.19264973648</v>
      </c>
      <c r="E14" s="102" t="s">
        <v>111</v>
      </c>
      <c r="F14" s="55"/>
      <c r="G14" s="55"/>
      <c r="H14" s="55">
        <f ca="1">H5+H10-H8-H9-H13</f>
        <v>477.4767196688008</v>
      </c>
      <c r="I14" s="55">
        <f t="shared" ref="I14:AF14" ca="1" si="3">I5+I10-I8-I9-I13</f>
        <v>515.99905458555531</v>
      </c>
      <c r="J14" s="55">
        <f t="shared" ca="1" si="3"/>
        <v>554.58203698641046</v>
      </c>
      <c r="K14" s="55">
        <f t="shared" ca="1" si="3"/>
        <v>593.22539395769491</v>
      </c>
      <c r="L14" s="55">
        <f t="shared" ca="1" si="3"/>
        <v>631.92885381383985</v>
      </c>
      <c r="M14" s="55">
        <f t="shared" ca="1" si="3"/>
        <v>763.86439121116564</v>
      </c>
      <c r="N14" s="55">
        <f t="shared" ca="1" si="3"/>
        <v>783.40448819206892</v>
      </c>
      <c r="O14" s="55">
        <f t="shared" ca="1" si="3"/>
        <v>792.77054140280143</v>
      </c>
      <c r="P14" s="55">
        <f t="shared" ca="1" si="3"/>
        <v>831.28137967978807</v>
      </c>
      <c r="Q14" s="55">
        <f t="shared" ca="1" si="3"/>
        <v>869.85291717576536</v>
      </c>
      <c r="R14" s="55">
        <f t="shared" ca="1" si="3"/>
        <v>823.4995847658389</v>
      </c>
      <c r="S14" s="55">
        <f t="shared" ca="1" si="3"/>
        <v>855.56515381691713</v>
      </c>
      <c r="T14" s="55">
        <f t="shared" ca="1" si="3"/>
        <v>894.31715500204814</v>
      </c>
      <c r="U14" s="55">
        <f t="shared" ca="1" si="3"/>
        <v>933.12877017307335</v>
      </c>
      <c r="V14" s="55">
        <f t="shared" ca="1" si="3"/>
        <v>971.99973106705443</v>
      </c>
      <c r="W14" s="55">
        <f t="shared" ca="1" si="3"/>
        <v>959.67190827816262</v>
      </c>
      <c r="X14" s="55">
        <f t="shared" ca="1" si="3"/>
        <v>946.66120704554555</v>
      </c>
      <c r="Y14" s="55">
        <f t="shared" ca="1" si="3"/>
        <v>933.70905396847706</v>
      </c>
      <c r="Z14" s="55">
        <f t="shared" ca="1" si="3"/>
        <v>920.81518558026164</v>
      </c>
      <c r="AA14" s="55">
        <f t="shared" ca="1" si="3"/>
        <v>907.97933959978423</v>
      </c>
      <c r="AB14" s="55">
        <f t="shared" ca="1" si="3"/>
        <v>2048.6188954484951</v>
      </c>
      <c r="AC14" s="55">
        <f t="shared" ca="1" si="3"/>
        <v>2035.8983121559584</v>
      </c>
      <c r="AD14" s="55">
        <f t="shared" ca="1" si="3"/>
        <v>2023.2349714882482</v>
      </c>
      <c r="AE14" s="55">
        <f t="shared" ca="1" si="3"/>
        <v>2010.6286158535388</v>
      </c>
      <c r="AF14" s="55">
        <f t="shared" ca="1" si="3"/>
        <v>1998.078988819183</v>
      </c>
    </row>
    <row r="15" spans="2:32" s="96" customFormat="1">
      <c r="B15" s="86">
        <v>7</v>
      </c>
      <c r="C15" s="112" t="s">
        <v>461</v>
      </c>
      <c r="D15" s="101">
        <f t="shared" ca="1" si="0"/>
        <v>0</v>
      </c>
      <c r="E15" s="102" t="s">
        <v>111</v>
      </c>
      <c r="F15" s="55"/>
      <c r="G15" s="55"/>
      <c r="H15" s="55">
        <f>SUM(H16:H20)</f>
        <v>0</v>
      </c>
      <c r="I15" s="55">
        <f t="shared" ref="I15:AF15" ca="1" si="4">SUM(I16:I20)</f>
        <v>0</v>
      </c>
      <c r="J15" s="55">
        <f t="shared" ca="1" si="4"/>
        <v>0</v>
      </c>
      <c r="K15" s="55">
        <f t="shared" ca="1" si="4"/>
        <v>0</v>
      </c>
      <c r="L15" s="55">
        <f t="shared" ca="1" si="4"/>
        <v>0</v>
      </c>
      <c r="M15" s="55">
        <f t="shared" ca="1" si="4"/>
        <v>0</v>
      </c>
      <c r="N15" s="55">
        <f t="shared" ca="1" si="4"/>
        <v>0</v>
      </c>
      <c r="O15" s="55">
        <f t="shared" ca="1" si="4"/>
        <v>0</v>
      </c>
      <c r="P15" s="55">
        <f t="shared" ca="1" si="4"/>
        <v>0</v>
      </c>
      <c r="Q15" s="55">
        <f t="shared" ca="1" si="4"/>
        <v>0</v>
      </c>
      <c r="R15" s="55">
        <f t="shared" ca="1" si="4"/>
        <v>0</v>
      </c>
      <c r="S15" s="55">
        <f t="shared" ca="1" si="4"/>
        <v>0</v>
      </c>
      <c r="T15" s="55">
        <f t="shared" ca="1" si="4"/>
        <v>0</v>
      </c>
      <c r="U15" s="55">
        <f t="shared" ca="1" si="4"/>
        <v>0</v>
      </c>
      <c r="V15" s="55">
        <f t="shared" ca="1" si="4"/>
        <v>0</v>
      </c>
      <c r="W15" s="55">
        <f t="shared" ca="1" si="4"/>
        <v>0</v>
      </c>
      <c r="X15" s="55">
        <f t="shared" ca="1" si="4"/>
        <v>0</v>
      </c>
      <c r="Y15" s="55">
        <f t="shared" ca="1" si="4"/>
        <v>0</v>
      </c>
      <c r="Z15" s="55">
        <f t="shared" ca="1" si="4"/>
        <v>0</v>
      </c>
      <c r="AA15" s="55">
        <f t="shared" ca="1" si="4"/>
        <v>0</v>
      </c>
      <c r="AB15" s="55">
        <f t="shared" ca="1" si="4"/>
        <v>0</v>
      </c>
      <c r="AC15" s="55">
        <f t="shared" ca="1" si="4"/>
        <v>0</v>
      </c>
      <c r="AD15" s="55">
        <f t="shared" ca="1" si="4"/>
        <v>0</v>
      </c>
      <c r="AE15" s="55">
        <f t="shared" ca="1" si="4"/>
        <v>0</v>
      </c>
      <c r="AF15" s="55">
        <f t="shared" ca="1" si="4"/>
        <v>0</v>
      </c>
    </row>
    <row r="16" spans="2:32">
      <c r="B16" s="56"/>
      <c r="C16" s="113" t="s">
        <v>462</v>
      </c>
      <c r="D16" s="114"/>
      <c r="E16" s="106" t="s">
        <v>111</v>
      </c>
      <c r="F16" s="59"/>
      <c r="G16" s="59"/>
      <c r="H16" s="59"/>
      <c r="I16" s="115">
        <f t="shared" ref="I16:AF16" ca="1" si="5">IF(H14&gt;0,0,IF(I14&lt;0,0,MIN(I14-SUM(I17:I20),-H14)))</f>
        <v>0</v>
      </c>
      <c r="J16" s="115">
        <f t="shared" ca="1" si="5"/>
        <v>0</v>
      </c>
      <c r="K16" s="115">
        <f t="shared" ca="1" si="5"/>
        <v>0</v>
      </c>
      <c r="L16" s="115">
        <f t="shared" ca="1" si="5"/>
        <v>0</v>
      </c>
      <c r="M16" s="115">
        <f t="shared" ca="1" si="5"/>
        <v>0</v>
      </c>
      <c r="N16" s="115">
        <f t="shared" ca="1" si="5"/>
        <v>0</v>
      </c>
      <c r="O16" s="115">
        <f t="shared" ca="1" si="5"/>
        <v>0</v>
      </c>
      <c r="P16" s="115">
        <f t="shared" ca="1" si="5"/>
        <v>0</v>
      </c>
      <c r="Q16" s="115">
        <f t="shared" ca="1" si="5"/>
        <v>0</v>
      </c>
      <c r="R16" s="115">
        <f t="shared" ca="1" si="5"/>
        <v>0</v>
      </c>
      <c r="S16" s="115">
        <f t="shared" ca="1" si="5"/>
        <v>0</v>
      </c>
      <c r="T16" s="115">
        <f t="shared" ca="1" si="5"/>
        <v>0</v>
      </c>
      <c r="U16" s="115">
        <f t="shared" ca="1" si="5"/>
        <v>0</v>
      </c>
      <c r="V16" s="115">
        <f t="shared" ca="1" si="5"/>
        <v>0</v>
      </c>
      <c r="W16" s="115">
        <f t="shared" ca="1" si="5"/>
        <v>0</v>
      </c>
      <c r="X16" s="115">
        <f t="shared" ca="1" si="5"/>
        <v>0</v>
      </c>
      <c r="Y16" s="115">
        <f t="shared" ca="1" si="5"/>
        <v>0</v>
      </c>
      <c r="Z16" s="115">
        <f t="shared" ca="1" si="5"/>
        <v>0</v>
      </c>
      <c r="AA16" s="115">
        <f t="shared" ca="1" si="5"/>
        <v>0</v>
      </c>
      <c r="AB16" s="115">
        <f t="shared" ca="1" si="5"/>
        <v>0</v>
      </c>
      <c r="AC16" s="115">
        <f t="shared" ca="1" si="5"/>
        <v>0</v>
      </c>
      <c r="AD16" s="115">
        <f t="shared" ca="1" si="5"/>
        <v>0</v>
      </c>
      <c r="AE16" s="115">
        <f t="shared" ca="1" si="5"/>
        <v>0</v>
      </c>
      <c r="AF16" s="115">
        <f t="shared" ca="1" si="5"/>
        <v>0</v>
      </c>
    </row>
    <row r="17" spans="2:32">
      <c r="B17" s="56"/>
      <c r="C17" s="113" t="s">
        <v>463</v>
      </c>
      <c r="D17" s="114"/>
      <c r="E17" s="106" t="s">
        <v>111</v>
      </c>
      <c r="F17" s="59"/>
      <c r="G17" s="59"/>
      <c r="H17" s="59"/>
      <c r="I17" s="59"/>
      <c r="J17" s="115">
        <f t="shared" ref="J17:AF17" ca="1" si="6">IF(H14&gt;0,0,IF(J14&lt;0,0,MIN(J14-SUM(J18:J20),-H14-I16)))</f>
        <v>0</v>
      </c>
      <c r="K17" s="115">
        <f t="shared" ca="1" si="6"/>
        <v>0</v>
      </c>
      <c r="L17" s="115">
        <f t="shared" ca="1" si="6"/>
        <v>0</v>
      </c>
      <c r="M17" s="115">
        <f t="shared" ca="1" si="6"/>
        <v>0</v>
      </c>
      <c r="N17" s="115">
        <f t="shared" ca="1" si="6"/>
        <v>0</v>
      </c>
      <c r="O17" s="115">
        <f t="shared" ca="1" si="6"/>
        <v>0</v>
      </c>
      <c r="P17" s="115">
        <f t="shared" ca="1" si="6"/>
        <v>0</v>
      </c>
      <c r="Q17" s="115">
        <f t="shared" ca="1" si="6"/>
        <v>0</v>
      </c>
      <c r="R17" s="115">
        <f t="shared" ca="1" si="6"/>
        <v>0</v>
      </c>
      <c r="S17" s="115">
        <f t="shared" ca="1" si="6"/>
        <v>0</v>
      </c>
      <c r="T17" s="115">
        <f t="shared" ca="1" si="6"/>
        <v>0</v>
      </c>
      <c r="U17" s="115">
        <f t="shared" ca="1" si="6"/>
        <v>0</v>
      </c>
      <c r="V17" s="115">
        <f t="shared" ca="1" si="6"/>
        <v>0</v>
      </c>
      <c r="W17" s="115">
        <f t="shared" ca="1" si="6"/>
        <v>0</v>
      </c>
      <c r="X17" s="115">
        <f t="shared" ca="1" si="6"/>
        <v>0</v>
      </c>
      <c r="Y17" s="115">
        <f t="shared" ca="1" si="6"/>
        <v>0</v>
      </c>
      <c r="Z17" s="115">
        <f t="shared" ca="1" si="6"/>
        <v>0</v>
      </c>
      <c r="AA17" s="115">
        <f t="shared" ca="1" si="6"/>
        <v>0</v>
      </c>
      <c r="AB17" s="115">
        <f t="shared" ca="1" si="6"/>
        <v>0</v>
      </c>
      <c r="AC17" s="115">
        <f t="shared" ca="1" si="6"/>
        <v>0</v>
      </c>
      <c r="AD17" s="115">
        <f t="shared" ca="1" si="6"/>
        <v>0</v>
      </c>
      <c r="AE17" s="115">
        <f t="shared" ca="1" si="6"/>
        <v>0</v>
      </c>
      <c r="AF17" s="115">
        <f t="shared" ca="1" si="6"/>
        <v>0</v>
      </c>
    </row>
    <row r="18" spans="2:32">
      <c r="B18" s="56"/>
      <c r="C18" s="113" t="s">
        <v>464</v>
      </c>
      <c r="D18" s="114"/>
      <c r="E18" s="106" t="s">
        <v>111</v>
      </c>
      <c r="F18" s="59"/>
      <c r="G18" s="59"/>
      <c r="H18" s="59"/>
      <c r="I18" s="59"/>
      <c r="J18" s="59"/>
      <c r="K18" s="115">
        <f t="shared" ref="K18:AF18" ca="1" si="7">IF(H14&gt;0,0,IF(K14&lt;0,0,MIN(K14-SUM(K19:K20),-H14-I16-J17)))</f>
        <v>0</v>
      </c>
      <c r="L18" s="115">
        <f t="shared" ca="1" si="7"/>
        <v>0</v>
      </c>
      <c r="M18" s="115">
        <f t="shared" ca="1" si="7"/>
        <v>0</v>
      </c>
      <c r="N18" s="115">
        <f t="shared" ca="1" si="7"/>
        <v>0</v>
      </c>
      <c r="O18" s="115">
        <f t="shared" ca="1" si="7"/>
        <v>0</v>
      </c>
      <c r="P18" s="115">
        <f t="shared" ca="1" si="7"/>
        <v>0</v>
      </c>
      <c r="Q18" s="115">
        <f t="shared" ca="1" si="7"/>
        <v>0</v>
      </c>
      <c r="R18" s="115">
        <f t="shared" ca="1" si="7"/>
        <v>0</v>
      </c>
      <c r="S18" s="115">
        <f t="shared" ca="1" si="7"/>
        <v>0</v>
      </c>
      <c r="T18" s="115">
        <f t="shared" ca="1" si="7"/>
        <v>0</v>
      </c>
      <c r="U18" s="115">
        <f t="shared" ca="1" si="7"/>
        <v>0</v>
      </c>
      <c r="V18" s="115">
        <f t="shared" ca="1" si="7"/>
        <v>0</v>
      </c>
      <c r="W18" s="115">
        <f t="shared" ca="1" si="7"/>
        <v>0</v>
      </c>
      <c r="X18" s="115">
        <f t="shared" ca="1" si="7"/>
        <v>0</v>
      </c>
      <c r="Y18" s="115">
        <f t="shared" ca="1" si="7"/>
        <v>0</v>
      </c>
      <c r="Z18" s="115">
        <f t="shared" ca="1" si="7"/>
        <v>0</v>
      </c>
      <c r="AA18" s="115">
        <f t="shared" ca="1" si="7"/>
        <v>0</v>
      </c>
      <c r="AB18" s="115">
        <f t="shared" ca="1" si="7"/>
        <v>0</v>
      </c>
      <c r="AC18" s="115">
        <f t="shared" ca="1" si="7"/>
        <v>0</v>
      </c>
      <c r="AD18" s="115">
        <f t="shared" ca="1" si="7"/>
        <v>0</v>
      </c>
      <c r="AE18" s="115">
        <f t="shared" ca="1" si="7"/>
        <v>0</v>
      </c>
      <c r="AF18" s="115">
        <f t="shared" ca="1" si="7"/>
        <v>0</v>
      </c>
    </row>
    <row r="19" spans="2:32">
      <c r="B19" s="56"/>
      <c r="C19" s="113" t="s">
        <v>465</v>
      </c>
      <c r="D19" s="114"/>
      <c r="E19" s="106" t="s">
        <v>111</v>
      </c>
      <c r="F19" s="59"/>
      <c r="G19" s="59"/>
      <c r="H19" s="59"/>
      <c r="I19" s="59"/>
      <c r="J19" s="59"/>
      <c r="K19" s="59"/>
      <c r="L19" s="115">
        <f t="shared" ref="L19:AF19" ca="1" si="8">IF(H14&gt;0,0,IF(L14&lt;0,0,MIN(L14-L20,-H14-I16-J17-K18)))</f>
        <v>0</v>
      </c>
      <c r="M19" s="115">
        <f t="shared" ca="1" si="8"/>
        <v>0</v>
      </c>
      <c r="N19" s="115">
        <f t="shared" ca="1" si="8"/>
        <v>0</v>
      </c>
      <c r="O19" s="115">
        <f t="shared" ca="1" si="8"/>
        <v>0</v>
      </c>
      <c r="P19" s="115">
        <f t="shared" ca="1" si="8"/>
        <v>0</v>
      </c>
      <c r="Q19" s="115">
        <f t="shared" ca="1" si="8"/>
        <v>0</v>
      </c>
      <c r="R19" s="115">
        <f t="shared" ca="1" si="8"/>
        <v>0</v>
      </c>
      <c r="S19" s="115">
        <f t="shared" ca="1" si="8"/>
        <v>0</v>
      </c>
      <c r="T19" s="115">
        <f t="shared" ca="1" si="8"/>
        <v>0</v>
      </c>
      <c r="U19" s="115">
        <f t="shared" ca="1" si="8"/>
        <v>0</v>
      </c>
      <c r="V19" s="115">
        <f t="shared" ca="1" si="8"/>
        <v>0</v>
      </c>
      <c r="W19" s="115">
        <f t="shared" ca="1" si="8"/>
        <v>0</v>
      </c>
      <c r="X19" s="115">
        <f t="shared" ca="1" si="8"/>
        <v>0</v>
      </c>
      <c r="Y19" s="115">
        <f t="shared" ca="1" si="8"/>
        <v>0</v>
      </c>
      <c r="Z19" s="115">
        <f t="shared" ca="1" si="8"/>
        <v>0</v>
      </c>
      <c r="AA19" s="115">
        <f t="shared" ca="1" si="8"/>
        <v>0</v>
      </c>
      <c r="AB19" s="115">
        <f t="shared" ca="1" si="8"/>
        <v>0</v>
      </c>
      <c r="AC19" s="115">
        <f t="shared" ca="1" si="8"/>
        <v>0</v>
      </c>
      <c r="AD19" s="115">
        <f t="shared" ca="1" si="8"/>
        <v>0</v>
      </c>
      <c r="AE19" s="115">
        <f t="shared" ca="1" si="8"/>
        <v>0</v>
      </c>
      <c r="AF19" s="115">
        <f t="shared" ca="1" si="8"/>
        <v>0</v>
      </c>
    </row>
    <row r="20" spans="2:32">
      <c r="B20" s="56"/>
      <c r="C20" s="113" t="s">
        <v>466</v>
      </c>
      <c r="D20" s="114"/>
      <c r="E20" s="106" t="s">
        <v>111</v>
      </c>
      <c r="F20" s="59"/>
      <c r="G20" s="59"/>
      <c r="H20" s="59"/>
      <c r="I20" s="59"/>
      <c r="J20" s="59"/>
      <c r="K20" s="59"/>
      <c r="L20" s="59"/>
      <c r="M20" s="115">
        <f t="shared" ref="M20:AF20" ca="1" si="9">IF(H14&gt;0,0,IF(M14&lt;0,0,MIN(M14,-H14-I16-J17-K18-L19)))</f>
        <v>0</v>
      </c>
      <c r="N20" s="115">
        <f t="shared" ca="1" si="9"/>
        <v>0</v>
      </c>
      <c r="O20" s="115">
        <f t="shared" ca="1" si="9"/>
        <v>0</v>
      </c>
      <c r="P20" s="115">
        <f t="shared" ca="1" si="9"/>
        <v>0</v>
      </c>
      <c r="Q20" s="115">
        <f t="shared" ca="1" si="9"/>
        <v>0</v>
      </c>
      <c r="R20" s="115">
        <f t="shared" ca="1" si="9"/>
        <v>0</v>
      </c>
      <c r="S20" s="115">
        <f t="shared" ca="1" si="9"/>
        <v>0</v>
      </c>
      <c r="T20" s="115">
        <f t="shared" ca="1" si="9"/>
        <v>0</v>
      </c>
      <c r="U20" s="115">
        <f t="shared" ca="1" si="9"/>
        <v>0</v>
      </c>
      <c r="V20" s="115">
        <f t="shared" ca="1" si="9"/>
        <v>0</v>
      </c>
      <c r="W20" s="115">
        <f t="shared" ca="1" si="9"/>
        <v>0</v>
      </c>
      <c r="X20" s="115">
        <f t="shared" ca="1" si="9"/>
        <v>0</v>
      </c>
      <c r="Y20" s="115">
        <f t="shared" ca="1" si="9"/>
        <v>0</v>
      </c>
      <c r="Z20" s="115">
        <f t="shared" ca="1" si="9"/>
        <v>0</v>
      </c>
      <c r="AA20" s="115">
        <f t="shared" ca="1" si="9"/>
        <v>0</v>
      </c>
      <c r="AB20" s="115">
        <f t="shared" ca="1" si="9"/>
        <v>0</v>
      </c>
      <c r="AC20" s="115">
        <f t="shared" ca="1" si="9"/>
        <v>0</v>
      </c>
      <c r="AD20" s="115">
        <f t="shared" ca="1" si="9"/>
        <v>0</v>
      </c>
      <c r="AE20" s="115">
        <f t="shared" ca="1" si="9"/>
        <v>0</v>
      </c>
      <c r="AF20" s="115">
        <f t="shared" ca="1" si="9"/>
        <v>0</v>
      </c>
    </row>
    <row r="21" spans="2:32">
      <c r="B21" s="86">
        <v>8</v>
      </c>
      <c r="C21" s="112" t="s">
        <v>467</v>
      </c>
      <c r="D21" s="101">
        <f t="shared" ca="1" si="0"/>
        <v>26078.19264973648</v>
      </c>
      <c r="E21" s="106" t="s">
        <v>111</v>
      </c>
      <c r="F21" s="59"/>
      <c r="G21" s="59"/>
      <c r="H21" s="55">
        <f t="shared" ref="H21:AF21" ca="1" si="10">IF(H14-H15&gt;0,H14-H15,0)</f>
        <v>477.4767196688008</v>
      </c>
      <c r="I21" s="55">
        <f t="shared" ca="1" si="10"/>
        <v>515.99905458555531</v>
      </c>
      <c r="J21" s="55">
        <f t="shared" ca="1" si="10"/>
        <v>554.58203698641046</v>
      </c>
      <c r="K21" s="55">
        <f t="shared" ca="1" si="10"/>
        <v>593.22539395769491</v>
      </c>
      <c r="L21" s="55">
        <f t="shared" ca="1" si="10"/>
        <v>631.92885381383985</v>
      </c>
      <c r="M21" s="55">
        <f t="shared" ca="1" si="10"/>
        <v>763.86439121116564</v>
      </c>
      <c r="N21" s="55">
        <f t="shared" ca="1" si="10"/>
        <v>783.40448819206892</v>
      </c>
      <c r="O21" s="55">
        <f t="shared" ca="1" si="10"/>
        <v>792.77054140280143</v>
      </c>
      <c r="P21" s="55">
        <f t="shared" ca="1" si="10"/>
        <v>831.28137967978807</v>
      </c>
      <c r="Q21" s="55">
        <f t="shared" ca="1" si="10"/>
        <v>869.85291717576536</v>
      </c>
      <c r="R21" s="55">
        <f t="shared" ca="1" si="10"/>
        <v>823.4995847658389</v>
      </c>
      <c r="S21" s="55">
        <f t="shared" ca="1" si="10"/>
        <v>855.56515381691713</v>
      </c>
      <c r="T21" s="55">
        <f t="shared" ca="1" si="10"/>
        <v>894.31715500204814</v>
      </c>
      <c r="U21" s="55">
        <f t="shared" ca="1" si="10"/>
        <v>933.12877017307335</v>
      </c>
      <c r="V21" s="55">
        <f t="shared" ca="1" si="10"/>
        <v>971.99973106705443</v>
      </c>
      <c r="W21" s="55">
        <f t="shared" ca="1" si="10"/>
        <v>959.67190827816262</v>
      </c>
      <c r="X21" s="55">
        <f t="shared" ca="1" si="10"/>
        <v>946.66120704554555</v>
      </c>
      <c r="Y21" s="55">
        <f t="shared" ca="1" si="10"/>
        <v>933.70905396847706</v>
      </c>
      <c r="Z21" s="55">
        <f t="shared" ca="1" si="10"/>
        <v>920.81518558026164</v>
      </c>
      <c r="AA21" s="55">
        <f t="shared" ca="1" si="10"/>
        <v>907.97933959978423</v>
      </c>
      <c r="AB21" s="55">
        <f t="shared" ca="1" si="10"/>
        <v>2048.6188954484951</v>
      </c>
      <c r="AC21" s="55">
        <f t="shared" ca="1" si="10"/>
        <v>2035.8983121559584</v>
      </c>
      <c r="AD21" s="55">
        <f t="shared" ca="1" si="10"/>
        <v>2023.2349714882482</v>
      </c>
      <c r="AE21" s="55">
        <f t="shared" ca="1" si="10"/>
        <v>2010.6286158535388</v>
      </c>
      <c r="AF21" s="55">
        <f t="shared" ca="1" si="10"/>
        <v>1998.078988819183</v>
      </c>
    </row>
    <row r="22" spans="2:32">
      <c r="B22" s="86">
        <v>9</v>
      </c>
      <c r="C22" s="112" t="s">
        <v>468</v>
      </c>
      <c r="D22" s="101">
        <f t="shared" ca="1" si="0"/>
        <v>5883.9063797510908</v>
      </c>
      <c r="E22" s="106" t="s">
        <v>111</v>
      </c>
      <c r="F22" s="59"/>
      <c r="G22" s="59"/>
      <c r="H22" s="55">
        <f>IF(参数输入表!$H$333="三免三减半",0,'表5-利润表-资本金'!H21*参数输入表!$H$334)</f>
        <v>0</v>
      </c>
      <c r="I22" s="55">
        <f>IF(参数输入表!$H$333="三免三减半",0,'表5-利润表-资本金'!I21*参数输入表!$H$334)</f>
        <v>0</v>
      </c>
      <c r="J22" s="55">
        <f>IF(参数输入表!$H$333="三免三减半",0,'表5-利润表-资本金'!J21*参数输入表!$H$334)</f>
        <v>0</v>
      </c>
      <c r="K22" s="55">
        <f ca="1">IF(参数输入表!$H$333="三免三减半",'表5-利润表-资本金'!K21*参数输入表!$H$334/2,'表5-利润表-资本金'!K21*参数输入表!$H$334)</f>
        <v>74.153174244711863</v>
      </c>
      <c r="L22" s="55">
        <f ca="1">IF(参数输入表!$H$333="三免三减半",'表5-利润表-资本金'!L21*参数输入表!$H$334/2,'表5-利润表-资本金'!L21*参数输入表!$H$334)</f>
        <v>78.991106726729981</v>
      </c>
      <c r="M22" s="55">
        <f ca="1">IF(参数输入表!$H$333="三免三减半",'表5-利润表-资本金'!M21*参数输入表!$H$334/2,'表5-利润表-资本金'!M21*参数输入表!$H$334)</f>
        <v>95.483048901395705</v>
      </c>
      <c r="N22" s="55">
        <f ca="1">N21*参数输入表!$H$334</f>
        <v>195.85112204801723</v>
      </c>
      <c r="O22" s="55">
        <f ca="1">O21*参数输入表!$H$334</f>
        <v>198.19263535070036</v>
      </c>
      <c r="P22" s="55">
        <f ca="1">P21*参数输入表!$H$334</f>
        <v>207.82034491994702</v>
      </c>
      <c r="Q22" s="55">
        <f ca="1">Q21*参数输入表!$H$334</f>
        <v>217.46322929394134</v>
      </c>
      <c r="R22" s="55">
        <f ca="1">R21*参数输入表!$H$334</f>
        <v>205.87489619145973</v>
      </c>
      <c r="S22" s="55">
        <f ca="1">S21*参数输入表!$H$334</f>
        <v>213.89128845422928</v>
      </c>
      <c r="T22" s="55">
        <f ca="1">T21*参数输入表!$H$334</f>
        <v>223.57928875051203</v>
      </c>
      <c r="U22" s="55">
        <f ca="1">U21*参数输入表!$H$334</f>
        <v>233.28219254326834</v>
      </c>
      <c r="V22" s="55">
        <f ca="1">V21*参数输入表!$H$334</f>
        <v>242.99993276676361</v>
      </c>
      <c r="W22" s="55">
        <f ca="1">W21*参数输入表!$H$334</f>
        <v>239.91797706954065</v>
      </c>
      <c r="X22" s="55">
        <f ca="1">X21*参数输入表!$H$334</f>
        <v>236.66530176138639</v>
      </c>
      <c r="Y22" s="55">
        <f ca="1">Y21*参数输入表!$H$334</f>
        <v>233.42726349211927</v>
      </c>
      <c r="Z22" s="55">
        <f ca="1">Z21*参数输入表!$H$334</f>
        <v>230.20379639506541</v>
      </c>
      <c r="AA22" s="55">
        <f ca="1">AA21*参数输入表!$H$334</f>
        <v>226.99483489994606</v>
      </c>
      <c r="AB22" s="55">
        <f ca="1">AB21*参数输入表!$H$334</f>
        <v>512.15472386212377</v>
      </c>
      <c r="AC22" s="55">
        <f ca="1">AC21*参数输入表!$H$334</f>
        <v>508.97457803898959</v>
      </c>
      <c r="AD22" s="55">
        <f ca="1">AD21*参数输入表!$H$334</f>
        <v>505.80874287206206</v>
      </c>
      <c r="AE22" s="55">
        <f ca="1">AE21*参数输入表!$H$334</f>
        <v>502.6571539633847</v>
      </c>
      <c r="AF22" s="55">
        <f ca="1">AF21*参数输入表!$H$334</f>
        <v>499.51974720479575</v>
      </c>
    </row>
    <row r="23" spans="2:32">
      <c r="B23" s="86">
        <v>10</v>
      </c>
      <c r="C23" s="112" t="s">
        <v>469</v>
      </c>
      <c r="D23" s="118">
        <f t="shared" ca="1" si="0"/>
        <v>20194.286269985383</v>
      </c>
      <c r="E23" s="106" t="s">
        <v>111</v>
      </c>
      <c r="F23" s="59"/>
      <c r="G23" s="59"/>
      <c r="H23" s="55">
        <f t="shared" ref="H23:AF23" ca="1" si="11">H14-H22</f>
        <v>477.4767196688008</v>
      </c>
      <c r="I23" s="55">
        <f t="shared" ca="1" si="11"/>
        <v>515.99905458555531</v>
      </c>
      <c r="J23" s="55">
        <f t="shared" ca="1" si="11"/>
        <v>554.58203698641046</v>
      </c>
      <c r="K23" s="55">
        <f t="shared" ca="1" si="11"/>
        <v>519.07221971298304</v>
      </c>
      <c r="L23" s="55">
        <f t="shared" ca="1" si="11"/>
        <v>552.93774708710987</v>
      </c>
      <c r="M23" s="55">
        <f t="shared" ca="1" si="11"/>
        <v>668.38134230976993</v>
      </c>
      <c r="N23" s="55">
        <f t="shared" ca="1" si="11"/>
        <v>587.55336614405167</v>
      </c>
      <c r="O23" s="55">
        <f t="shared" ca="1" si="11"/>
        <v>594.57790605210107</v>
      </c>
      <c r="P23" s="55">
        <f t="shared" ca="1" si="11"/>
        <v>623.46103475984103</v>
      </c>
      <c r="Q23" s="55">
        <f t="shared" ca="1" si="11"/>
        <v>652.38968788182399</v>
      </c>
      <c r="R23" s="55">
        <f t="shared" ca="1" si="11"/>
        <v>617.62468857437921</v>
      </c>
      <c r="S23" s="55">
        <f t="shared" ca="1" si="11"/>
        <v>641.67386536268782</v>
      </c>
      <c r="T23" s="55">
        <f t="shared" ca="1" si="11"/>
        <v>670.73786625153616</v>
      </c>
      <c r="U23" s="55">
        <f t="shared" ca="1" si="11"/>
        <v>699.84657762980498</v>
      </c>
      <c r="V23" s="55">
        <f t="shared" ca="1" si="11"/>
        <v>728.99979830029088</v>
      </c>
      <c r="W23" s="55">
        <f t="shared" ca="1" si="11"/>
        <v>719.75393120862191</v>
      </c>
      <c r="X23" s="55">
        <f t="shared" ca="1" si="11"/>
        <v>709.99590528415911</v>
      </c>
      <c r="Y23" s="55">
        <f t="shared" ca="1" si="11"/>
        <v>700.28179047635786</v>
      </c>
      <c r="Z23" s="55">
        <f t="shared" ca="1" si="11"/>
        <v>690.61138918519623</v>
      </c>
      <c r="AA23" s="55">
        <f t="shared" ca="1" si="11"/>
        <v>680.98450469983823</v>
      </c>
      <c r="AB23" s="55">
        <f t="shared" ca="1" si="11"/>
        <v>1536.4641715863713</v>
      </c>
      <c r="AC23" s="55">
        <f t="shared" ca="1" si="11"/>
        <v>1526.9237341169687</v>
      </c>
      <c r="AD23" s="55">
        <f t="shared" ca="1" si="11"/>
        <v>1517.4262286161861</v>
      </c>
      <c r="AE23" s="55">
        <f t="shared" ca="1" si="11"/>
        <v>1507.9714618901542</v>
      </c>
      <c r="AF23" s="55">
        <f t="shared" ca="1" si="11"/>
        <v>1498.5592416143872</v>
      </c>
    </row>
    <row r="24" spans="2:32">
      <c r="B24" s="107">
        <v>11</v>
      </c>
      <c r="C24" s="119" t="s">
        <v>470</v>
      </c>
      <c r="D24" s="105">
        <f t="shared" ca="1" si="0"/>
        <v>63287.404519840013</v>
      </c>
      <c r="E24" s="106" t="s">
        <v>111</v>
      </c>
      <c r="F24" s="59">
        <v>0</v>
      </c>
      <c r="G24" s="59">
        <v>0</v>
      </c>
      <c r="H24" s="59">
        <f>G32</f>
        <v>0</v>
      </c>
      <c r="I24" s="59">
        <f t="shared" ref="I24:AF24" ca="1" si="12">H32</f>
        <v>386.75614293172862</v>
      </c>
      <c r="J24" s="59">
        <f t="shared" ca="1" si="12"/>
        <v>731.23170998899991</v>
      </c>
      <c r="K24" s="59">
        <f t="shared" ca="1" si="12"/>
        <v>1041.5091350500823</v>
      </c>
      <c r="L24" s="59">
        <f t="shared" ca="1" si="12"/>
        <v>1264.0708973580829</v>
      </c>
      <c r="M24" s="59">
        <f t="shared" ca="1" si="12"/>
        <v>1471.777002000606</v>
      </c>
      <c r="N24" s="59">
        <f t="shared" ca="1" si="12"/>
        <v>1733.5282588914044</v>
      </c>
      <c r="O24" s="59">
        <f t="shared" ca="1" si="12"/>
        <v>1880.0761162787196</v>
      </c>
      <c r="P24" s="59">
        <f t="shared" ca="1" si="12"/>
        <v>2004.4697580879649</v>
      </c>
      <c r="Q24" s="59">
        <f t="shared" ca="1" si="12"/>
        <v>2128.6239422067229</v>
      </c>
      <c r="R24" s="59">
        <f t="shared" ca="1" si="12"/>
        <v>2252.6210403717232</v>
      </c>
      <c r="S24" s="59">
        <f t="shared" ca="1" si="12"/>
        <v>2324.8990404463434</v>
      </c>
      <c r="T24" s="59">
        <f t="shared" ca="1" si="12"/>
        <v>2402.9240537053151</v>
      </c>
      <c r="U24" s="59">
        <f t="shared" ca="1" si="12"/>
        <v>2489.6661551650495</v>
      </c>
      <c r="V24" s="59">
        <f t="shared" ca="1" si="12"/>
        <v>2583.5053135638318</v>
      </c>
      <c r="W24" s="59">
        <f t="shared" ca="1" si="12"/>
        <v>2683.129140609939</v>
      </c>
      <c r="X24" s="59">
        <f t="shared" ca="1" si="12"/>
        <v>2756.3352881730343</v>
      </c>
      <c r="Y24" s="59">
        <f t="shared" ca="1" si="12"/>
        <v>2807.7282667003265</v>
      </c>
      <c r="Z24" s="59">
        <f t="shared" ca="1" si="12"/>
        <v>2841.4881463131142</v>
      </c>
      <c r="AA24" s="59">
        <f t="shared" ca="1" si="12"/>
        <v>2861.0006237536318</v>
      </c>
      <c r="AB24" s="59">
        <f t="shared" ca="1" si="12"/>
        <v>2981.7132857855254</v>
      </c>
      <c r="AC24" s="59">
        <f t="shared" ca="1" si="12"/>
        <v>4066.3597116347069</v>
      </c>
      <c r="AD24" s="59">
        <f t="shared" ca="1" si="12"/>
        <v>5033.9551011765079</v>
      </c>
      <c r="AE24" s="59">
        <f t="shared" ca="1" si="12"/>
        <v>5896.2431968134242</v>
      </c>
      <c r="AF24" s="59">
        <f t="shared" ca="1" si="12"/>
        <v>6663.7931928332209</v>
      </c>
    </row>
    <row r="25" spans="2:32">
      <c r="B25" s="107">
        <v>12</v>
      </c>
      <c r="C25" s="119" t="s">
        <v>471</v>
      </c>
      <c r="D25" s="105">
        <f t="shared" ca="1" si="0"/>
        <v>83481.690789825385</v>
      </c>
      <c r="E25" s="106" t="s">
        <v>111</v>
      </c>
      <c r="F25" s="59"/>
      <c r="G25" s="59"/>
      <c r="H25" s="59">
        <f ca="1">H23+H24</f>
        <v>477.4767196688008</v>
      </c>
      <c r="I25" s="59">
        <f t="shared" ref="I25:AF25" ca="1" si="13">I23+I24</f>
        <v>902.75519751728393</v>
      </c>
      <c r="J25" s="59">
        <f t="shared" ca="1" si="13"/>
        <v>1285.8137469754104</v>
      </c>
      <c r="K25" s="59">
        <f t="shared" ca="1" si="13"/>
        <v>1560.5813547630653</v>
      </c>
      <c r="L25" s="59">
        <f t="shared" ca="1" si="13"/>
        <v>1817.0086444451927</v>
      </c>
      <c r="M25" s="59">
        <f t="shared" ca="1" si="13"/>
        <v>2140.1583443103759</v>
      </c>
      <c r="N25" s="59">
        <f t="shared" ca="1" si="13"/>
        <v>2321.081625035456</v>
      </c>
      <c r="O25" s="59">
        <f t="shared" ca="1" si="13"/>
        <v>2474.6540223308207</v>
      </c>
      <c r="P25" s="59">
        <f t="shared" ca="1" si="13"/>
        <v>2627.9307928478061</v>
      </c>
      <c r="Q25" s="59">
        <f t="shared" ca="1" si="13"/>
        <v>2781.013630088547</v>
      </c>
      <c r="R25" s="59">
        <f t="shared" ca="1" si="13"/>
        <v>2870.2457289461026</v>
      </c>
      <c r="S25" s="59">
        <f t="shared" ca="1" si="13"/>
        <v>2966.572905809031</v>
      </c>
      <c r="T25" s="59">
        <f t="shared" ca="1" si="13"/>
        <v>3073.6619199568513</v>
      </c>
      <c r="U25" s="59">
        <f t="shared" ca="1" si="13"/>
        <v>3189.5127327948544</v>
      </c>
      <c r="V25" s="59">
        <f t="shared" ca="1" si="13"/>
        <v>3312.5051118641227</v>
      </c>
      <c r="W25" s="59">
        <f t="shared" ca="1" si="13"/>
        <v>3402.8830718185609</v>
      </c>
      <c r="X25" s="59">
        <f t="shared" ca="1" si="13"/>
        <v>3466.3311934571934</v>
      </c>
      <c r="Y25" s="59">
        <f t="shared" ca="1" si="13"/>
        <v>3508.0100571766843</v>
      </c>
      <c r="Z25" s="59">
        <f t="shared" ca="1" si="13"/>
        <v>3532.0995354983106</v>
      </c>
      <c r="AA25" s="59">
        <f t="shared" ca="1" si="13"/>
        <v>3541.9851284534698</v>
      </c>
      <c r="AB25" s="59">
        <f t="shared" ca="1" si="13"/>
        <v>4518.1774573718967</v>
      </c>
      <c r="AC25" s="59">
        <f t="shared" ca="1" si="13"/>
        <v>5593.2834457516756</v>
      </c>
      <c r="AD25" s="59">
        <f t="shared" ca="1" si="13"/>
        <v>6551.3813297926936</v>
      </c>
      <c r="AE25" s="59">
        <f t="shared" ca="1" si="13"/>
        <v>7404.2146587035786</v>
      </c>
      <c r="AF25" s="59">
        <f t="shared" ca="1" si="13"/>
        <v>8162.3524344476082</v>
      </c>
    </row>
    <row r="26" spans="2:32">
      <c r="B26" s="107">
        <v>13</v>
      </c>
      <c r="C26" s="119" t="s">
        <v>472</v>
      </c>
      <c r="D26" s="105">
        <f t="shared" ca="1" si="0"/>
        <v>5000</v>
      </c>
      <c r="E26" s="106" t="s">
        <v>111</v>
      </c>
      <c r="F26" s="59"/>
      <c r="G26" s="59"/>
      <c r="H26" s="59">
        <f ca="1">IF(H25&lt;0,0,H25*参数输入表!$H$134)</f>
        <v>47.747671966880084</v>
      </c>
      <c r="I26" s="59">
        <f ca="1">IF(H28&gt;=参数输入表!$H$133,0,IF(I25&lt;0,0,IF(I25*参数输入表!$H$134&gt;=I27,I27,I25*参数输入表!$H$134)))</f>
        <v>90.275519751728396</v>
      </c>
      <c r="J26" s="59">
        <f ca="1">IF(I28&gt;=参数输入表!$H$133,0,IF(J25&lt;0,0,IF(J25*参数输入表!$H$134&gt;=J27,J27,J25*参数输入表!$H$134)))</f>
        <v>128.58137469754104</v>
      </c>
      <c r="K26" s="59">
        <f ca="1">IF(J28&gt;=参数输入表!$H$133,0,IF(K25&lt;0,0,IF(K25*参数输入表!$H$134&gt;=K27,K27,K25*参数输入表!$H$134)))</f>
        <v>156.05813547630655</v>
      </c>
      <c r="L26" s="59">
        <f ca="1">IF(K28&gt;=参数输入表!$H$133,0,IF(L25&lt;0,0,IF(L25*参数输入表!$H$134&gt;=L27,L27,L25*参数输入表!$H$134)))</f>
        <v>181.70086444451928</v>
      </c>
      <c r="M26" s="59">
        <f ca="1">IF(L28&gt;=参数输入表!$H$133,0,IF(M25&lt;0,0,IF(M25*参数输入表!$H$134&gt;=M27,M27,M25*参数输入表!$H$134)))</f>
        <v>214.0158344310376</v>
      </c>
      <c r="N26" s="59">
        <f ca="1">IF(M28&gt;=参数输入表!$H$133,0,IF(N25&lt;0,0,IF(N25*参数输入表!$H$134&gt;=N27,N27,N25*参数输入表!$H$134)))</f>
        <v>232.1081625035456</v>
      </c>
      <c r="O26" s="59">
        <f ca="1">IF(N28&gt;=参数输入表!$H$133,0,IF(O25&lt;0,0,IF(O25*参数输入表!$H$134&gt;=O27,O27,O25*参数输入表!$H$134)))</f>
        <v>247.46540223308207</v>
      </c>
      <c r="P26" s="59">
        <f ca="1">IF(O28&gt;=参数输入表!$H$133,0,IF(P25&lt;0,0,IF(P25*参数输入表!$H$134&gt;=P27,P27,P25*参数输入表!$H$134)))</f>
        <v>262.79307928478062</v>
      </c>
      <c r="Q26" s="59">
        <f ca="1">IF(P28&gt;=参数输入表!$H$133,0,IF(Q25&lt;0,0,IF(Q25*参数输入表!$H$134&gt;=Q27,Q27,Q25*参数输入表!$H$134)))</f>
        <v>278.10136300885472</v>
      </c>
      <c r="R26" s="59">
        <f ca="1">IF(Q28&gt;=参数输入表!$H$133,0,IF(R25&lt;0,0,IF(R25*参数输入表!$H$134&gt;=R27,R27,R25*参数输入表!$H$134)))</f>
        <v>287.02457289461029</v>
      </c>
      <c r="S26" s="59">
        <f ca="1">IF(R28&gt;=参数输入表!$H$133,0,IF(S25&lt;0,0,IF(S25*参数输入表!$H$134&gt;=S27,S27,S25*参数输入表!$H$134)))</f>
        <v>296.65729058090312</v>
      </c>
      <c r="T26" s="59">
        <f ca="1">IF(S28&gt;=参数输入表!$H$133,0,IF(T25&lt;0,0,IF(T25*参数输入表!$H$134&gt;=T27,T27,T25*参数输入表!$H$134)))</f>
        <v>307.36619199568514</v>
      </c>
      <c r="U26" s="59">
        <f ca="1">IF(T28&gt;=参数输入表!$H$133,0,IF(U25&lt;0,0,IF(U25*参数输入表!$H$134&gt;=U27,U27,U25*参数输入表!$H$134)))</f>
        <v>318.95127327948546</v>
      </c>
      <c r="V26" s="59">
        <f ca="1">IF(U28&gt;=参数输入表!$H$133,0,IF(V25&lt;0,0,IF(V25*参数输入表!$H$134&gt;=V27,V27,V25*参数输入表!$H$134)))</f>
        <v>331.25051118641227</v>
      </c>
      <c r="W26" s="59">
        <f ca="1">IF(V28&gt;=参数输入表!$H$133,0,IF(W25&lt;0,0,IF(W25*参数输入表!$H$134&gt;=W27,W27,W25*参数输入表!$H$134)))</f>
        <v>340.28830718185611</v>
      </c>
      <c r="X26" s="59">
        <f ca="1">IF(W28&gt;=参数输入表!$H$133,0,IF(X25&lt;0,0,IF(X25*参数输入表!$H$134&gt;=X27,X27,X25*参数输入表!$H$134)))</f>
        <v>346.63311934571936</v>
      </c>
      <c r="Y26" s="59">
        <f ca="1">IF(X28&gt;=参数输入表!$H$133,0,IF(Y25&lt;0,0,IF(Y25*参数输入表!$H$134&gt;=Y27,Y27,Y25*参数输入表!$H$134)))</f>
        <v>350.80100571766843</v>
      </c>
      <c r="Z26" s="59">
        <f ca="1">IF(Y28&gt;=参数输入表!$H$133,0,IF(Z25&lt;0,0,IF(Z25*参数输入表!$H$134&gt;=Z27,Z27,Z25*参数输入表!$H$134)))</f>
        <v>353.20995354983108</v>
      </c>
      <c r="AA26" s="59">
        <f ca="1">IF(Z28&gt;=参数输入表!$H$133,0,IF(AA25&lt;0,0,IF(AA25*参数输入表!$H$134&gt;=AA27,AA27,AA25*参数输入表!$H$134)))</f>
        <v>228.97036646955257</v>
      </c>
      <c r="AB26" s="59">
        <f ca="1">IF(AA28&gt;=参数输入表!$H$133,0,IF(AB25&lt;0,0,IF(AB25*参数输入表!$H$134&gt;=AB27,AB27,AB25*参数输入表!$H$134)))</f>
        <v>0</v>
      </c>
      <c r="AC26" s="59">
        <f ca="1">IF(AB28&gt;=参数输入表!$H$133,0,IF(AC25&lt;0,0,IF(AC25*参数输入表!$H$134&gt;=AC27,AC27,AC25*参数输入表!$H$134)))</f>
        <v>0</v>
      </c>
      <c r="AD26" s="59">
        <f ca="1">IF(AC28&gt;=参数输入表!$H$133,0,IF(AD25&lt;0,0,IF(AD25*参数输入表!$H$134&gt;=AD27,AD27,AD25*参数输入表!$H$134)))</f>
        <v>0</v>
      </c>
      <c r="AE26" s="59">
        <f ca="1">IF(AD28&gt;=参数输入表!$H$133,0,IF(AE25&lt;0,0,IF(AE25*参数输入表!$H$134&gt;=AE27,AE27,AE25*参数输入表!$H$134)))</f>
        <v>0</v>
      </c>
      <c r="AF26" s="59">
        <f ca="1">IF(AE28&gt;=参数输入表!$H$133,0,IF(AF25&lt;0,0,IF(AF25*参数输入表!$H$134&gt;=AF27,AF27,AF25*参数输入表!$H$134)))</f>
        <v>0</v>
      </c>
    </row>
    <row r="27" spans="2:32">
      <c r="B27" s="56"/>
      <c r="C27" s="113" t="s">
        <v>473</v>
      </c>
      <c r="D27" s="114"/>
      <c r="E27" s="106" t="s">
        <v>111</v>
      </c>
      <c r="F27" s="59"/>
      <c r="G27" s="59"/>
      <c r="H27" s="59">
        <f>参数输入表!$H$133</f>
        <v>5000</v>
      </c>
      <c r="I27" s="59">
        <f ca="1">参数输入表!$H$133-H28</f>
        <v>4952.2523280331197</v>
      </c>
      <c r="J27" s="59">
        <f ca="1">参数输入表!$H$133-I28</f>
        <v>4861.9768082813916</v>
      </c>
      <c r="K27" s="59">
        <f ca="1">参数输入表!$H$133-J28</f>
        <v>4733.3954335838507</v>
      </c>
      <c r="L27" s="59">
        <f ca="1">参数输入表!$H$133-K28</f>
        <v>4577.3372981075436</v>
      </c>
      <c r="M27" s="59">
        <f ca="1">参数输入表!$H$133-L28</f>
        <v>4395.6364336630249</v>
      </c>
      <c r="N27" s="59">
        <f ca="1">参数输入表!$H$133-M28</f>
        <v>4181.6205992319865</v>
      </c>
      <c r="O27" s="59">
        <f ca="1">参数输入表!$H$133-N28</f>
        <v>3949.5124367284416</v>
      </c>
      <c r="P27" s="59">
        <f ca="1">参数输入表!$H$133-O28</f>
        <v>3702.0470344953592</v>
      </c>
      <c r="Q27" s="59">
        <f ca="1">参数输入表!$H$133-P28</f>
        <v>3439.2539552105786</v>
      </c>
      <c r="R27" s="59">
        <f ca="1">参数输入表!$H$133-Q28</f>
        <v>3161.152592201724</v>
      </c>
      <c r="S27" s="59">
        <f ca="1">参数输入表!$H$133-R28</f>
        <v>2874.1280193071138</v>
      </c>
      <c r="T27" s="59">
        <f ca="1">参数输入表!$H$133-S28</f>
        <v>2577.4707287262108</v>
      </c>
      <c r="U27" s="59">
        <f ca="1">参数输入表!$H$133-T28</f>
        <v>2270.1045367305255</v>
      </c>
      <c r="V27" s="59">
        <f ca="1">参数输入表!$H$133-U28</f>
        <v>1951.1532634510399</v>
      </c>
      <c r="W27" s="59">
        <f ca="1">参数输入表!$H$133-V28</f>
        <v>1619.9027522646275</v>
      </c>
      <c r="X27" s="59">
        <f ca="1">参数输入表!$H$133-W28</f>
        <v>1279.6144450827715</v>
      </c>
      <c r="Y27" s="59">
        <f ca="1">参数输入表!$H$133-X28</f>
        <v>932.98132573705198</v>
      </c>
      <c r="Z27" s="59">
        <f ca="1">参数输入表!$H$133-Y28</f>
        <v>582.18032001938354</v>
      </c>
      <c r="AA27" s="59">
        <f ca="1">参数输入表!$H$133-Z28</f>
        <v>228.97036646955257</v>
      </c>
      <c r="AB27" s="59">
        <f ca="1">参数输入表!$H$133-AA28</f>
        <v>0</v>
      </c>
      <c r="AC27" s="59">
        <f ca="1">参数输入表!$H$133-AB28</f>
        <v>0</v>
      </c>
      <c r="AD27" s="59">
        <f ca="1">参数输入表!$H$133-AC28</f>
        <v>0</v>
      </c>
      <c r="AE27" s="59">
        <f ca="1">参数输入表!$H$133-AD28</f>
        <v>0</v>
      </c>
      <c r="AF27" s="59">
        <f ca="1">参数输入表!$H$133-AE28</f>
        <v>0</v>
      </c>
    </row>
    <row r="28" spans="2:32">
      <c r="B28" s="56"/>
      <c r="C28" s="113" t="s">
        <v>474</v>
      </c>
      <c r="D28" s="114"/>
      <c r="E28" s="106" t="s">
        <v>111</v>
      </c>
      <c r="F28" s="59"/>
      <c r="G28" s="59"/>
      <c r="H28" s="59">
        <f ca="1">H26</f>
        <v>47.747671966880084</v>
      </c>
      <c r="I28" s="59">
        <f ca="1">I26+H28</f>
        <v>138.02319171860847</v>
      </c>
      <c r="J28" s="59">
        <f t="shared" ref="J28:AF28" ca="1" si="14">J26+I28</f>
        <v>266.60456641614951</v>
      </c>
      <c r="K28" s="59">
        <f t="shared" ca="1" si="14"/>
        <v>422.66270189245608</v>
      </c>
      <c r="L28" s="59">
        <f t="shared" ca="1" si="14"/>
        <v>604.3635663369754</v>
      </c>
      <c r="M28" s="59">
        <f t="shared" ca="1" si="14"/>
        <v>818.37940076801306</v>
      </c>
      <c r="N28" s="59">
        <f t="shared" ca="1" si="14"/>
        <v>1050.4875632715587</v>
      </c>
      <c r="O28" s="59">
        <f t="shared" ca="1" si="14"/>
        <v>1297.9529655046408</v>
      </c>
      <c r="P28" s="59">
        <f t="shared" ca="1" si="14"/>
        <v>1560.7460447894214</v>
      </c>
      <c r="Q28" s="59">
        <f t="shared" ca="1" si="14"/>
        <v>1838.847407798276</v>
      </c>
      <c r="R28" s="59">
        <f t="shared" ca="1" si="14"/>
        <v>2125.8719806928862</v>
      </c>
      <c r="S28" s="59">
        <f t="shared" ca="1" si="14"/>
        <v>2422.5292712737892</v>
      </c>
      <c r="T28" s="59">
        <f t="shared" ca="1" si="14"/>
        <v>2729.8954632694745</v>
      </c>
      <c r="U28" s="59">
        <f t="shared" ca="1" si="14"/>
        <v>3048.8467365489601</v>
      </c>
      <c r="V28" s="59">
        <f t="shared" ca="1" si="14"/>
        <v>3380.0972477353725</v>
      </c>
      <c r="W28" s="59">
        <f t="shared" ca="1" si="14"/>
        <v>3720.3855549172285</v>
      </c>
      <c r="X28" s="59">
        <f t="shared" ca="1" si="14"/>
        <v>4067.018674262948</v>
      </c>
      <c r="Y28" s="59">
        <f t="shared" ca="1" si="14"/>
        <v>4417.8196799806165</v>
      </c>
      <c r="Z28" s="59">
        <f t="shared" ca="1" si="14"/>
        <v>4771.0296335304474</v>
      </c>
      <c r="AA28" s="59">
        <f t="shared" ca="1" si="14"/>
        <v>5000</v>
      </c>
      <c r="AB28" s="59">
        <f t="shared" ca="1" si="14"/>
        <v>5000</v>
      </c>
      <c r="AC28" s="59">
        <f t="shared" ca="1" si="14"/>
        <v>5000</v>
      </c>
      <c r="AD28" s="59">
        <f t="shared" ca="1" si="14"/>
        <v>5000</v>
      </c>
      <c r="AE28" s="59">
        <f t="shared" ca="1" si="14"/>
        <v>5000</v>
      </c>
      <c r="AF28" s="59">
        <f t="shared" ca="1" si="14"/>
        <v>5000</v>
      </c>
    </row>
    <row r="29" spans="2:32">
      <c r="B29" s="107">
        <v>14</v>
      </c>
      <c r="C29" s="119" t="s">
        <v>475</v>
      </c>
      <c r="D29" s="105">
        <f t="shared" ca="1" si="0"/>
        <v>78481.690789825385</v>
      </c>
      <c r="E29" s="106" t="s">
        <v>111</v>
      </c>
      <c r="F29" s="59"/>
      <c r="G29" s="59"/>
      <c r="H29" s="59">
        <f ca="1">H25-H26</f>
        <v>429.72904770192071</v>
      </c>
      <c r="I29" s="59">
        <f t="shared" ref="I29:AF29" ca="1" si="15">I25-I26</f>
        <v>812.47967776555549</v>
      </c>
      <c r="J29" s="59">
        <f t="shared" ca="1" si="15"/>
        <v>1157.2323722778692</v>
      </c>
      <c r="K29" s="59">
        <f t="shared" ca="1" si="15"/>
        <v>1404.5232192867588</v>
      </c>
      <c r="L29" s="59">
        <f t="shared" ca="1" si="15"/>
        <v>1635.3077800006733</v>
      </c>
      <c r="M29" s="59">
        <f t="shared" ca="1" si="15"/>
        <v>1926.1425098793384</v>
      </c>
      <c r="N29" s="59">
        <f t="shared" ca="1" si="15"/>
        <v>2088.9734625319106</v>
      </c>
      <c r="O29" s="59">
        <f t="shared" ca="1" si="15"/>
        <v>2227.1886200977387</v>
      </c>
      <c r="P29" s="59">
        <f t="shared" ca="1" si="15"/>
        <v>2365.1377135630255</v>
      </c>
      <c r="Q29" s="59">
        <f t="shared" ca="1" si="15"/>
        <v>2502.9122670796924</v>
      </c>
      <c r="R29" s="59">
        <f t="shared" ca="1" si="15"/>
        <v>2583.2211560514925</v>
      </c>
      <c r="S29" s="59">
        <f t="shared" ca="1" si="15"/>
        <v>2669.915615228128</v>
      </c>
      <c r="T29" s="59">
        <f t="shared" ca="1" si="15"/>
        <v>2766.295727961166</v>
      </c>
      <c r="U29" s="59">
        <f t="shared" ca="1" si="15"/>
        <v>2870.5614595153688</v>
      </c>
      <c r="V29" s="59">
        <f t="shared" ca="1" si="15"/>
        <v>2981.2546006777102</v>
      </c>
      <c r="W29" s="59">
        <f t="shared" ca="1" si="15"/>
        <v>3062.5947646367049</v>
      </c>
      <c r="X29" s="59">
        <f t="shared" ca="1" si="15"/>
        <v>3119.6980741114739</v>
      </c>
      <c r="Y29" s="59">
        <f t="shared" ca="1" si="15"/>
        <v>3157.2090514590159</v>
      </c>
      <c r="Z29" s="59">
        <f t="shared" ca="1" si="15"/>
        <v>3178.8895819484796</v>
      </c>
      <c r="AA29" s="59">
        <f t="shared" ca="1" si="15"/>
        <v>3313.0147619839172</v>
      </c>
      <c r="AB29" s="59">
        <f t="shared" ca="1" si="15"/>
        <v>4518.1774573718967</v>
      </c>
      <c r="AC29" s="59">
        <f t="shared" ca="1" si="15"/>
        <v>5593.2834457516756</v>
      </c>
      <c r="AD29" s="59">
        <f t="shared" ca="1" si="15"/>
        <v>6551.3813297926936</v>
      </c>
      <c r="AE29" s="59">
        <f t="shared" ca="1" si="15"/>
        <v>7404.2146587035786</v>
      </c>
      <c r="AF29" s="59">
        <f t="shared" ca="1" si="15"/>
        <v>8162.3524344476082</v>
      </c>
    </row>
    <row r="30" spans="2:32">
      <c r="B30" s="107">
        <v>15</v>
      </c>
      <c r="C30" s="119" t="s">
        <v>476</v>
      </c>
      <c r="D30" s="105">
        <f t="shared" ca="1" si="0"/>
        <v>0</v>
      </c>
      <c r="E30" s="106" t="s">
        <v>111</v>
      </c>
      <c r="F30" s="59"/>
      <c r="G30" s="59"/>
      <c r="H30" s="59">
        <f ca="1">H29*参数输入表!$H$135</f>
        <v>0</v>
      </c>
      <c r="I30" s="59">
        <f ca="1">I29*参数输入表!$H$135</f>
        <v>0</v>
      </c>
      <c r="J30" s="59">
        <f ca="1">J29*参数输入表!$H$135</f>
        <v>0</v>
      </c>
      <c r="K30" s="59">
        <f ca="1">K29*参数输入表!$H$135</f>
        <v>0</v>
      </c>
      <c r="L30" s="59">
        <f ca="1">L29*参数输入表!$H$135</f>
        <v>0</v>
      </c>
      <c r="M30" s="59">
        <f ca="1">M29*参数输入表!$H$135</f>
        <v>0</v>
      </c>
      <c r="N30" s="59">
        <f ca="1">N29*参数输入表!$H$135</f>
        <v>0</v>
      </c>
      <c r="O30" s="59">
        <f ca="1">O29*参数输入表!$H$135</f>
        <v>0</v>
      </c>
      <c r="P30" s="59">
        <f ca="1">P29*参数输入表!$H$135</f>
        <v>0</v>
      </c>
      <c r="Q30" s="59">
        <f ca="1">Q29*参数输入表!$H$135</f>
        <v>0</v>
      </c>
      <c r="R30" s="59">
        <f ca="1">R29*参数输入表!$H$135</f>
        <v>0</v>
      </c>
      <c r="S30" s="59">
        <f ca="1">S29*参数输入表!$H$135</f>
        <v>0</v>
      </c>
      <c r="T30" s="59">
        <f ca="1">T29*参数输入表!$H$135</f>
        <v>0</v>
      </c>
      <c r="U30" s="59">
        <f ca="1">U29*参数输入表!$H$135</f>
        <v>0</v>
      </c>
      <c r="V30" s="59">
        <f ca="1">V29*参数输入表!$H$135</f>
        <v>0</v>
      </c>
      <c r="W30" s="59">
        <f ca="1">W29*参数输入表!$H$135</f>
        <v>0</v>
      </c>
      <c r="X30" s="59">
        <f ca="1">X29*参数输入表!$H$135</f>
        <v>0</v>
      </c>
      <c r="Y30" s="59">
        <f ca="1">Y29*参数输入表!$H$135</f>
        <v>0</v>
      </c>
      <c r="Z30" s="59">
        <f ca="1">Z29*参数输入表!$H$135</f>
        <v>0</v>
      </c>
      <c r="AA30" s="59">
        <f ca="1">AA29*参数输入表!$H$135</f>
        <v>0</v>
      </c>
      <c r="AB30" s="59">
        <f ca="1">AB29*参数输入表!$H$135</f>
        <v>0</v>
      </c>
      <c r="AC30" s="59">
        <f ca="1">AC29*参数输入表!$H$135</f>
        <v>0</v>
      </c>
      <c r="AD30" s="59">
        <f ca="1">AD29*参数输入表!$H$135</f>
        <v>0</v>
      </c>
      <c r="AE30" s="59">
        <f ca="1">AE29*参数输入表!$H$135</f>
        <v>0</v>
      </c>
      <c r="AF30" s="59">
        <f ca="1">AF29*参数输入表!$H$135</f>
        <v>0</v>
      </c>
    </row>
    <row r="31" spans="2:32">
      <c r="B31" s="107">
        <v>16</v>
      </c>
      <c r="C31" s="119" t="s">
        <v>477</v>
      </c>
      <c r="D31" s="105">
        <f t="shared" ca="1" si="0"/>
        <v>7848.1690789825398</v>
      </c>
      <c r="E31" s="106" t="s">
        <v>111</v>
      </c>
      <c r="F31" s="59"/>
      <c r="G31" s="59"/>
      <c r="H31" s="59">
        <f ca="1">IF(H29&lt;0,0,H29*0.1)</f>
        <v>42.972904770192073</v>
      </c>
      <c r="I31" s="59">
        <f t="shared" ref="I31:AF31" ca="1" si="16">IF(I29&lt;0,0,I29*0.1)</f>
        <v>81.247967776555555</v>
      </c>
      <c r="J31" s="59">
        <f t="shared" ca="1" si="16"/>
        <v>115.72323722778692</v>
      </c>
      <c r="K31" s="59">
        <f t="shared" ca="1" si="16"/>
        <v>140.4523219286759</v>
      </c>
      <c r="L31" s="59">
        <f t="shared" ca="1" si="16"/>
        <v>163.53077800006736</v>
      </c>
      <c r="M31" s="59">
        <f t="shared" ca="1" si="16"/>
        <v>192.61425098793384</v>
      </c>
      <c r="N31" s="59">
        <f t="shared" ca="1" si="16"/>
        <v>208.89734625319107</v>
      </c>
      <c r="O31" s="59">
        <f t="shared" ca="1" si="16"/>
        <v>222.71886200977389</v>
      </c>
      <c r="P31" s="59">
        <f t="shared" ca="1" si="16"/>
        <v>236.51377135630256</v>
      </c>
      <c r="Q31" s="59">
        <f t="shared" ca="1" si="16"/>
        <v>250.29122670796926</v>
      </c>
      <c r="R31" s="59">
        <f t="shared" ca="1" si="16"/>
        <v>258.32211560514924</v>
      </c>
      <c r="S31" s="59">
        <f t="shared" ca="1" si="16"/>
        <v>266.99156152281279</v>
      </c>
      <c r="T31" s="59">
        <f t="shared" ca="1" si="16"/>
        <v>276.62957279611663</v>
      </c>
      <c r="U31" s="59">
        <f t="shared" ca="1" si="16"/>
        <v>287.05614595153691</v>
      </c>
      <c r="V31" s="59">
        <f t="shared" ca="1" si="16"/>
        <v>298.12546006777103</v>
      </c>
      <c r="W31" s="59">
        <f t="shared" ca="1" si="16"/>
        <v>306.25947646367052</v>
      </c>
      <c r="X31" s="59">
        <f t="shared" ca="1" si="16"/>
        <v>311.96980741114743</v>
      </c>
      <c r="Y31" s="59">
        <f t="shared" ca="1" si="16"/>
        <v>315.72090514590161</v>
      </c>
      <c r="Z31" s="59">
        <f t="shared" ca="1" si="16"/>
        <v>317.88895819484799</v>
      </c>
      <c r="AA31" s="59">
        <f t="shared" ca="1" si="16"/>
        <v>331.30147619839175</v>
      </c>
      <c r="AB31" s="59">
        <f t="shared" ca="1" si="16"/>
        <v>451.81774573718968</v>
      </c>
      <c r="AC31" s="59">
        <f t="shared" ca="1" si="16"/>
        <v>559.32834457516753</v>
      </c>
      <c r="AD31" s="59">
        <f t="shared" ca="1" si="16"/>
        <v>655.13813297926936</v>
      </c>
      <c r="AE31" s="59">
        <f t="shared" ca="1" si="16"/>
        <v>740.42146587035791</v>
      </c>
      <c r="AF31" s="59">
        <f t="shared" ca="1" si="16"/>
        <v>816.23524344476084</v>
      </c>
    </row>
    <row r="32" spans="2:32">
      <c r="B32" s="107">
        <v>17</v>
      </c>
      <c r="C32" s="119" t="s">
        <v>478</v>
      </c>
      <c r="D32" s="105">
        <f t="shared" ca="1" si="0"/>
        <v>70633.521710842862</v>
      </c>
      <c r="E32" s="106" t="s">
        <v>111</v>
      </c>
      <c r="F32" s="59"/>
      <c r="G32" s="59"/>
      <c r="H32" s="59">
        <f ca="1">H29-H30-H31</f>
        <v>386.75614293172862</v>
      </c>
      <c r="I32" s="59">
        <f t="shared" ref="I32:AF32" ca="1" si="17">I29-I30-I31</f>
        <v>731.23170998899991</v>
      </c>
      <c r="J32" s="59">
        <f t="shared" ca="1" si="17"/>
        <v>1041.5091350500823</v>
      </c>
      <c r="K32" s="59">
        <f t="shared" ca="1" si="17"/>
        <v>1264.0708973580829</v>
      </c>
      <c r="L32" s="59">
        <f t="shared" ca="1" si="17"/>
        <v>1471.777002000606</v>
      </c>
      <c r="M32" s="59">
        <f t="shared" ca="1" si="17"/>
        <v>1733.5282588914044</v>
      </c>
      <c r="N32" s="59">
        <f t="shared" ca="1" si="17"/>
        <v>1880.0761162787196</v>
      </c>
      <c r="O32" s="59">
        <f t="shared" ca="1" si="17"/>
        <v>2004.4697580879649</v>
      </c>
      <c r="P32" s="59">
        <f t="shared" ca="1" si="17"/>
        <v>2128.6239422067229</v>
      </c>
      <c r="Q32" s="59">
        <f t="shared" ca="1" si="17"/>
        <v>2252.6210403717232</v>
      </c>
      <c r="R32" s="59">
        <f t="shared" ca="1" si="17"/>
        <v>2324.8990404463434</v>
      </c>
      <c r="S32" s="59">
        <f t="shared" ca="1" si="17"/>
        <v>2402.9240537053151</v>
      </c>
      <c r="T32" s="59">
        <f t="shared" ca="1" si="17"/>
        <v>2489.6661551650495</v>
      </c>
      <c r="U32" s="59">
        <f t="shared" ca="1" si="17"/>
        <v>2583.5053135638318</v>
      </c>
      <c r="V32" s="59">
        <f t="shared" ca="1" si="17"/>
        <v>2683.129140609939</v>
      </c>
      <c r="W32" s="59">
        <f t="shared" ca="1" si="17"/>
        <v>2756.3352881730343</v>
      </c>
      <c r="X32" s="59">
        <f t="shared" ca="1" si="17"/>
        <v>2807.7282667003265</v>
      </c>
      <c r="Y32" s="59">
        <f t="shared" ca="1" si="17"/>
        <v>2841.4881463131142</v>
      </c>
      <c r="Z32" s="59">
        <f t="shared" ca="1" si="17"/>
        <v>2861.0006237536318</v>
      </c>
      <c r="AA32" s="59">
        <f t="shared" ca="1" si="17"/>
        <v>2981.7132857855254</v>
      </c>
      <c r="AB32" s="59">
        <f t="shared" ca="1" si="17"/>
        <v>4066.3597116347069</v>
      </c>
      <c r="AC32" s="59">
        <f t="shared" ca="1" si="17"/>
        <v>5033.9551011765079</v>
      </c>
      <c r="AD32" s="59">
        <f t="shared" ca="1" si="17"/>
        <v>5896.2431968134242</v>
      </c>
      <c r="AE32" s="59">
        <f t="shared" ca="1" si="17"/>
        <v>6663.7931928332209</v>
      </c>
      <c r="AF32" s="59">
        <f t="shared" ca="1" si="17"/>
        <v>7346.117191002847</v>
      </c>
    </row>
    <row r="33" spans="2:32">
      <c r="B33" s="107">
        <v>18</v>
      </c>
      <c r="C33" s="119" t="s">
        <v>479</v>
      </c>
      <c r="D33" s="105">
        <f t="shared" ca="1" si="0"/>
        <v>32960.870286234742</v>
      </c>
      <c r="E33" s="106" t="s">
        <v>111</v>
      </c>
      <c r="F33" s="59"/>
      <c r="G33" s="59"/>
      <c r="H33" s="59">
        <f ca="1">H14+'表1-资金筹措及还本付息表'!H83</f>
        <v>1262.6780237740218</v>
      </c>
      <c r="I33" s="59">
        <f ca="1">I14+'表1-资金筹措及还本付息表'!I83</f>
        <v>1261.0746177039537</v>
      </c>
      <c r="J33" s="59">
        <f ca="1">J14+'表1-资金筹措及还本付息表'!J83</f>
        <v>1258.0873324424606</v>
      </c>
      <c r="K33" s="59">
        <f ca="1">K14+'表1-资金筹措及还本付息表'!K83</f>
        <v>1253.6638921155522</v>
      </c>
      <c r="L33" s="59">
        <f ca="1">L14+'表1-资金筹措及还本付息表'!L83</f>
        <v>1247.7501499707696</v>
      </c>
      <c r="M33" s="59">
        <f ca="1">M14+'表1-资金筹措及还本付息表'!M83</f>
        <v>1333.4622660951343</v>
      </c>
      <c r="N33" s="59">
        <f ca="1">N14+'表1-资金筹措及还本付息表'!N83</f>
        <v>1305.11489863725</v>
      </c>
      <c r="O33" s="59">
        <f ca="1">O14+'表1-资金筹措及还本付息表'!O83</f>
        <v>1264.8695386893983</v>
      </c>
      <c r="P33" s="59">
        <f ca="1">P14+'表1-资金筹措及还本付息表'!P83</f>
        <v>1251.9829529340918</v>
      </c>
      <c r="Q33" s="59">
        <f ca="1">Q14+'表1-资金筹措及还本付息表'!Q83</f>
        <v>1237.3067591326135</v>
      </c>
      <c r="R33" s="59">
        <f ca="1">R14+'表1-资金筹措及还本付息表'!R83</f>
        <v>1135.788777098523</v>
      </c>
      <c r="S33" s="59">
        <f ca="1">S14+'表1-资金筹措及还本付息表'!S83</f>
        <v>1110.7037691389673</v>
      </c>
      <c r="T33" s="59">
        <f ca="1">T14+'表1-资金筹措及还本付息表'!T83</f>
        <v>1090.2477725410818</v>
      </c>
      <c r="U33" s="59">
        <f ca="1">U14+'表1-资金筹措及还本付息表'!U83</f>
        <v>1067.7199020089015</v>
      </c>
      <c r="V33" s="59">
        <f ca="1">V14+'表1-资金筹措及还本付息表'!V83</f>
        <v>1043.0431557143618</v>
      </c>
      <c r="W33" s="59">
        <f ca="1">W14+'表1-资金筹措及还本付息表'!W83</f>
        <v>964.87990827816259</v>
      </c>
      <c r="X33" s="59">
        <f ca="1">X14+'表1-资金筹措及还本付息表'!X83</f>
        <v>951.86920704554552</v>
      </c>
      <c r="Y33" s="59">
        <f ca="1">Y14+'表1-资金筹措及还本付息表'!Y83</f>
        <v>938.91705396847703</v>
      </c>
      <c r="Z33" s="59">
        <f ca="1">Z14+'表1-资金筹措及还本付息表'!Z83</f>
        <v>926.02318558026161</v>
      </c>
      <c r="AA33" s="59">
        <f ca="1">AA14+'表1-资金筹措及还本付息表'!AA83</f>
        <v>913.1873395997842</v>
      </c>
      <c r="AB33" s="59">
        <f ca="1">AB14+'表1-资金筹措及还本付息表'!AB83</f>
        <v>2053.8268954484952</v>
      </c>
      <c r="AC33" s="59">
        <f ca="1">AC14+'表1-资金筹措及还本付息表'!AC83</f>
        <v>2041.1063121559584</v>
      </c>
      <c r="AD33" s="59">
        <f ca="1">AD14+'表1-资金筹措及还本付息表'!AD83</f>
        <v>2028.4429714882483</v>
      </c>
      <c r="AE33" s="59">
        <f ca="1">AE14+'表1-资金筹措及还本付息表'!AE83</f>
        <v>2015.8366158535389</v>
      </c>
      <c r="AF33" s="59">
        <f ca="1">AF14+'表1-资金筹措及还本付息表'!AF83</f>
        <v>2003.2869888191831</v>
      </c>
    </row>
    <row r="34" spans="2:32">
      <c r="B34" s="107">
        <v>19</v>
      </c>
      <c r="C34" s="119" t="s">
        <v>480</v>
      </c>
      <c r="D34" s="105">
        <f t="shared" ca="1" si="0"/>
        <v>56650.840520673024</v>
      </c>
      <c r="E34" s="106" t="s">
        <v>111</v>
      </c>
      <c r="F34" s="59"/>
      <c r="G34" s="59"/>
      <c r="H34" s="59">
        <f ca="1">H33+'表2-折旧摊销表'!H39</f>
        <v>2426.9995443454945</v>
      </c>
      <c r="I34" s="59">
        <f ca="1">I33+'表2-折旧摊销表'!I39</f>
        <v>2425.3961382754264</v>
      </c>
      <c r="J34" s="59">
        <f ca="1">J33+'表2-折旧摊销表'!J39</f>
        <v>2422.4088530139334</v>
      </c>
      <c r="K34" s="59">
        <f ca="1">K33+'表2-折旧摊销表'!K39</f>
        <v>2417.985412687025</v>
      </c>
      <c r="L34" s="59">
        <f ca="1">L33+'表2-折旧摊销表'!L39</f>
        <v>2412.0716705422424</v>
      </c>
      <c r="M34" s="59">
        <f ca="1">M33+'表2-折旧摊销表'!M39</f>
        <v>2497.7837866666068</v>
      </c>
      <c r="N34" s="59">
        <f ca="1">N33+'表2-折旧摊销表'!N39</f>
        <v>2469.4364192087228</v>
      </c>
      <c r="O34" s="59">
        <f ca="1">O33+'表2-折旧摊销表'!O39</f>
        <v>2429.191059260871</v>
      </c>
      <c r="P34" s="59">
        <f ca="1">P33+'表2-折旧摊销表'!P39</f>
        <v>2416.3044735055646</v>
      </c>
      <c r="Q34" s="59">
        <f ca="1">Q33+'表2-折旧摊销表'!Q39</f>
        <v>2401.6282797040863</v>
      </c>
      <c r="R34" s="59">
        <f ca="1">R33+'表2-折旧摊销表'!R39</f>
        <v>2340.4642799708809</v>
      </c>
      <c r="S34" s="59">
        <f ca="1">S33+'表2-折旧摊销表'!S39</f>
        <v>2315.3792720113252</v>
      </c>
      <c r="T34" s="59">
        <f ca="1">T33+'表2-折旧摊销表'!T39</f>
        <v>2294.9232754134396</v>
      </c>
      <c r="U34" s="59">
        <f ca="1">U33+'表2-折旧摊销表'!U39</f>
        <v>2272.3954048812593</v>
      </c>
      <c r="V34" s="59">
        <f ca="1">V33+'表2-折旧摊销表'!V39</f>
        <v>2247.7186585867194</v>
      </c>
      <c r="W34" s="59">
        <f ca="1">W33+'表2-折旧摊销表'!W39</f>
        <v>2169.5554111505203</v>
      </c>
      <c r="X34" s="59">
        <f ca="1">X33+'表2-折旧摊销表'!X39</f>
        <v>2156.5447099179032</v>
      </c>
      <c r="Y34" s="59">
        <f ca="1">Y33+'表2-折旧摊销表'!Y39</f>
        <v>2143.5925568408347</v>
      </c>
      <c r="Z34" s="59">
        <f ca="1">Z33+'表2-折旧摊销表'!Z39</f>
        <v>2130.6986884526195</v>
      </c>
      <c r="AA34" s="59">
        <f ca="1">AA33+'表2-折旧摊销表'!AA39</f>
        <v>2117.8628424721419</v>
      </c>
      <c r="AB34" s="59">
        <f ca="1">AB33+'表2-折旧摊销表'!AB39</f>
        <v>2053.8268954484952</v>
      </c>
      <c r="AC34" s="59">
        <f ca="1">AC33+'表2-折旧摊销表'!AC39</f>
        <v>2041.1063121559584</v>
      </c>
      <c r="AD34" s="59">
        <f ca="1">AD33+'表2-折旧摊销表'!AD39</f>
        <v>2028.4429714882483</v>
      </c>
      <c r="AE34" s="59">
        <f ca="1">AE33+'表2-折旧摊销表'!AE39</f>
        <v>2015.8366158535389</v>
      </c>
      <c r="AF34" s="59">
        <f ca="1">AF33+'表2-折旧摊销表'!AF39</f>
        <v>2003.2869888191831</v>
      </c>
    </row>
    <row r="36" spans="2:32" ht="21.5">
      <c r="C36" s="71" t="s">
        <v>481</v>
      </c>
    </row>
    <row r="37" spans="2:32" ht="21.5">
      <c r="C37" s="71" t="s">
        <v>482</v>
      </c>
    </row>
    <row r="38" spans="2:32" ht="21.5">
      <c r="C38" s="71" t="s">
        <v>483</v>
      </c>
    </row>
    <row r="39" spans="2:32" ht="21.5">
      <c r="C39" s="71"/>
    </row>
    <row r="40" spans="2:32" ht="21.5">
      <c r="C40" s="71" t="s">
        <v>412</v>
      </c>
    </row>
    <row r="41" spans="2:32" ht="21.5">
      <c r="C41" s="71" t="s">
        <v>446</v>
      </c>
    </row>
  </sheetData>
  <mergeCells count="6">
    <mergeCell ref="F3:G3"/>
    <mergeCell ref="H3:AF3"/>
    <mergeCell ref="B3:B4"/>
    <mergeCell ref="C3:C4"/>
    <mergeCell ref="D3:D4"/>
    <mergeCell ref="E3:E4"/>
  </mergeCells>
  <phoneticPr fontId="51"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F57"/>
  <sheetViews>
    <sheetView showGridLines="0" topLeftCell="A18" zoomScale="60" zoomScaleNormal="60" workbookViewId="0">
      <selection activeCell="I42" sqref="I42"/>
    </sheetView>
  </sheetViews>
  <sheetFormatPr defaultColWidth="8.81640625" defaultRowHeight="16.5"/>
  <cols>
    <col min="1" max="1" width="2.36328125" style="49" customWidth="1"/>
    <col min="2" max="2" width="8.81640625" style="122"/>
    <col min="3" max="3" width="31" style="49" customWidth="1"/>
    <col min="4" max="4" width="17.36328125" style="49" customWidth="1"/>
    <col min="5" max="5" width="8.81640625" style="49"/>
    <col min="6" max="6" width="14.6328125" style="49" customWidth="1"/>
    <col min="7" max="7" width="15.36328125" style="49" customWidth="1"/>
    <col min="8" max="12" width="14.6328125" style="49" customWidth="1"/>
    <col min="13" max="16" width="13.54296875" style="49" customWidth="1"/>
    <col min="17" max="17" width="14.6328125" style="49" customWidth="1"/>
    <col min="18" max="18" width="14.6328125" style="123" customWidth="1"/>
    <col min="19" max="20" width="14.6328125" style="49" customWidth="1"/>
    <col min="21" max="28" width="13.54296875" style="49" customWidth="1"/>
    <col min="29" max="29" width="15.7265625" style="49" customWidth="1"/>
    <col min="30" max="32" width="13.54296875" style="49" customWidth="1"/>
    <col min="33" max="16384" width="8.81640625" style="49"/>
  </cols>
  <sheetData>
    <row r="1" spans="2:32" ht="7" customHeight="1"/>
    <row r="2" spans="2:32" ht="21" customHeight="1">
      <c r="B2" s="124" t="s">
        <v>484</v>
      </c>
    </row>
    <row r="3" spans="2:32">
      <c r="B3" s="354" t="s">
        <v>14</v>
      </c>
      <c r="C3" s="354" t="s">
        <v>323</v>
      </c>
      <c r="D3" s="354" t="s">
        <v>311</v>
      </c>
      <c r="E3" s="354" t="s">
        <v>39</v>
      </c>
      <c r="F3" s="342" t="s">
        <v>43</v>
      </c>
      <c r="G3" s="342"/>
      <c r="H3" s="343" t="s">
        <v>54</v>
      </c>
      <c r="I3" s="343"/>
      <c r="J3" s="343"/>
      <c r="K3" s="343"/>
      <c r="L3" s="343"/>
      <c r="M3" s="343"/>
      <c r="N3" s="343"/>
      <c r="O3" s="343"/>
      <c r="P3" s="343"/>
      <c r="Q3" s="343"/>
      <c r="R3" s="361"/>
      <c r="S3" s="343"/>
      <c r="T3" s="343"/>
      <c r="U3" s="343"/>
      <c r="V3" s="343"/>
      <c r="W3" s="343"/>
      <c r="X3" s="343"/>
      <c r="Y3" s="343"/>
      <c r="Z3" s="343"/>
      <c r="AA3" s="343"/>
      <c r="AB3" s="343"/>
      <c r="AC3" s="343"/>
      <c r="AD3" s="343"/>
      <c r="AE3" s="343"/>
      <c r="AF3" s="343"/>
    </row>
    <row r="4" spans="2:32">
      <c r="B4" s="355"/>
      <c r="C4" s="355"/>
      <c r="D4" s="355"/>
      <c r="E4" s="355"/>
      <c r="F4" s="51">
        <v>1</v>
      </c>
      <c r="G4" s="51">
        <v>2</v>
      </c>
      <c r="H4" s="52">
        <v>1</v>
      </c>
      <c r="I4" s="52">
        <v>2</v>
      </c>
      <c r="J4" s="52">
        <v>3</v>
      </c>
      <c r="K4" s="52">
        <v>4</v>
      </c>
      <c r="L4" s="52">
        <v>5</v>
      </c>
      <c r="M4" s="52">
        <v>6</v>
      </c>
      <c r="N4" s="52">
        <v>7</v>
      </c>
      <c r="O4" s="52">
        <v>8</v>
      </c>
      <c r="P4" s="52">
        <v>9</v>
      </c>
      <c r="Q4" s="52">
        <v>10</v>
      </c>
      <c r="R4" s="125">
        <v>11</v>
      </c>
      <c r="S4" s="52">
        <v>12</v>
      </c>
      <c r="T4" s="52">
        <v>13</v>
      </c>
      <c r="U4" s="52">
        <v>14</v>
      </c>
      <c r="V4" s="52">
        <v>15</v>
      </c>
      <c r="W4" s="52">
        <v>16</v>
      </c>
      <c r="X4" s="52">
        <v>17</v>
      </c>
      <c r="Y4" s="52">
        <v>18</v>
      </c>
      <c r="Z4" s="52">
        <v>19</v>
      </c>
      <c r="AA4" s="52">
        <v>20</v>
      </c>
      <c r="AB4" s="52">
        <v>21</v>
      </c>
      <c r="AC4" s="52">
        <v>22</v>
      </c>
      <c r="AD4" s="52">
        <v>23</v>
      </c>
      <c r="AE4" s="52">
        <v>24</v>
      </c>
      <c r="AF4" s="52">
        <v>25</v>
      </c>
    </row>
    <row r="5" spans="2:32">
      <c r="B5" s="76">
        <v>1</v>
      </c>
      <c r="C5" s="77" t="s">
        <v>485</v>
      </c>
      <c r="D5" s="78">
        <f ca="1">SUM(F5:AF5)</f>
        <v>106473.59822021525</v>
      </c>
      <c r="E5" s="56" t="s">
        <v>111</v>
      </c>
      <c r="F5" s="55">
        <f ca="1">SUM(F6:F12)</f>
        <v>21666.480669589477</v>
      </c>
      <c r="G5" s="55">
        <f t="shared" ref="G5:AF5" si="0">SUM(G6:G12)</f>
        <v>0</v>
      </c>
      <c r="H5" s="55">
        <f t="shared" ca="1" si="0"/>
        <v>3384.27936</v>
      </c>
      <c r="I5" s="55">
        <f t="shared" ca="1" si="0"/>
        <v>3369.0501028799999</v>
      </c>
      <c r="J5" s="55">
        <f t="shared" ca="1" si="0"/>
        <v>3353.8893774170401</v>
      </c>
      <c r="K5" s="55">
        <f t="shared" ca="1" si="0"/>
        <v>3338.7968752186598</v>
      </c>
      <c r="L5" s="55">
        <f t="shared" ca="1" si="0"/>
        <v>3323.7722892801798</v>
      </c>
      <c r="M5" s="55">
        <f t="shared" ca="1" si="0"/>
        <v>3472.0213354188299</v>
      </c>
      <c r="N5" s="55">
        <f t="shared" ca="1" si="0"/>
        <v>3456.3972394094499</v>
      </c>
      <c r="O5" s="55">
        <f t="shared" ca="1" si="0"/>
        <v>3440.8434518321101</v>
      </c>
      <c r="P5" s="55">
        <f t="shared" ca="1" si="0"/>
        <v>3425.35965629886</v>
      </c>
      <c r="Q5" s="55">
        <f t="shared" ca="1" si="0"/>
        <v>3409.94553784552</v>
      </c>
      <c r="R5" s="126">
        <f t="shared" ca="1" si="0"/>
        <v>3394.6007829252098</v>
      </c>
      <c r="S5" s="55">
        <f t="shared" ca="1" si="0"/>
        <v>3379.3250794020501</v>
      </c>
      <c r="T5" s="55">
        <f t="shared" ca="1" si="0"/>
        <v>3364.1181165447401</v>
      </c>
      <c r="U5" s="55">
        <f t="shared" ca="1" si="0"/>
        <v>3348.97958502029</v>
      </c>
      <c r="V5" s="55">
        <f t="shared" ca="1" si="0"/>
        <v>3333.9091768877001</v>
      </c>
      <c r="W5" s="55">
        <f t="shared" ca="1" si="0"/>
        <v>3318.9065855917001</v>
      </c>
      <c r="X5" s="55">
        <f t="shared" ca="1" si="0"/>
        <v>3303.9715059565401</v>
      </c>
      <c r="Y5" s="55">
        <f t="shared" ca="1" si="0"/>
        <v>3289.1036341797399</v>
      </c>
      <c r="Z5" s="55">
        <f t="shared" ca="1" si="0"/>
        <v>3274.3026678259298</v>
      </c>
      <c r="AA5" s="55">
        <f t="shared" ca="1" si="0"/>
        <v>3259.5683058207101</v>
      </c>
      <c r="AB5" s="55">
        <f t="shared" ca="1" si="0"/>
        <v>3244.90024844452</v>
      </c>
      <c r="AC5" s="55">
        <f t="shared" ca="1" si="0"/>
        <v>3230.29819732652</v>
      </c>
      <c r="AD5" s="55">
        <f t="shared" ca="1" si="0"/>
        <v>3215.7618554385499</v>
      </c>
      <c r="AE5" s="55">
        <f t="shared" ca="1" si="0"/>
        <v>3201.29092708908</v>
      </c>
      <c r="AF5" s="55">
        <f t="shared" ca="1" si="0"/>
        <v>4673.725656571828</v>
      </c>
    </row>
    <row r="6" spans="2:32" s="47" customFormat="1" ht="18" customHeight="1">
      <c r="B6" s="79">
        <v>1.1000000000000001</v>
      </c>
      <c r="C6" s="80" t="s">
        <v>320</v>
      </c>
      <c r="D6" s="81">
        <f ca="1">SUM(F6:AF6)</f>
        <v>21666.480669589477</v>
      </c>
      <c r="E6" s="66" t="s">
        <v>111</v>
      </c>
      <c r="F6" s="68">
        <f ca="1">'表1-资金筹措及还本付息表'!F80</f>
        <v>21666.480669589477</v>
      </c>
      <c r="G6" s="68">
        <f>'表1-资金筹措及还本付息表'!G80</f>
        <v>0</v>
      </c>
      <c r="H6" s="68">
        <v>0</v>
      </c>
      <c r="I6" s="68">
        <v>0</v>
      </c>
      <c r="J6" s="68">
        <v>0</v>
      </c>
      <c r="K6" s="68">
        <v>0</v>
      </c>
      <c r="L6" s="68">
        <v>0</v>
      </c>
      <c r="M6" s="68">
        <v>0</v>
      </c>
      <c r="N6" s="68">
        <v>0</v>
      </c>
      <c r="O6" s="68">
        <v>0</v>
      </c>
      <c r="P6" s="68">
        <v>0</v>
      </c>
      <c r="Q6" s="68">
        <v>0</v>
      </c>
      <c r="R6" s="68">
        <v>0</v>
      </c>
      <c r="S6" s="68">
        <v>0</v>
      </c>
      <c r="T6" s="68">
        <v>0</v>
      </c>
      <c r="U6" s="68">
        <v>0</v>
      </c>
      <c r="V6" s="68">
        <v>0</v>
      </c>
      <c r="W6" s="68">
        <v>0</v>
      </c>
      <c r="X6" s="68">
        <v>0</v>
      </c>
      <c r="Y6" s="68">
        <v>0</v>
      </c>
      <c r="Z6" s="68">
        <v>0</v>
      </c>
      <c r="AA6" s="68">
        <v>0</v>
      </c>
      <c r="AB6" s="68">
        <v>0</v>
      </c>
      <c r="AC6" s="68">
        <v>0</v>
      </c>
      <c r="AD6" s="68">
        <v>0</v>
      </c>
      <c r="AE6" s="68">
        <v>0</v>
      </c>
      <c r="AF6" s="68">
        <v>0</v>
      </c>
    </row>
    <row r="7" spans="2:32" s="47" customFormat="1">
      <c r="B7" s="79">
        <v>1.2</v>
      </c>
      <c r="C7" s="80" t="s">
        <v>486</v>
      </c>
      <c r="D7" s="81">
        <f>SUM(F7:AF7)</f>
        <v>83320.277011971106</v>
      </c>
      <c r="E7" s="66" t="s">
        <v>111</v>
      </c>
      <c r="F7" s="68"/>
      <c r="G7" s="68"/>
      <c r="H7" s="68">
        <f>('表4-收入税金表'!H6+'表4-收入税金表'!H24)</f>
        <v>3384.27936</v>
      </c>
      <c r="I7" s="68">
        <f>('表4-收入税金表'!I6+'表4-收入税金表'!I24)</f>
        <v>3369.0501028799999</v>
      </c>
      <c r="J7" s="68">
        <f>('表4-收入税金表'!J6+'表4-收入税金表'!J24)</f>
        <v>3353.8893774170401</v>
      </c>
      <c r="K7" s="68">
        <f>('表4-收入税金表'!K6+'表4-收入税金表'!K24)</f>
        <v>3338.7968752186598</v>
      </c>
      <c r="L7" s="68">
        <f>('表4-收入税金表'!L6+'表4-收入税金表'!L24)</f>
        <v>3323.7722892801798</v>
      </c>
      <c r="M7" s="68">
        <f>('表4-收入税金表'!M6+'表4-收入税金表'!M24)</f>
        <v>3472.0213354188299</v>
      </c>
      <c r="N7" s="68">
        <f>('表4-收入税金表'!N6+'表4-收入税金表'!N24)</f>
        <v>3456.3972394094499</v>
      </c>
      <c r="O7" s="68">
        <f>('表4-收入税金表'!O6+'表4-收入税金表'!O24)</f>
        <v>3440.8434518321101</v>
      </c>
      <c r="P7" s="68">
        <f>('表4-收入税金表'!P6+'表4-收入税金表'!P24)</f>
        <v>3425.35965629886</v>
      </c>
      <c r="Q7" s="68">
        <f>('表4-收入税金表'!Q6+'表4-收入税金表'!Q24)</f>
        <v>3409.94553784552</v>
      </c>
      <c r="R7" s="127">
        <f>('表4-收入税金表'!R6+'表4-收入税金表'!R24)</f>
        <v>3394.6007829252098</v>
      </c>
      <c r="S7" s="68">
        <f>('表4-收入税金表'!S6+'表4-收入税金表'!S24)</f>
        <v>3379.3250794020501</v>
      </c>
      <c r="T7" s="68">
        <f>('表4-收入税金表'!T6+'表4-收入税金表'!T24)</f>
        <v>3364.1181165447401</v>
      </c>
      <c r="U7" s="68">
        <f>('表4-收入税金表'!U6+'表4-收入税金表'!U24)</f>
        <v>3348.97958502029</v>
      </c>
      <c r="V7" s="68">
        <f>('表4-收入税金表'!V6+'表4-收入税金表'!V24)</f>
        <v>3333.9091768877001</v>
      </c>
      <c r="W7" s="68">
        <f>('表4-收入税金表'!W6+'表4-收入税金表'!W24)</f>
        <v>3318.9065855917001</v>
      </c>
      <c r="X7" s="68">
        <f>('表4-收入税金表'!X6+'表4-收入税金表'!X24)</f>
        <v>3303.9715059565401</v>
      </c>
      <c r="Y7" s="68">
        <f>('表4-收入税金表'!Y6+'表4-收入税金表'!Y24)</f>
        <v>3289.1036341797399</v>
      </c>
      <c r="Z7" s="68">
        <f>('表4-收入税金表'!Z6+'表4-收入税金表'!Z24)</f>
        <v>3274.3026678259298</v>
      </c>
      <c r="AA7" s="68">
        <f>('表4-收入税金表'!AA6+'表4-收入税金表'!AA24)</f>
        <v>3259.5683058207101</v>
      </c>
      <c r="AB7" s="68">
        <f>('表4-收入税金表'!AB6+'表4-收入税金表'!AB24)</f>
        <v>3244.90024844452</v>
      </c>
      <c r="AC7" s="68">
        <f>('表4-收入税金表'!AC6+'表4-收入税金表'!AC24)</f>
        <v>3230.29819732652</v>
      </c>
      <c r="AD7" s="68">
        <f>('表4-收入税金表'!AD6+'表4-收入税金表'!AD24)</f>
        <v>3215.7618554385499</v>
      </c>
      <c r="AE7" s="68">
        <f>('表4-收入税金表'!AE6+'表4-收入税金表'!AE24)</f>
        <v>3201.29092708908</v>
      </c>
      <c r="AF7" s="68">
        <f>('表4-收入税金表'!AF6+'表4-收入税金表'!AF24)</f>
        <v>3186.8851179171802</v>
      </c>
    </row>
    <row r="8" spans="2:32">
      <c r="B8" s="82">
        <v>1.3</v>
      </c>
      <c r="C8" s="83" t="s">
        <v>260</v>
      </c>
      <c r="D8" s="84">
        <f t="shared" ref="D8:D27" si="1">SUM(F8:AF8)</f>
        <v>0</v>
      </c>
      <c r="E8" s="56" t="s">
        <v>111</v>
      </c>
      <c r="F8" s="59"/>
      <c r="G8" s="59"/>
      <c r="H8" s="59">
        <f>('表4-收入税金表'!H16+'表4-收入税金表'!H25)</f>
        <v>0</v>
      </c>
      <c r="I8" s="59">
        <f>('表4-收入税金表'!I16+'表4-收入税金表'!I25)</f>
        <v>0</v>
      </c>
      <c r="J8" s="59">
        <f>('表4-收入税金表'!J16+'表4-收入税金表'!J25)</f>
        <v>0</v>
      </c>
      <c r="K8" s="59">
        <f>('表4-收入税金表'!K16+'表4-收入税金表'!K25)</f>
        <v>0</v>
      </c>
      <c r="L8" s="59">
        <f>('表4-收入税金表'!L16+'表4-收入税金表'!L25)</f>
        <v>0</v>
      </c>
      <c r="M8" s="59">
        <f>('表4-收入税金表'!M16+'表4-收入税金表'!M25)</f>
        <v>0</v>
      </c>
      <c r="N8" s="59">
        <f>('表4-收入税金表'!N16+'表4-收入税金表'!N25)</f>
        <v>0</v>
      </c>
      <c r="O8" s="59">
        <f>('表4-收入税金表'!O16+'表4-收入税金表'!O25)</f>
        <v>0</v>
      </c>
      <c r="P8" s="59">
        <f>('表4-收入税金表'!P16+'表4-收入税金表'!P25)</f>
        <v>0</v>
      </c>
      <c r="Q8" s="59">
        <f>('表4-收入税金表'!Q16+'表4-收入税金表'!Q25)</f>
        <v>0</v>
      </c>
      <c r="R8" s="128">
        <f>('表4-收入税金表'!R16+'表4-收入税金表'!R25)</f>
        <v>0</v>
      </c>
      <c r="S8" s="59">
        <f>('表4-收入税金表'!S16+'表4-收入税金表'!S25)</f>
        <v>0</v>
      </c>
      <c r="T8" s="59">
        <f>('表4-收入税金表'!T16+'表4-收入税金表'!T25)</f>
        <v>0</v>
      </c>
      <c r="U8" s="59">
        <f>('表4-收入税金表'!U16+'表4-收入税金表'!U25)</f>
        <v>0</v>
      </c>
      <c r="V8" s="59">
        <f>('表4-收入税金表'!V16+'表4-收入税金表'!V25)</f>
        <v>0</v>
      </c>
      <c r="W8" s="59">
        <f>('表4-收入税金表'!W16+'表4-收入税金表'!W25)</f>
        <v>0</v>
      </c>
      <c r="X8" s="59">
        <f>('表4-收入税金表'!X16+'表4-收入税金表'!X25)</f>
        <v>0</v>
      </c>
      <c r="Y8" s="59">
        <f>('表4-收入税金表'!Y16+'表4-收入税金表'!Y25)</f>
        <v>0</v>
      </c>
      <c r="Z8" s="59">
        <f>('表4-收入税金表'!Z16+'表4-收入税金表'!Z25)</f>
        <v>0</v>
      </c>
      <c r="AA8" s="59">
        <f>('表4-收入税金表'!AA16+'表4-收入税金表'!AA25)</f>
        <v>0</v>
      </c>
      <c r="AB8" s="59">
        <f>('表4-收入税金表'!AB16+'表4-收入税金表'!AB25)</f>
        <v>0</v>
      </c>
      <c r="AC8" s="59">
        <f>('表4-收入税金表'!AC16+'表4-收入税金表'!AC25)</f>
        <v>0</v>
      </c>
      <c r="AD8" s="59">
        <f>('表4-收入税金表'!AD16+'表4-收入税金表'!AD25)</f>
        <v>0</v>
      </c>
      <c r="AE8" s="59">
        <f>('表4-收入税金表'!AE16+'表4-收入税金表'!AE25)</f>
        <v>0</v>
      </c>
      <c r="AF8" s="59">
        <f>('表4-收入税金表'!AF16+'表4-收入税金表'!AF25)</f>
        <v>0</v>
      </c>
    </row>
    <row r="9" spans="2:32">
      <c r="B9" s="82">
        <v>1.4</v>
      </c>
      <c r="C9" s="83" t="s">
        <v>419</v>
      </c>
      <c r="D9" s="84">
        <f t="shared" si="1"/>
        <v>0</v>
      </c>
      <c r="E9" s="56" t="s">
        <v>111</v>
      </c>
      <c r="F9" s="59"/>
      <c r="G9" s="59"/>
      <c r="H9" s="59">
        <f>参数输入表!H303</f>
        <v>0</v>
      </c>
      <c r="I9" s="59"/>
      <c r="J9" s="59"/>
      <c r="K9" s="59"/>
      <c r="L9" s="59"/>
      <c r="M9" s="59"/>
      <c r="N9" s="59"/>
      <c r="O9" s="59"/>
      <c r="P9" s="59"/>
      <c r="Q9" s="59"/>
      <c r="R9" s="128"/>
      <c r="S9" s="59"/>
      <c r="T9" s="59"/>
      <c r="U9" s="59"/>
      <c r="V9" s="59"/>
      <c r="W9" s="59"/>
      <c r="X9" s="59"/>
      <c r="Y9" s="59"/>
      <c r="Z9" s="59"/>
      <c r="AA9" s="59"/>
      <c r="AB9" s="59"/>
      <c r="AC9" s="59"/>
      <c r="AD9" s="59"/>
      <c r="AE9" s="59"/>
      <c r="AF9" s="59"/>
    </row>
    <row r="10" spans="2:32">
      <c r="B10" s="82">
        <v>1.5</v>
      </c>
      <c r="C10" s="83" t="s">
        <v>487</v>
      </c>
      <c r="D10" s="84">
        <f t="shared" ca="1" si="1"/>
        <v>1246.8405386546478</v>
      </c>
      <c r="E10" s="56" t="s">
        <v>111</v>
      </c>
      <c r="F10" s="59"/>
      <c r="G10" s="59"/>
      <c r="H10" s="59">
        <v>0</v>
      </c>
      <c r="I10" s="59">
        <v>0</v>
      </c>
      <c r="J10" s="59">
        <v>0</v>
      </c>
      <c r="K10" s="59">
        <v>0</v>
      </c>
      <c r="L10" s="59">
        <v>0</v>
      </c>
      <c r="M10" s="59">
        <v>0</v>
      </c>
      <c r="N10" s="59">
        <v>0</v>
      </c>
      <c r="O10" s="59">
        <v>0</v>
      </c>
      <c r="P10" s="59">
        <v>0</v>
      </c>
      <c r="Q10" s="59">
        <v>0</v>
      </c>
      <c r="R10" s="128">
        <v>0</v>
      </c>
      <c r="S10" s="59">
        <v>0</v>
      </c>
      <c r="T10" s="59">
        <v>0</v>
      </c>
      <c r="U10" s="59">
        <v>0</v>
      </c>
      <c r="V10" s="59">
        <v>0</v>
      </c>
      <c r="W10" s="59">
        <v>0</v>
      </c>
      <c r="X10" s="59">
        <v>0</v>
      </c>
      <c r="Y10" s="59">
        <v>0</v>
      </c>
      <c r="Z10" s="59">
        <v>0</v>
      </c>
      <c r="AA10" s="59">
        <v>0</v>
      </c>
      <c r="AB10" s="59">
        <v>0</v>
      </c>
      <c r="AC10" s="59">
        <v>0</v>
      </c>
      <c r="AD10" s="59">
        <v>0</v>
      </c>
      <c r="AE10" s="59">
        <v>0</v>
      </c>
      <c r="AF10" s="59">
        <f ca="1">(参数输入表!H117-参数输入表!H120)*参数输入表!H198+'表2-折旧摊销表'!R36*'表2-折旧摊销表'!D22</f>
        <v>1246.8405386546478</v>
      </c>
    </row>
    <row r="11" spans="2:32">
      <c r="B11" s="82">
        <v>1.6</v>
      </c>
      <c r="C11" s="83" t="s">
        <v>488</v>
      </c>
      <c r="D11" s="84">
        <f t="shared" si="1"/>
        <v>240</v>
      </c>
      <c r="E11" s="56" t="s">
        <v>111</v>
      </c>
      <c r="F11" s="59"/>
      <c r="G11" s="59"/>
      <c r="H11" s="59">
        <v>0</v>
      </c>
      <c r="I11" s="59"/>
      <c r="J11" s="59"/>
      <c r="K11" s="59"/>
      <c r="L11" s="59"/>
      <c r="M11" s="59"/>
      <c r="N11" s="59"/>
      <c r="O11" s="59"/>
      <c r="P11" s="59"/>
      <c r="Q11" s="59"/>
      <c r="R11" s="128"/>
      <c r="S11" s="59"/>
      <c r="T11" s="59"/>
      <c r="U11" s="59"/>
      <c r="V11" s="59"/>
      <c r="W11" s="59"/>
      <c r="X11" s="59"/>
      <c r="Y11" s="59"/>
      <c r="Z11" s="59"/>
      <c r="AA11" s="59"/>
      <c r="AB11" s="59"/>
      <c r="AC11" s="59"/>
      <c r="AD11" s="59"/>
      <c r="AE11" s="59"/>
      <c r="AF11" s="59">
        <f>'表1-资金筹措及还本付息表'!H6</f>
        <v>240</v>
      </c>
    </row>
    <row r="12" spans="2:32">
      <c r="B12" s="82">
        <v>1.7</v>
      </c>
      <c r="C12" s="83" t="s">
        <v>420</v>
      </c>
      <c r="D12" s="84">
        <f t="shared" ca="1" si="1"/>
        <v>0</v>
      </c>
      <c r="E12" s="56" t="s">
        <v>111</v>
      </c>
      <c r="F12" s="59"/>
      <c r="G12" s="59"/>
      <c r="H12" s="59">
        <f ca="1">'表4-收入税金表'!H19</f>
        <v>0</v>
      </c>
      <c r="I12" s="59">
        <f ca="1">'表4-收入税金表'!I19</f>
        <v>0</v>
      </c>
      <c r="J12" s="59">
        <f ca="1">'表4-收入税金表'!J19</f>
        <v>0</v>
      </c>
      <c r="K12" s="59">
        <f ca="1">'表4-收入税金表'!K19</f>
        <v>0</v>
      </c>
      <c r="L12" s="59">
        <f ca="1">'表4-收入税金表'!L19</f>
        <v>0</v>
      </c>
      <c r="M12" s="59">
        <f ca="1">'表4-收入税金表'!M19</f>
        <v>0</v>
      </c>
      <c r="N12" s="59">
        <f ca="1">'表4-收入税金表'!N19</f>
        <v>0</v>
      </c>
      <c r="O12" s="59">
        <f ca="1">'表4-收入税金表'!O19</f>
        <v>0</v>
      </c>
      <c r="P12" s="59">
        <f ca="1">'表4-收入税金表'!P19</f>
        <v>0</v>
      </c>
      <c r="Q12" s="59">
        <f ca="1">'表4-收入税金表'!Q19</f>
        <v>0</v>
      </c>
      <c r="R12" s="128">
        <f ca="1">'表4-收入税金表'!R19</f>
        <v>0</v>
      </c>
      <c r="S12" s="59">
        <f ca="1">'表4-收入税金表'!S19</f>
        <v>0</v>
      </c>
      <c r="T12" s="59">
        <f ca="1">'表4-收入税金表'!T19</f>
        <v>0</v>
      </c>
      <c r="U12" s="59">
        <f ca="1">'表4-收入税金表'!U19</f>
        <v>0</v>
      </c>
      <c r="V12" s="59">
        <f ca="1">'表4-收入税金表'!V19</f>
        <v>0</v>
      </c>
      <c r="W12" s="59">
        <f ca="1">'表4-收入税金表'!W19</f>
        <v>0</v>
      </c>
      <c r="X12" s="59">
        <f ca="1">'表4-收入税金表'!X19</f>
        <v>0</v>
      </c>
      <c r="Y12" s="59">
        <f ca="1">'表4-收入税金表'!Y19</f>
        <v>0</v>
      </c>
      <c r="Z12" s="59">
        <f ca="1">'表4-收入税金表'!Z19</f>
        <v>0</v>
      </c>
      <c r="AA12" s="59">
        <f ca="1">'表4-收入税金表'!AA19</f>
        <v>0</v>
      </c>
      <c r="AB12" s="59">
        <f ca="1">'表4-收入税金表'!AB19</f>
        <v>0</v>
      </c>
      <c r="AC12" s="59">
        <f ca="1">'表4-收入税金表'!AC19</f>
        <v>0</v>
      </c>
      <c r="AD12" s="59">
        <f ca="1">'表4-收入税金表'!AD19</f>
        <v>0</v>
      </c>
      <c r="AE12" s="59">
        <f ca="1">'表4-收入税金表'!AE19</f>
        <v>0</v>
      </c>
      <c r="AF12" s="59">
        <f ca="1">'表4-收入税金表'!AF19</f>
        <v>0</v>
      </c>
    </row>
    <row r="13" spans="2:32">
      <c r="B13" s="76">
        <v>2</v>
      </c>
      <c r="C13" s="77" t="s">
        <v>489</v>
      </c>
      <c r="D13" s="78">
        <f t="shared" ca="1" si="1"/>
        <v>80395.405570478746</v>
      </c>
      <c r="E13" s="56" t="s">
        <v>111</v>
      </c>
      <c r="F13" s="55">
        <f ca="1">F14+F17+F18+F22+F23+F24+F25+F26</f>
        <v>27083.100836986847</v>
      </c>
      <c r="G13" s="55">
        <f t="shared" ref="G13:AF13" si="2">G14+G17+G18+G22+G23+G24+G25+G26</f>
        <v>0</v>
      </c>
      <c r="H13" s="55">
        <f t="shared" ca="1" si="2"/>
        <v>2869.5712911246851</v>
      </c>
      <c r="I13" s="55">
        <f t="shared" ca="1" si="2"/>
        <v>2745.5717375176705</v>
      </c>
      <c r="J13" s="55">
        <f t="shared" ca="1" si="2"/>
        <v>2693.5721839106554</v>
      </c>
      <c r="K13" s="55">
        <f t="shared" ca="1" si="2"/>
        <v>2641.5726303036408</v>
      </c>
      <c r="L13" s="55">
        <f t="shared" ca="1" si="2"/>
        <v>2589.5730766966262</v>
      </c>
      <c r="M13" s="55">
        <f t="shared" ca="1" si="2"/>
        <v>2588.8313854397002</v>
      </c>
      <c r="N13" s="55">
        <f t="shared" ca="1" si="2"/>
        <v>2710.7381797346043</v>
      </c>
      <c r="O13" s="55">
        <f t="shared" ca="1" si="2"/>
        <v>2928.1834344971348</v>
      </c>
      <c r="P13" s="55">
        <f t="shared" ca="1" si="2"/>
        <v>2874.1888006868985</v>
      </c>
      <c r="Q13" s="55">
        <f t="shared" ca="1" si="2"/>
        <v>2820.2031447375771</v>
      </c>
      <c r="R13" s="126">
        <f t="shared" ca="1" si="2"/>
        <v>3235.6365009882638</v>
      </c>
      <c r="S13" s="55">
        <f t="shared" ca="1" si="2"/>
        <v>2763.5164673520694</v>
      </c>
      <c r="T13" s="55">
        <f t="shared" ca="1" si="2"/>
        <v>2709.5575033096361</v>
      </c>
      <c r="U13" s="55">
        <f t="shared" ca="1" si="2"/>
        <v>2655.6073566141608</v>
      </c>
      <c r="V13" s="55">
        <f t="shared" ca="1" si="2"/>
        <v>2601.665987587583</v>
      </c>
      <c r="W13" s="55">
        <f t="shared" ca="1" si="2"/>
        <v>1154.559174441185</v>
      </c>
      <c r="X13" s="55">
        <f t="shared" ca="1" si="2"/>
        <v>1152.634796038637</v>
      </c>
      <c r="Y13" s="55">
        <f t="shared" ca="1" si="2"/>
        <v>1150.7190773388991</v>
      </c>
      <c r="Z13" s="55">
        <f t="shared" ca="1" si="2"/>
        <v>1148.8119793733117</v>
      </c>
      <c r="AA13" s="55">
        <f t="shared" ca="1" si="2"/>
        <v>1146.9134633485683</v>
      </c>
      <c r="AB13" s="55">
        <f t="shared" ca="1" si="2"/>
        <v>1196.2813529960265</v>
      </c>
      <c r="AC13" s="55">
        <f t="shared" ca="1" si="2"/>
        <v>1194.399885170556</v>
      </c>
      <c r="AD13" s="55">
        <f t="shared" ca="1" si="2"/>
        <v>1192.5268839503008</v>
      </c>
      <c r="AE13" s="55">
        <f t="shared" ca="1" si="2"/>
        <v>1190.6623112355373</v>
      </c>
      <c r="AF13" s="55">
        <f t="shared" ca="1" si="2"/>
        <v>1356.806129097989</v>
      </c>
    </row>
    <row r="14" spans="2:32">
      <c r="B14" s="82">
        <v>2.1</v>
      </c>
      <c r="C14" s="83" t="s">
        <v>490</v>
      </c>
      <c r="D14" s="84">
        <f t="shared" ca="1" si="1"/>
        <v>27083.100836986847</v>
      </c>
      <c r="E14" s="56"/>
      <c r="F14" s="55">
        <f ca="1">SUM(F15:F16)</f>
        <v>27083.100836986847</v>
      </c>
      <c r="G14" s="55">
        <f>SUM(G15:G16)</f>
        <v>0</v>
      </c>
      <c r="H14" s="55"/>
      <c r="I14" s="55"/>
      <c r="J14" s="55"/>
      <c r="K14" s="55"/>
      <c r="L14" s="55"/>
      <c r="M14" s="55"/>
      <c r="N14" s="55"/>
      <c r="O14" s="55"/>
      <c r="P14" s="55"/>
      <c r="Q14" s="55"/>
      <c r="R14" s="126"/>
      <c r="S14" s="55"/>
      <c r="T14" s="55"/>
      <c r="U14" s="55"/>
      <c r="V14" s="55"/>
      <c r="W14" s="55"/>
      <c r="X14" s="55"/>
      <c r="Y14" s="55"/>
      <c r="Z14" s="55"/>
      <c r="AA14" s="55"/>
      <c r="AB14" s="55"/>
      <c r="AC14" s="55"/>
      <c r="AD14" s="55"/>
      <c r="AE14" s="55"/>
      <c r="AF14" s="55"/>
    </row>
    <row r="15" spans="2:32">
      <c r="B15" s="82"/>
      <c r="C15" s="129" t="s">
        <v>491</v>
      </c>
      <c r="D15" s="84">
        <f t="shared" ca="1" si="1"/>
        <v>5416.6201673973701</v>
      </c>
      <c r="E15" s="56" t="s">
        <v>111</v>
      </c>
      <c r="F15" s="59">
        <f ca="1">'表1-资金筹措及还本付息表'!D12</f>
        <v>5416.6201673973701</v>
      </c>
      <c r="G15" s="59">
        <f>'表1-资金筹措及还本付息表'!G11</f>
        <v>0</v>
      </c>
      <c r="H15" s="59"/>
      <c r="I15" s="59"/>
      <c r="J15" s="59"/>
      <c r="K15" s="59"/>
      <c r="L15" s="59"/>
      <c r="M15" s="59"/>
      <c r="N15" s="59"/>
      <c r="O15" s="59"/>
      <c r="P15" s="59"/>
      <c r="Q15" s="59"/>
      <c r="R15" s="128"/>
      <c r="S15" s="59"/>
      <c r="T15" s="59"/>
      <c r="U15" s="59"/>
      <c r="V15" s="59"/>
      <c r="W15" s="59"/>
      <c r="X15" s="59"/>
      <c r="Y15" s="59"/>
      <c r="Z15" s="59"/>
      <c r="AA15" s="59"/>
      <c r="AB15" s="59"/>
      <c r="AC15" s="59"/>
      <c r="AD15" s="59"/>
      <c r="AE15" s="59"/>
      <c r="AF15" s="59"/>
    </row>
    <row r="16" spans="2:32">
      <c r="B16" s="82"/>
      <c r="C16" s="129" t="s">
        <v>492</v>
      </c>
      <c r="D16" s="84">
        <f t="shared" ca="1" si="1"/>
        <v>21666.480669589477</v>
      </c>
      <c r="E16" s="56" t="s">
        <v>111</v>
      </c>
      <c r="F16" s="59">
        <f ca="1">'表1-资金筹措及还本付息表'!F15</f>
        <v>21666.480669589477</v>
      </c>
      <c r="G16" s="59">
        <f>'表1-资金筹措及还本付息表'!G15</f>
        <v>0</v>
      </c>
      <c r="H16" s="59"/>
      <c r="I16" s="59"/>
      <c r="J16" s="59"/>
      <c r="K16" s="59"/>
      <c r="L16" s="59"/>
      <c r="M16" s="59"/>
      <c r="N16" s="59"/>
      <c r="O16" s="59"/>
      <c r="P16" s="59"/>
      <c r="Q16" s="59"/>
      <c r="R16" s="128"/>
      <c r="S16" s="59"/>
      <c r="T16" s="59"/>
      <c r="U16" s="59"/>
      <c r="V16" s="59"/>
      <c r="W16" s="59"/>
      <c r="X16" s="59"/>
      <c r="Y16" s="59"/>
      <c r="Z16" s="59"/>
      <c r="AA16" s="59"/>
      <c r="AB16" s="59"/>
      <c r="AC16" s="59"/>
      <c r="AD16" s="59"/>
      <c r="AE16" s="59"/>
      <c r="AF16" s="59"/>
    </row>
    <row r="17" spans="2:32">
      <c r="B17" s="82">
        <v>2.2000000000000002</v>
      </c>
      <c r="C17" s="83" t="s">
        <v>493</v>
      </c>
      <c r="D17" s="84"/>
      <c r="E17" s="56"/>
      <c r="F17" s="59"/>
      <c r="G17" s="59"/>
      <c r="H17" s="59">
        <f>'表1-资金筹措及还本付息表'!H11</f>
        <v>72</v>
      </c>
      <c r="I17" s="59"/>
      <c r="J17" s="59"/>
      <c r="K17" s="59"/>
      <c r="L17" s="59"/>
      <c r="M17" s="59"/>
      <c r="N17" s="59"/>
      <c r="O17" s="59"/>
      <c r="P17" s="59"/>
      <c r="Q17" s="59"/>
      <c r="R17" s="128"/>
      <c r="S17" s="59"/>
      <c r="T17" s="59"/>
      <c r="U17" s="59"/>
      <c r="V17" s="59"/>
      <c r="W17" s="59"/>
      <c r="X17" s="59"/>
      <c r="Y17" s="59"/>
      <c r="Z17" s="59"/>
      <c r="AA17" s="59"/>
      <c r="AB17" s="59"/>
      <c r="AC17" s="59"/>
      <c r="AD17" s="59"/>
      <c r="AE17" s="59"/>
      <c r="AF17" s="59"/>
    </row>
    <row r="18" spans="2:32">
      <c r="B18" s="82">
        <v>2.2999999999999998</v>
      </c>
      <c r="C18" s="83" t="s">
        <v>494</v>
      </c>
      <c r="D18" s="84">
        <f t="shared" ca="1" si="1"/>
        <v>28204.627102431234</v>
      </c>
      <c r="E18" s="56" t="s">
        <v>111</v>
      </c>
      <c r="F18" s="59"/>
      <c r="G18" s="59"/>
      <c r="H18" s="59">
        <f ca="1">SUM(H19:H21)</f>
        <v>2229.6333487445195</v>
      </c>
      <c r="I18" s="59">
        <f t="shared" ref="I18:AF18" ca="1" si="3">SUM(I19:I21)</f>
        <v>2177.6337951375049</v>
      </c>
      <c r="J18" s="59">
        <f t="shared" ca="1" si="3"/>
        <v>2125.6342415304898</v>
      </c>
      <c r="K18" s="59">
        <f t="shared" ca="1" si="3"/>
        <v>2073.6346879234752</v>
      </c>
      <c r="L18" s="59">
        <f t="shared" ca="1" si="3"/>
        <v>2021.6351343164606</v>
      </c>
      <c r="M18" s="59">
        <f t="shared" ca="1" si="3"/>
        <v>1969.6355807094455</v>
      </c>
      <c r="N18" s="59">
        <f t="shared" ca="1" si="3"/>
        <v>1917.6360271024309</v>
      </c>
      <c r="O18" s="59">
        <f t="shared" ca="1" si="3"/>
        <v>1865.6364734954163</v>
      </c>
      <c r="P18" s="59">
        <f t="shared" ca="1" si="3"/>
        <v>1813.6369198884015</v>
      </c>
      <c r="Q18" s="59">
        <f t="shared" ca="1" si="3"/>
        <v>1761.6373662813867</v>
      </c>
      <c r="R18" s="128">
        <f t="shared" ca="1" si="3"/>
        <v>1709.6378126743718</v>
      </c>
      <c r="S18" s="59">
        <f t="shared" ca="1" si="3"/>
        <v>1657.6382590673572</v>
      </c>
      <c r="T18" s="59">
        <f t="shared" ca="1" si="3"/>
        <v>1605.6387054603424</v>
      </c>
      <c r="U18" s="59">
        <f t="shared" ca="1" si="3"/>
        <v>1553.6391518533276</v>
      </c>
      <c r="V18" s="59">
        <f t="shared" ca="1" si="3"/>
        <v>1501.639598246313</v>
      </c>
      <c r="W18" s="59">
        <f t="shared" ca="1" si="3"/>
        <v>5.2080000000000002</v>
      </c>
      <c r="X18" s="59">
        <f t="shared" ca="1" si="3"/>
        <v>5.2080000000000002</v>
      </c>
      <c r="Y18" s="59">
        <f t="shared" ca="1" si="3"/>
        <v>5.2080000000000002</v>
      </c>
      <c r="Z18" s="59">
        <f t="shared" ca="1" si="3"/>
        <v>5.2080000000000002</v>
      </c>
      <c r="AA18" s="59">
        <f t="shared" ca="1" si="3"/>
        <v>5.2080000000000002</v>
      </c>
      <c r="AB18" s="59">
        <f t="shared" ca="1" si="3"/>
        <v>5.2080000000000002</v>
      </c>
      <c r="AC18" s="59">
        <f t="shared" ca="1" si="3"/>
        <v>5.2080000000000002</v>
      </c>
      <c r="AD18" s="59">
        <f t="shared" ca="1" si="3"/>
        <v>5.2080000000000002</v>
      </c>
      <c r="AE18" s="59">
        <f t="shared" ca="1" si="3"/>
        <v>5.2080000000000002</v>
      </c>
      <c r="AF18" s="59">
        <f t="shared" ca="1" si="3"/>
        <v>173.208</v>
      </c>
    </row>
    <row r="19" spans="2:32">
      <c r="B19" s="130"/>
      <c r="C19" s="131" t="s">
        <v>495</v>
      </c>
      <c r="D19" s="84">
        <f t="shared" ca="1" si="1"/>
        <v>21834.480669589484</v>
      </c>
      <c r="E19" s="56" t="s">
        <v>111</v>
      </c>
      <c r="F19" s="59"/>
      <c r="G19" s="59"/>
      <c r="H19" s="59">
        <f ca="1">'表1-资金筹措及还本付息表'!H52</f>
        <v>1444.4320446392985</v>
      </c>
      <c r="I19" s="59">
        <f ca="1">'表1-资金筹措及还本付息表'!I52</f>
        <v>1444.4320446392985</v>
      </c>
      <c r="J19" s="59">
        <f ca="1">'表1-资金筹措及还本付息表'!J52</f>
        <v>1444.4320446392985</v>
      </c>
      <c r="K19" s="59">
        <f ca="1">'表1-资金筹措及还本付息表'!K52</f>
        <v>1444.4320446392985</v>
      </c>
      <c r="L19" s="59">
        <f ca="1">'表1-资金筹措及还本付息表'!L52</f>
        <v>1444.4320446392985</v>
      </c>
      <c r="M19" s="59">
        <f ca="1">'表1-资金筹措及还本付息表'!M52</f>
        <v>1444.4320446392985</v>
      </c>
      <c r="N19" s="59">
        <f ca="1">'表1-资金筹措及还本付息表'!N52</f>
        <v>1444.4320446392985</v>
      </c>
      <c r="O19" s="59">
        <f ca="1">'表1-资金筹措及还本付息表'!O52</f>
        <v>1444.4320446392985</v>
      </c>
      <c r="P19" s="59">
        <f ca="1">'表1-资金筹措及还本付息表'!P52</f>
        <v>1444.4320446392985</v>
      </c>
      <c r="Q19" s="59">
        <f ca="1">'表1-资金筹措及还本付息表'!Q52</f>
        <v>1444.4320446392985</v>
      </c>
      <c r="R19" s="128">
        <f ca="1">'表1-资金筹措及还本付息表'!R52</f>
        <v>1444.4320446392985</v>
      </c>
      <c r="S19" s="59">
        <f ca="1">'表1-资金筹措及还本付息表'!S52</f>
        <v>1444.4320446392985</v>
      </c>
      <c r="T19" s="59">
        <f ca="1">'表1-资金筹措及还本付息表'!T52</f>
        <v>1444.4320446392985</v>
      </c>
      <c r="U19" s="59">
        <f ca="1">'表1-资金筹措及还本付息表'!U52</f>
        <v>1444.4320446392985</v>
      </c>
      <c r="V19" s="59">
        <f ca="1">'表1-资金筹措及还本付息表'!V52</f>
        <v>1444.4320446392985</v>
      </c>
      <c r="W19" s="59">
        <f>'表1-资金筹措及还本付息表'!W52</f>
        <v>0</v>
      </c>
      <c r="X19" s="59">
        <f>'表1-资金筹措及还本付息表'!X52</f>
        <v>0</v>
      </c>
      <c r="Y19" s="59">
        <f>'表1-资金筹措及还本付息表'!Y52</f>
        <v>0</v>
      </c>
      <c r="Z19" s="59">
        <f>'表1-资金筹措及还本付息表'!Z52</f>
        <v>0</v>
      </c>
      <c r="AA19" s="59">
        <f>'表1-资金筹措及还本付息表'!AA52</f>
        <v>0</v>
      </c>
      <c r="AB19" s="59">
        <f>'表1-资金筹措及还本付息表'!AB52</f>
        <v>0</v>
      </c>
      <c r="AC19" s="59">
        <f>'表1-资金筹措及还本付息表'!AC52</f>
        <v>0</v>
      </c>
      <c r="AD19" s="59">
        <f>'表1-资金筹措及还本付息表'!AD52</f>
        <v>0</v>
      </c>
      <c r="AE19" s="59">
        <f>'表1-资金筹措及还本付息表'!AE52</f>
        <v>0</v>
      </c>
      <c r="AF19" s="59">
        <f>'表1-资金筹措及还本付息表'!H15</f>
        <v>168</v>
      </c>
    </row>
    <row r="20" spans="2:32">
      <c r="B20" s="130"/>
      <c r="C20" s="131" t="s">
        <v>496</v>
      </c>
      <c r="D20" s="84"/>
      <c r="E20" s="56" t="s">
        <v>111</v>
      </c>
      <c r="F20" s="59"/>
      <c r="G20" s="59"/>
      <c r="H20" s="59">
        <v>0</v>
      </c>
      <c r="I20" s="59">
        <f>'表1-资金筹措及还本付息表'!I62</f>
        <v>0</v>
      </c>
      <c r="J20" s="59">
        <f>'表1-资金筹措及还本付息表'!J62</f>
        <v>0</v>
      </c>
      <c r="K20" s="59">
        <f>'表1-资金筹措及还本付息表'!K62</f>
        <v>0</v>
      </c>
      <c r="L20" s="59">
        <f>'表1-资金筹措及还本付息表'!L62</f>
        <v>0</v>
      </c>
      <c r="M20" s="59">
        <f>'表1-资金筹措及还本付息表'!M62</f>
        <v>0</v>
      </c>
      <c r="N20" s="59">
        <f>'表1-资金筹措及还本付息表'!N62</f>
        <v>0</v>
      </c>
      <c r="O20" s="59">
        <f>'表1-资金筹措及还本付息表'!O62</f>
        <v>0</v>
      </c>
      <c r="P20" s="59">
        <f>'表1-资金筹措及还本付息表'!P62</f>
        <v>0</v>
      </c>
      <c r="Q20" s="59">
        <f>'表1-资金筹措及还本付息表'!Q62</f>
        <v>0</v>
      </c>
      <c r="R20" s="128">
        <f>'表1-资金筹措及还本付息表'!R62</f>
        <v>0</v>
      </c>
      <c r="S20" s="59">
        <f>'表1-资金筹措及还本付息表'!S62</f>
        <v>0</v>
      </c>
      <c r="T20" s="59">
        <f>'表1-资金筹措及还本付息表'!T62</f>
        <v>0</v>
      </c>
      <c r="U20" s="59">
        <f>'表1-资金筹措及还本付息表'!U62</f>
        <v>0</v>
      </c>
      <c r="V20" s="59">
        <f>'表1-资金筹措及还本付息表'!V62</f>
        <v>0</v>
      </c>
      <c r="W20" s="59">
        <f>'表1-资金筹措及还本付息表'!W62</f>
        <v>0</v>
      </c>
      <c r="X20" s="59">
        <f>'表1-资金筹措及还本付息表'!X62</f>
        <v>0</v>
      </c>
      <c r="Y20" s="59">
        <f>'表1-资金筹措及还本付息表'!Y62</f>
        <v>0</v>
      </c>
      <c r="Z20" s="59">
        <f>'表1-资金筹措及还本付息表'!Z62</f>
        <v>0</v>
      </c>
      <c r="AA20" s="59">
        <f>'表1-资金筹措及还本付息表'!AA62</f>
        <v>0</v>
      </c>
      <c r="AB20" s="59">
        <f>'表1-资金筹措及还本付息表'!AB62</f>
        <v>0</v>
      </c>
      <c r="AC20" s="59">
        <f>'表1-资金筹措及还本付息表'!AC62</f>
        <v>0</v>
      </c>
      <c r="AD20" s="59">
        <f>'表1-资金筹措及还本付息表'!AD62</f>
        <v>0</v>
      </c>
      <c r="AE20" s="59">
        <f>'表1-资金筹措及还本付息表'!AE62</f>
        <v>0</v>
      </c>
      <c r="AF20" s="59">
        <v>0</v>
      </c>
    </row>
    <row r="21" spans="2:32" s="47" customFormat="1">
      <c r="B21" s="79"/>
      <c r="C21" s="132" t="s">
        <v>497</v>
      </c>
      <c r="D21" s="81">
        <f t="shared" ca="1" si="1"/>
        <v>6370.1464328417605</v>
      </c>
      <c r="E21" s="66" t="s">
        <v>111</v>
      </c>
      <c r="F21" s="68"/>
      <c r="G21" s="68"/>
      <c r="H21" s="68">
        <f ca="1">'表1-资金筹措及还本付息表'!H93</f>
        <v>785.20130410522108</v>
      </c>
      <c r="I21" s="68">
        <f ca="1">'表1-资金筹措及还本付息表'!I93</f>
        <v>733.20175049820625</v>
      </c>
      <c r="J21" s="68">
        <f ca="1">'表1-资金筹措及还本付息表'!J93</f>
        <v>681.20219689119153</v>
      </c>
      <c r="K21" s="68">
        <f ca="1">'表1-资金筹措及还本付息表'!K93</f>
        <v>629.2026432841767</v>
      </c>
      <c r="L21" s="68">
        <f ca="1">'表1-资金筹措及还本付息表'!L93</f>
        <v>577.20308967716198</v>
      </c>
      <c r="M21" s="68">
        <f ca="1">'表1-资金筹措及还本付息表'!M93</f>
        <v>525.20353607014715</v>
      </c>
      <c r="N21" s="68">
        <f ca="1">'表1-资金筹措及还本付息表'!N93</f>
        <v>473.20398246313249</v>
      </c>
      <c r="O21" s="68">
        <f ca="1">'表1-资金筹措及还本付息表'!O93</f>
        <v>421.20442885611772</v>
      </c>
      <c r="P21" s="68">
        <f ca="1">'表1-资金筹措及还本付息表'!P93</f>
        <v>369.20487524910294</v>
      </c>
      <c r="Q21" s="68">
        <f ca="1">'表1-资金筹措及还本付息表'!Q93</f>
        <v>317.20532164208817</v>
      </c>
      <c r="R21" s="127">
        <f ca="1">'表1-资金筹措及还本付息表'!R93</f>
        <v>265.20576803507339</v>
      </c>
      <c r="S21" s="68">
        <f ca="1">'表1-资金筹措及还本付息表'!S93</f>
        <v>213.20621442805864</v>
      </c>
      <c r="T21" s="68">
        <f ca="1">'表1-资金筹措及还本付息表'!T93</f>
        <v>161.2066608210439</v>
      </c>
      <c r="U21" s="68">
        <f ca="1">'表1-资金筹措及还本付息表'!U93</f>
        <v>109.20710721402915</v>
      </c>
      <c r="V21" s="68">
        <f ca="1">'表1-资金筹措及还本付息表'!V93</f>
        <v>57.207553607014411</v>
      </c>
      <c r="W21" s="68">
        <f ca="1">'表1-资金筹措及还本付息表'!W93</f>
        <v>5.2080000000000002</v>
      </c>
      <c r="X21" s="68">
        <f ca="1">'表1-资金筹措及还本付息表'!X93</f>
        <v>5.2080000000000002</v>
      </c>
      <c r="Y21" s="68">
        <f ca="1">'表1-资金筹措及还本付息表'!Y93</f>
        <v>5.2080000000000002</v>
      </c>
      <c r="Z21" s="68">
        <f ca="1">'表1-资金筹措及还本付息表'!Z93</f>
        <v>5.2080000000000002</v>
      </c>
      <c r="AA21" s="68">
        <f ca="1">'表1-资金筹措及还本付息表'!AA93</f>
        <v>5.2080000000000002</v>
      </c>
      <c r="AB21" s="68">
        <f ca="1">'表1-资金筹措及还本付息表'!AB93</f>
        <v>5.2080000000000002</v>
      </c>
      <c r="AC21" s="68">
        <f ca="1">'表1-资金筹措及还本付息表'!AC93</f>
        <v>5.2080000000000002</v>
      </c>
      <c r="AD21" s="68">
        <f ca="1">'表1-资金筹措及还本付息表'!AD93</f>
        <v>5.2080000000000002</v>
      </c>
      <c r="AE21" s="68">
        <f ca="1">'表1-资金筹措及还本付息表'!AE93</f>
        <v>5.2080000000000002</v>
      </c>
      <c r="AF21" s="68">
        <f ca="1">'表1-资金筹措及还本付息表'!AF93</f>
        <v>5.2080000000000002</v>
      </c>
    </row>
    <row r="22" spans="2:32" s="47" customFormat="1">
      <c r="B22" s="79">
        <v>2.4</v>
      </c>
      <c r="C22" s="80" t="s">
        <v>498</v>
      </c>
      <c r="D22" s="81">
        <f t="shared" ca="1" si="1"/>
        <v>16761.341677008568</v>
      </c>
      <c r="E22" s="66" t="s">
        <v>111</v>
      </c>
      <c r="F22" s="68"/>
      <c r="G22" s="68"/>
      <c r="H22" s="68">
        <f ca="1">'表3-成本费用表'!H48+'表4-收入税金表'!H28</f>
        <v>567.93794238016551</v>
      </c>
      <c r="I22" s="68">
        <f ca="1">'表3-成本费用表'!I48+'表4-收入税金表'!I28</f>
        <v>567.93794238016551</v>
      </c>
      <c r="J22" s="68">
        <f ca="1">'表3-成本费用表'!J48+'表4-收入税金表'!J28</f>
        <v>567.93794238016551</v>
      </c>
      <c r="K22" s="68">
        <f ca="1">'表3-成本费用表'!K48+'表4-收入税金表'!K28</f>
        <v>567.93794238016551</v>
      </c>
      <c r="L22" s="68">
        <f ca="1">'表3-成本费用表'!L48+'表4-收入税金表'!L28</f>
        <v>567.93794238016551</v>
      </c>
      <c r="M22" s="68">
        <f ca="1">'表3-成本费用表'!M48+'表4-收入税金表'!M28</f>
        <v>619.19580473025451</v>
      </c>
      <c r="N22" s="68">
        <f ca="1">'表3-成本费用表'!N48+'表4-收入税金表'!N28</f>
        <v>619.19580473025451</v>
      </c>
      <c r="O22" s="68">
        <f ca="1">'表3-成本费用表'!O48+'表4-收入税金表'!O28</f>
        <v>619.19580473025451</v>
      </c>
      <c r="P22" s="68">
        <f ca="1">'表3-成本费用表'!P48+'表4-收入税金表'!P28</f>
        <v>619.19580473025451</v>
      </c>
      <c r="Q22" s="68">
        <f ca="1">'表3-成本费用表'!Q48+'表4-收入税金表'!Q28</f>
        <v>619.19580473025451</v>
      </c>
      <c r="R22" s="68">
        <f ca="1">'表3-成本费用表'!R48+'表4-收入税金表'!R28</f>
        <v>670.4536670803426</v>
      </c>
      <c r="S22" s="68">
        <f ca="1">'表3-成本费用表'!S48+'表4-收入税金表'!S28</f>
        <v>670.4536670803426</v>
      </c>
      <c r="T22" s="68">
        <f ca="1">'表3-成本费用表'!T48+'表4-收入税金表'!T28</f>
        <v>670.4536670803426</v>
      </c>
      <c r="U22" s="68">
        <f ca="1">'表3-成本费用表'!U48+'表4-收入税金表'!U28</f>
        <v>670.4536670803426</v>
      </c>
      <c r="V22" s="68">
        <f ca="1">'表3-成本费用表'!V48+'表4-收入税金表'!V28</f>
        <v>670.4536670803426</v>
      </c>
      <c r="W22" s="68">
        <f ca="1">'表3-成本费用表'!W48+'表4-收入税金表'!W28</f>
        <v>721.71152943043057</v>
      </c>
      <c r="X22" s="68">
        <f ca="1">'表3-成本费用表'!X48+'表4-收入税金表'!X28</f>
        <v>721.71152943043057</v>
      </c>
      <c r="Y22" s="68">
        <f ca="1">'表3-成本费用表'!Y48+'表4-收入税金表'!Y28</f>
        <v>721.71152943043057</v>
      </c>
      <c r="Z22" s="68">
        <f ca="1">'表3-成本费用表'!Z48+'表4-收入税金表'!Z28</f>
        <v>721.71152943043057</v>
      </c>
      <c r="AA22" s="68">
        <f ca="1">'表3-成本费用表'!AA48+'表4-收入税金表'!AA28</f>
        <v>721.71152943043057</v>
      </c>
      <c r="AB22" s="68">
        <f ca="1">'表3-成本费用表'!AB48+'表4-收入税金表'!AB28</f>
        <v>772.96939178051957</v>
      </c>
      <c r="AC22" s="68">
        <f ca="1">'表3-成本费用表'!AC48+'表4-收入税金表'!AC28</f>
        <v>772.96939178051957</v>
      </c>
      <c r="AD22" s="68">
        <f ca="1">'表3-成本费用表'!AD48+'表4-收入税金表'!AD28</f>
        <v>772.96939178051957</v>
      </c>
      <c r="AE22" s="68">
        <f ca="1">'表3-成本费用表'!AE48+'表4-收入税金表'!AE28</f>
        <v>772.96939178051957</v>
      </c>
      <c r="AF22" s="68">
        <f ca="1">'表3-成本费用表'!AF48+'表4-收入税金表'!AF28</f>
        <v>772.96939178051957</v>
      </c>
    </row>
    <row r="23" spans="2:32">
      <c r="B23" s="82">
        <v>2.5</v>
      </c>
      <c r="C23" s="83" t="s">
        <v>246</v>
      </c>
      <c r="D23" s="84">
        <f t="shared" si="1"/>
        <v>0</v>
      </c>
      <c r="E23" s="56" t="s">
        <v>111</v>
      </c>
      <c r="F23" s="59"/>
      <c r="G23" s="59"/>
      <c r="H23" s="59">
        <f>'表3-成本费用表'!H62</f>
        <v>0</v>
      </c>
      <c r="I23" s="59">
        <f>'表3-成本费用表'!I62</f>
        <v>0</v>
      </c>
      <c r="J23" s="59">
        <f>'表3-成本费用表'!J62</f>
        <v>0</v>
      </c>
      <c r="K23" s="59">
        <f>'表3-成本费用表'!K62</f>
        <v>0</v>
      </c>
      <c r="L23" s="59">
        <f>'表3-成本费用表'!L62</f>
        <v>0</v>
      </c>
      <c r="M23" s="59">
        <f>'表3-成本费用表'!M62</f>
        <v>0</v>
      </c>
      <c r="N23" s="59">
        <f>'表3-成本费用表'!N62</f>
        <v>0</v>
      </c>
      <c r="O23" s="59">
        <f>'表3-成本费用表'!O62</f>
        <v>0</v>
      </c>
      <c r="P23" s="59">
        <f>'表3-成本费用表'!P62</f>
        <v>0</v>
      </c>
      <c r="Q23" s="59">
        <f>'表3-成本费用表'!Q62</f>
        <v>0</v>
      </c>
      <c r="R23" s="128">
        <f>'表3-成本费用表'!R62</f>
        <v>0</v>
      </c>
      <c r="S23" s="59">
        <f>'表3-成本费用表'!S62</f>
        <v>0</v>
      </c>
      <c r="T23" s="59">
        <f>'表3-成本费用表'!T62</f>
        <v>0</v>
      </c>
      <c r="U23" s="59">
        <f>'表3-成本费用表'!U62</f>
        <v>0</v>
      </c>
      <c r="V23" s="59">
        <f>'表3-成本费用表'!V62</f>
        <v>0</v>
      </c>
      <c r="W23" s="59">
        <f>'表3-成本费用表'!W62</f>
        <v>0</v>
      </c>
      <c r="X23" s="59">
        <f>'表3-成本费用表'!X62</f>
        <v>0</v>
      </c>
      <c r="Y23" s="59">
        <f>'表3-成本费用表'!Y62</f>
        <v>0</v>
      </c>
      <c r="Z23" s="59">
        <f>'表3-成本费用表'!Z62</f>
        <v>0</v>
      </c>
      <c r="AA23" s="59">
        <f>'表3-成本费用表'!AA62</f>
        <v>0</v>
      </c>
      <c r="AB23" s="59">
        <f>'表3-成本费用表'!AB62</f>
        <v>0</v>
      </c>
      <c r="AC23" s="59">
        <f>'表3-成本费用表'!AC62</f>
        <v>0</v>
      </c>
      <c r="AD23" s="59">
        <f>'表3-成本费用表'!AD62</f>
        <v>0</v>
      </c>
      <c r="AE23" s="59">
        <f>'表3-成本费用表'!AE62</f>
        <v>0</v>
      </c>
      <c r="AF23" s="59">
        <f>'表3-成本费用表'!AF62</f>
        <v>0</v>
      </c>
    </row>
    <row r="24" spans="2:32">
      <c r="B24" s="82">
        <v>2.6</v>
      </c>
      <c r="C24" s="83" t="s">
        <v>499</v>
      </c>
      <c r="D24" s="84">
        <f t="shared" ca="1" si="1"/>
        <v>6959.2285304036695</v>
      </c>
      <c r="E24" s="56" t="s">
        <v>111</v>
      </c>
      <c r="F24" s="59"/>
      <c r="G24" s="59"/>
      <c r="H24" s="59">
        <f ca="1">'表4-收入税金表'!H22</f>
        <v>0</v>
      </c>
      <c r="I24" s="59">
        <f ca="1">'表4-收入税金表'!I22</f>
        <v>0</v>
      </c>
      <c r="J24" s="59">
        <f ca="1">'表4-收入税金表'!J22</f>
        <v>0</v>
      </c>
      <c r="K24" s="59">
        <f ca="1">'表4-收入税金表'!K22</f>
        <v>0</v>
      </c>
      <c r="L24" s="59">
        <f ca="1">'表4-收入税金表'!L22</f>
        <v>0</v>
      </c>
      <c r="M24" s="59">
        <f ca="1">'表4-收入税金表'!M22</f>
        <v>0</v>
      </c>
      <c r="N24" s="59">
        <f ca="1">'表4-收入税金表'!N22</f>
        <v>155.27352491242738</v>
      </c>
      <c r="O24" s="59">
        <f ca="1">'表4-收入税金表'!O22</f>
        <v>395.84924667094998</v>
      </c>
      <c r="P24" s="59">
        <f ca="1">'表4-收入税金表'!P22</f>
        <v>394.06792506093097</v>
      </c>
      <c r="Q24" s="59">
        <f ca="1">'表4-收入税金表'!Q22</f>
        <v>392.29461939815701</v>
      </c>
      <c r="R24" s="128">
        <f ca="1">'表4-收入税金表'!R22</f>
        <v>335.30805467281192</v>
      </c>
      <c r="S24" s="59">
        <f ca="1">'表4-收入税金表'!S22</f>
        <v>388.77191178961601</v>
      </c>
      <c r="T24" s="59">
        <f ca="1">'表4-收入税金表'!T22</f>
        <v>387.02243818656302</v>
      </c>
      <c r="U24" s="59">
        <f ca="1">'表4-收入税金表'!U22</f>
        <v>385.28083721472399</v>
      </c>
      <c r="V24" s="59">
        <f ca="1">'表4-收入税金表'!V22</f>
        <v>383.54707344725699</v>
      </c>
      <c r="W24" s="59">
        <f ca="1">'表4-收入税金表'!W22</f>
        <v>381.82111161674499</v>
      </c>
      <c r="X24" s="59">
        <f ca="1">'表4-收入税金表'!X22</f>
        <v>380.10291661447002</v>
      </c>
      <c r="Y24" s="59">
        <f ca="1">'表4-收入税金表'!Y22</f>
        <v>378.392453489704</v>
      </c>
      <c r="Z24" s="59">
        <f ca="1">'表4-收入税金表'!Z22</f>
        <v>376.68968744900098</v>
      </c>
      <c r="AA24" s="59">
        <f ca="1">'表4-收入税金表'!AA22</f>
        <v>374.99458385548002</v>
      </c>
      <c r="AB24" s="59">
        <f ca="1">'表4-收入税金表'!AB22</f>
        <v>373.30710822813103</v>
      </c>
      <c r="AC24" s="59">
        <f ca="1">'表4-收入税金表'!AC22</f>
        <v>371.62722624110398</v>
      </c>
      <c r="AD24" s="59">
        <f ca="1">'表4-收入税金表'!AD22</f>
        <v>369.95490372301902</v>
      </c>
      <c r="AE24" s="59">
        <f ca="1">'表4-收入税金表'!AE22</f>
        <v>368.290106656266</v>
      </c>
      <c r="AF24" s="59">
        <f ca="1">'表4-收入税金表'!AF22</f>
        <v>366.632801176312</v>
      </c>
    </row>
    <row r="25" spans="2:32">
      <c r="B25" s="82">
        <v>2.7</v>
      </c>
      <c r="C25" s="83" t="s">
        <v>457</v>
      </c>
      <c r="D25" s="84">
        <f t="shared" ca="1" si="1"/>
        <v>835.10742364844054</v>
      </c>
      <c r="E25" s="56" t="s">
        <v>111</v>
      </c>
      <c r="F25" s="59"/>
      <c r="G25" s="59"/>
      <c r="H25" s="59">
        <f ca="1">'表5-利润表-资本金'!H9</f>
        <v>0</v>
      </c>
      <c r="I25" s="59">
        <f ca="1">'表5-利润表-资本金'!I9</f>
        <v>0</v>
      </c>
      <c r="J25" s="59">
        <f ca="1">'表5-利润表-资本金'!J9</f>
        <v>0</v>
      </c>
      <c r="K25" s="59">
        <f ca="1">'表5-利润表-资本金'!K9</f>
        <v>0</v>
      </c>
      <c r="L25" s="59">
        <f ca="1">'表5-利润表-资本金'!L9</f>
        <v>0</v>
      </c>
      <c r="M25" s="59">
        <f ca="1">'表5-利润表-资本金'!M9</f>
        <v>0</v>
      </c>
      <c r="N25" s="59">
        <f ca="1">'表5-利润表-资本金'!N9</f>
        <v>18.632822989491284</v>
      </c>
      <c r="O25" s="59">
        <f ca="1">'表5-利润表-资本金'!O9</f>
        <v>47.501909600514004</v>
      </c>
      <c r="P25" s="59">
        <f ca="1">'表5-利润表-资本金'!P9</f>
        <v>47.288151007311718</v>
      </c>
      <c r="Q25" s="59">
        <f ca="1">'表5-利润表-资本金'!Q9</f>
        <v>47.075354327778847</v>
      </c>
      <c r="R25" s="128">
        <f ca="1">'表5-利润表-资本金'!R9</f>
        <v>40.236966560737436</v>
      </c>
      <c r="S25" s="59">
        <f ca="1">'表5-利润表-资本金'!S9</f>
        <v>46.652629414753925</v>
      </c>
      <c r="T25" s="59">
        <f ca="1">'表5-利润表-资本金'!T9</f>
        <v>46.442692582387565</v>
      </c>
      <c r="U25" s="59">
        <f ca="1">'表5-利润表-资本金'!U9</f>
        <v>46.23370046576688</v>
      </c>
      <c r="V25" s="59">
        <f ca="1">'表5-利润表-资本金'!V9</f>
        <v>46.025648813670841</v>
      </c>
      <c r="W25" s="59">
        <f ca="1">'表5-利润表-资本金'!W9</f>
        <v>45.8185333940094</v>
      </c>
      <c r="X25" s="59">
        <f ca="1">'表5-利润表-资本金'!X9</f>
        <v>45.612349993736402</v>
      </c>
      <c r="Y25" s="59">
        <f ca="1">'表5-利润表-资本金'!Y9</f>
        <v>45.40709441876448</v>
      </c>
      <c r="Z25" s="59">
        <f ca="1">'表5-利润表-资本金'!Z9</f>
        <v>45.202762493880115</v>
      </c>
      <c r="AA25" s="59">
        <f ca="1">'表5-利润表-资本金'!AA9</f>
        <v>44.999350062657605</v>
      </c>
      <c r="AB25" s="59">
        <f ca="1">'表5-利润表-资本金'!AB9</f>
        <v>44.796852987375722</v>
      </c>
      <c r="AC25" s="59">
        <f ca="1">'表5-利润表-资本金'!AC9</f>
        <v>44.595267148932479</v>
      </c>
      <c r="AD25" s="59">
        <f ca="1">'表5-利润表-资本金'!AD9</f>
        <v>44.394588446762285</v>
      </c>
      <c r="AE25" s="59">
        <f ca="1">'表5-利润表-资本金'!AE9</f>
        <v>44.194812798751926</v>
      </c>
      <c r="AF25" s="59">
        <f ca="1">'表5-利润表-资本金'!AF9</f>
        <v>43.995936141157443</v>
      </c>
    </row>
    <row r="26" spans="2:32">
      <c r="B26" s="82">
        <v>2.8</v>
      </c>
      <c r="C26" s="83" t="s">
        <v>500</v>
      </c>
      <c r="D26" s="84">
        <f t="shared" si="1"/>
        <v>480</v>
      </c>
      <c r="E26" s="56" t="s">
        <v>111</v>
      </c>
      <c r="F26" s="59"/>
      <c r="G26" s="59"/>
      <c r="H26" s="59">
        <f>参数输入表!H236</f>
        <v>0</v>
      </c>
      <c r="I26" s="59">
        <f>参数输入表!H237</f>
        <v>0</v>
      </c>
      <c r="J26" s="59">
        <f>参数输入表!H238</f>
        <v>0</v>
      </c>
      <c r="K26" s="59">
        <f>参数输入表!H239</f>
        <v>0</v>
      </c>
      <c r="L26" s="59">
        <f>参数输入表!H240</f>
        <v>0</v>
      </c>
      <c r="M26" s="59">
        <f>参数输入表!H241</f>
        <v>0</v>
      </c>
      <c r="N26" s="59">
        <f>参数输入表!H242</f>
        <v>0</v>
      </c>
      <c r="O26" s="59">
        <f>参数输入表!H243</f>
        <v>0</v>
      </c>
      <c r="P26" s="59">
        <f>参数输入表!H244</f>
        <v>0</v>
      </c>
      <c r="Q26" s="59">
        <f>参数输入表!H245</f>
        <v>0</v>
      </c>
      <c r="R26" s="128">
        <f>参数输入表!H246</f>
        <v>480</v>
      </c>
      <c r="S26" s="59">
        <f>参数输入表!H247</f>
        <v>0</v>
      </c>
      <c r="T26" s="59">
        <f>参数输入表!H248</f>
        <v>0</v>
      </c>
      <c r="U26" s="59">
        <f>参数输入表!H249</f>
        <v>0</v>
      </c>
      <c r="V26" s="59">
        <f>参数输入表!H250</f>
        <v>0</v>
      </c>
      <c r="W26" s="59">
        <f>参数输入表!H251</f>
        <v>0</v>
      </c>
      <c r="X26" s="59">
        <f>参数输入表!H252</f>
        <v>0</v>
      </c>
      <c r="Y26" s="59">
        <f>参数输入表!H253</f>
        <v>0</v>
      </c>
      <c r="Z26" s="59">
        <f>参数输入表!H254</f>
        <v>0</v>
      </c>
      <c r="AA26" s="59">
        <f>参数输入表!H255</f>
        <v>0</v>
      </c>
      <c r="AB26" s="59">
        <f>参数输入表!H256</f>
        <v>0</v>
      </c>
      <c r="AC26" s="59">
        <f>参数输入表!H257</f>
        <v>0</v>
      </c>
      <c r="AD26" s="59">
        <f>参数输入表!H258</f>
        <v>0</v>
      </c>
      <c r="AE26" s="59">
        <f>参数输入表!H259</f>
        <v>0</v>
      </c>
      <c r="AF26" s="59">
        <f>参数输入表!H260</f>
        <v>0</v>
      </c>
    </row>
    <row r="27" spans="2:32" hidden="1">
      <c r="B27" s="76">
        <v>3</v>
      </c>
      <c r="C27" s="77" t="s">
        <v>501</v>
      </c>
      <c r="D27" s="78">
        <f t="shared" ca="1" si="1"/>
        <v>26078.192649736473</v>
      </c>
      <c r="E27" s="56" t="s">
        <v>111</v>
      </c>
      <c r="F27" s="55">
        <f t="shared" ref="F27:AF27" ca="1" si="4">F5-F13</f>
        <v>-5416.6201673973701</v>
      </c>
      <c r="G27" s="55">
        <f t="shared" si="4"/>
        <v>0</v>
      </c>
      <c r="H27" s="55">
        <f t="shared" ca="1" si="4"/>
        <v>514.70806887531489</v>
      </c>
      <c r="I27" s="55">
        <f t="shared" ca="1" si="4"/>
        <v>623.47836536232944</v>
      </c>
      <c r="J27" s="55">
        <f t="shared" ca="1" si="4"/>
        <v>660.31719350638468</v>
      </c>
      <c r="K27" s="55">
        <f t="shared" ca="1" si="4"/>
        <v>697.22424491501897</v>
      </c>
      <c r="L27" s="55">
        <f t="shared" ca="1" si="4"/>
        <v>734.19921258355362</v>
      </c>
      <c r="M27" s="55">
        <f t="shared" ca="1" si="4"/>
        <v>883.18994997912978</v>
      </c>
      <c r="N27" s="55">
        <f t="shared" ca="1" si="4"/>
        <v>745.65905967484559</v>
      </c>
      <c r="O27" s="55">
        <f t="shared" ca="1" si="4"/>
        <v>512.66001733497524</v>
      </c>
      <c r="P27" s="55">
        <f t="shared" ca="1" si="4"/>
        <v>551.17085561196154</v>
      </c>
      <c r="Q27" s="55">
        <f t="shared" ca="1" si="4"/>
        <v>589.74239310794292</v>
      </c>
      <c r="R27" s="126">
        <f t="shared" ca="1" si="4"/>
        <v>158.96428193694601</v>
      </c>
      <c r="S27" s="55">
        <f t="shared" ca="1" si="4"/>
        <v>615.80861204998064</v>
      </c>
      <c r="T27" s="55">
        <f t="shared" ca="1" si="4"/>
        <v>654.56061323510403</v>
      </c>
      <c r="U27" s="55">
        <f t="shared" ca="1" si="4"/>
        <v>693.37222840612912</v>
      </c>
      <c r="V27" s="55">
        <f t="shared" ca="1" si="4"/>
        <v>732.24318930011714</v>
      </c>
      <c r="W27" s="55">
        <f t="shared" ca="1" si="4"/>
        <v>2164.3474111505152</v>
      </c>
      <c r="X27" s="55">
        <f t="shared" ca="1" si="4"/>
        <v>2151.3367099179031</v>
      </c>
      <c r="Y27" s="55">
        <f t="shared" ca="1" si="4"/>
        <v>2138.3845568408406</v>
      </c>
      <c r="Z27" s="55">
        <f t="shared" ca="1" si="4"/>
        <v>2125.4906884526181</v>
      </c>
      <c r="AA27" s="55">
        <f t="shared" ca="1" si="4"/>
        <v>2112.6548424721418</v>
      </c>
      <c r="AB27" s="55">
        <f t="shared" ca="1" si="4"/>
        <v>2048.6188954484933</v>
      </c>
      <c r="AC27" s="55">
        <f t="shared" ca="1" si="4"/>
        <v>2035.898312155964</v>
      </c>
      <c r="AD27" s="55">
        <f t="shared" ca="1" si="4"/>
        <v>2023.2349714882491</v>
      </c>
      <c r="AE27" s="55">
        <f t="shared" ca="1" si="4"/>
        <v>2010.6286158535427</v>
      </c>
      <c r="AF27" s="55">
        <f t="shared" ca="1" si="4"/>
        <v>3316.919527473839</v>
      </c>
    </row>
    <row r="28" spans="2:32" hidden="1">
      <c r="B28" s="76">
        <v>4</v>
      </c>
      <c r="C28" s="85" t="s">
        <v>502</v>
      </c>
      <c r="D28" s="54"/>
      <c r="E28" s="56" t="s">
        <v>111</v>
      </c>
      <c r="F28" s="55">
        <f ca="1">F27</f>
        <v>-5416.6201673973701</v>
      </c>
      <c r="G28" s="55">
        <f ca="1">F28+G27</f>
        <v>-5416.6201673973701</v>
      </c>
      <c r="H28" s="55">
        <f t="shared" ref="H28:AF28" ca="1" si="5">G28+H27</f>
        <v>-4901.9120985220552</v>
      </c>
      <c r="I28" s="55">
        <f t="shared" ca="1" si="5"/>
        <v>-4278.4337331597253</v>
      </c>
      <c r="J28" s="55">
        <f t="shared" ca="1" si="5"/>
        <v>-3618.1165396533406</v>
      </c>
      <c r="K28" s="55">
        <f t="shared" ca="1" si="5"/>
        <v>-2920.8922947383217</v>
      </c>
      <c r="L28" s="55">
        <f t="shared" ca="1" si="5"/>
        <v>-2186.693082154768</v>
      </c>
      <c r="M28" s="55">
        <f t="shared" ca="1" si="5"/>
        <v>-1303.5031321756383</v>
      </c>
      <c r="N28" s="55">
        <f t="shared" ca="1" si="5"/>
        <v>-557.84407250079266</v>
      </c>
      <c r="O28" s="55">
        <f t="shared" ca="1" si="5"/>
        <v>-45.184055165817426</v>
      </c>
      <c r="P28" s="55">
        <f t="shared" ca="1" si="5"/>
        <v>505.98680044614412</v>
      </c>
      <c r="Q28" s="55">
        <f t="shared" ca="1" si="5"/>
        <v>1095.729193554087</v>
      </c>
      <c r="R28" s="126">
        <f t="shared" ca="1" si="5"/>
        <v>1254.693475491033</v>
      </c>
      <c r="S28" s="55">
        <f t="shared" ca="1" si="5"/>
        <v>1870.5020875410137</v>
      </c>
      <c r="T28" s="55">
        <f t="shared" ca="1" si="5"/>
        <v>2525.0627007761177</v>
      </c>
      <c r="U28" s="55">
        <f t="shared" ca="1" si="5"/>
        <v>3218.4349291822468</v>
      </c>
      <c r="V28" s="55">
        <f t="shared" ca="1" si="5"/>
        <v>3950.678118482364</v>
      </c>
      <c r="W28" s="55">
        <f t="shared" ca="1" si="5"/>
        <v>6115.0255296328796</v>
      </c>
      <c r="X28" s="55">
        <f t="shared" ca="1" si="5"/>
        <v>8266.3622395507828</v>
      </c>
      <c r="Y28" s="55">
        <f t="shared" ca="1" si="5"/>
        <v>10404.746796391624</v>
      </c>
      <c r="Z28" s="55">
        <f t="shared" ca="1" si="5"/>
        <v>12530.237484844241</v>
      </c>
      <c r="AA28" s="55">
        <f t="shared" ca="1" si="5"/>
        <v>14642.892327316384</v>
      </c>
      <c r="AB28" s="55">
        <f t="shared" ca="1" si="5"/>
        <v>16691.511222764879</v>
      </c>
      <c r="AC28" s="55">
        <f t="shared" ca="1" si="5"/>
        <v>18727.409534920844</v>
      </c>
      <c r="AD28" s="55">
        <f t="shared" ca="1" si="5"/>
        <v>20750.644506409091</v>
      </c>
      <c r="AE28" s="55">
        <f t="shared" ca="1" si="5"/>
        <v>22761.273122262635</v>
      </c>
      <c r="AF28" s="55">
        <f t="shared" ca="1" si="5"/>
        <v>26078.192649736473</v>
      </c>
    </row>
    <row r="29" spans="2:32">
      <c r="B29" s="76">
        <v>5</v>
      </c>
      <c r="C29" s="85" t="s">
        <v>468</v>
      </c>
      <c r="D29" s="78">
        <f ca="1">SUM(F29:AF29)</f>
        <v>5883.9063797510908</v>
      </c>
      <c r="E29" s="56" t="s">
        <v>111</v>
      </c>
      <c r="F29" s="55"/>
      <c r="G29" s="55"/>
      <c r="H29" s="55">
        <f>'表5-利润表-资本金'!H22</f>
        <v>0</v>
      </c>
      <c r="I29" s="55">
        <f>'表5-利润表-资本金'!I22</f>
        <v>0</v>
      </c>
      <c r="J29" s="55">
        <f>'表5-利润表-资本金'!J22</f>
        <v>0</v>
      </c>
      <c r="K29" s="55">
        <f ca="1">'表5-利润表-资本金'!K22</f>
        <v>74.153174244711863</v>
      </c>
      <c r="L29" s="55">
        <f ca="1">'表5-利润表-资本金'!L22</f>
        <v>78.991106726729981</v>
      </c>
      <c r="M29" s="55">
        <f ca="1">'表5-利润表-资本金'!M22</f>
        <v>95.483048901395705</v>
      </c>
      <c r="N29" s="55">
        <f ca="1">'表5-利润表-资本金'!N22</f>
        <v>195.85112204801723</v>
      </c>
      <c r="O29" s="55">
        <f ca="1">'表5-利润表-资本金'!O22</f>
        <v>198.19263535070036</v>
      </c>
      <c r="P29" s="55">
        <f ca="1">'表5-利润表-资本金'!P22</f>
        <v>207.82034491994702</v>
      </c>
      <c r="Q29" s="55">
        <f ca="1">'表5-利润表-资本金'!Q22</f>
        <v>217.46322929394134</v>
      </c>
      <c r="R29" s="126">
        <f ca="1">'表5-利润表-资本金'!R22</f>
        <v>205.87489619145973</v>
      </c>
      <c r="S29" s="55">
        <f ca="1">'表5-利润表-资本金'!S22</f>
        <v>213.89128845422928</v>
      </c>
      <c r="T29" s="55">
        <f ca="1">'表5-利润表-资本金'!T22</f>
        <v>223.57928875051203</v>
      </c>
      <c r="U29" s="55">
        <f ca="1">'表5-利润表-资本金'!U22</f>
        <v>233.28219254326834</v>
      </c>
      <c r="V29" s="55">
        <f ca="1">'表5-利润表-资本金'!V22</f>
        <v>242.99993276676361</v>
      </c>
      <c r="W29" s="55">
        <f ca="1">'表5-利润表-资本金'!W22</f>
        <v>239.91797706954065</v>
      </c>
      <c r="X29" s="55">
        <f ca="1">'表5-利润表-资本金'!X22</f>
        <v>236.66530176138639</v>
      </c>
      <c r="Y29" s="55">
        <f ca="1">'表5-利润表-资本金'!Y22</f>
        <v>233.42726349211927</v>
      </c>
      <c r="Z29" s="55">
        <f ca="1">'表5-利润表-资本金'!Z22</f>
        <v>230.20379639506541</v>
      </c>
      <c r="AA29" s="55">
        <f ca="1">'表5-利润表-资本金'!AA22</f>
        <v>226.99483489994606</v>
      </c>
      <c r="AB29" s="55">
        <f ca="1">'表5-利润表-资本金'!AB22</f>
        <v>512.15472386212377</v>
      </c>
      <c r="AC29" s="55">
        <f ca="1">'表5-利润表-资本金'!AC22</f>
        <v>508.97457803898959</v>
      </c>
      <c r="AD29" s="55">
        <f ca="1">'表5-利润表-资本金'!AD22</f>
        <v>505.80874287206206</v>
      </c>
      <c r="AE29" s="55">
        <f ca="1">'表5-利润表-资本金'!AE22</f>
        <v>502.6571539633847</v>
      </c>
      <c r="AF29" s="55">
        <f ca="1">'表5-利润表-资本金'!AF22</f>
        <v>499.51974720479575</v>
      </c>
    </row>
    <row r="30" spans="2:32">
      <c r="B30" s="86">
        <v>6</v>
      </c>
      <c r="C30" s="77" t="s">
        <v>503</v>
      </c>
      <c r="D30" s="78">
        <f ca="1">SUM(F30:AF30)</f>
        <v>20194.286269985379</v>
      </c>
      <c r="E30" s="56" t="s">
        <v>111</v>
      </c>
      <c r="F30" s="55">
        <f ca="1">F27-F29</f>
        <v>-5416.6201673973701</v>
      </c>
      <c r="G30" s="55">
        <f t="shared" ref="G30:AF30" si="6">G27-G29</f>
        <v>0</v>
      </c>
      <c r="H30" s="55">
        <f t="shared" ca="1" si="6"/>
        <v>514.70806887531489</v>
      </c>
      <c r="I30" s="55">
        <f t="shared" ca="1" si="6"/>
        <v>623.47836536232944</v>
      </c>
      <c r="J30" s="55">
        <f t="shared" ca="1" si="6"/>
        <v>660.31719350638468</v>
      </c>
      <c r="K30" s="55">
        <f t="shared" ca="1" si="6"/>
        <v>623.07107067030711</v>
      </c>
      <c r="L30" s="55">
        <f t="shared" ca="1" si="6"/>
        <v>655.20810585682364</v>
      </c>
      <c r="M30" s="55">
        <f t="shared" ca="1" si="6"/>
        <v>787.70690107773407</v>
      </c>
      <c r="N30" s="55">
        <f t="shared" ca="1" si="6"/>
        <v>549.80793762682833</v>
      </c>
      <c r="O30" s="55">
        <f t="shared" ca="1" si="6"/>
        <v>314.46738198427488</v>
      </c>
      <c r="P30" s="55">
        <f t="shared" ca="1" si="6"/>
        <v>343.3505106920145</v>
      </c>
      <c r="Q30" s="55">
        <f t="shared" ca="1" si="6"/>
        <v>372.27916381400155</v>
      </c>
      <c r="R30" s="126">
        <f t="shared" ca="1" si="6"/>
        <v>-46.910614254513717</v>
      </c>
      <c r="S30" s="55">
        <f t="shared" ca="1" si="6"/>
        <v>401.91732359575133</v>
      </c>
      <c r="T30" s="55">
        <f t="shared" ca="1" si="6"/>
        <v>430.98132448459199</v>
      </c>
      <c r="U30" s="55">
        <f t="shared" ca="1" si="6"/>
        <v>460.09003586286076</v>
      </c>
      <c r="V30" s="55">
        <f t="shared" ca="1" si="6"/>
        <v>489.24325653335353</v>
      </c>
      <c r="W30" s="55">
        <f t="shared" ca="1" si="6"/>
        <v>1924.4294340809745</v>
      </c>
      <c r="X30" s="55">
        <f t="shared" ca="1" si="6"/>
        <v>1914.6714081565167</v>
      </c>
      <c r="Y30" s="55">
        <f t="shared" ca="1" si="6"/>
        <v>1904.9572933487214</v>
      </c>
      <c r="Z30" s="55">
        <f t="shared" ca="1" si="6"/>
        <v>1895.2868920575527</v>
      </c>
      <c r="AA30" s="55">
        <f t="shared" ca="1" si="6"/>
        <v>1885.6600075721958</v>
      </c>
      <c r="AB30" s="55">
        <f t="shared" ca="1" si="6"/>
        <v>1536.4641715863695</v>
      </c>
      <c r="AC30" s="55">
        <f t="shared" ca="1" si="6"/>
        <v>1526.9237341169744</v>
      </c>
      <c r="AD30" s="55">
        <f t="shared" ca="1" si="6"/>
        <v>1517.426228616187</v>
      </c>
      <c r="AE30" s="55">
        <f t="shared" ca="1" si="6"/>
        <v>1507.971461890158</v>
      </c>
      <c r="AF30" s="55">
        <f t="shared" ca="1" si="6"/>
        <v>2817.3997802690433</v>
      </c>
    </row>
    <row r="31" spans="2:32">
      <c r="B31" s="86">
        <v>7</v>
      </c>
      <c r="C31" s="85" t="s">
        <v>504</v>
      </c>
      <c r="D31" s="54"/>
      <c r="E31" s="56" t="s">
        <v>111</v>
      </c>
      <c r="F31" s="55">
        <f ca="1">F30</f>
        <v>-5416.6201673973701</v>
      </c>
      <c r="G31" s="55">
        <f ca="1">F31+G30</f>
        <v>-5416.6201673973701</v>
      </c>
      <c r="H31" s="55">
        <f t="shared" ref="H31:AF31" ca="1" si="7">G31+H30</f>
        <v>-4901.9120985220552</v>
      </c>
      <c r="I31" s="55">
        <f t="shared" ca="1" si="7"/>
        <v>-4278.4337331597253</v>
      </c>
      <c r="J31" s="55">
        <f t="shared" ca="1" si="7"/>
        <v>-3618.1165396533406</v>
      </c>
      <c r="K31" s="55">
        <f t="shared" ca="1" si="7"/>
        <v>-2995.0454689830335</v>
      </c>
      <c r="L31" s="55">
        <f t="shared" ca="1" si="7"/>
        <v>-2339.8373631262098</v>
      </c>
      <c r="M31" s="55">
        <f t="shared" ca="1" si="7"/>
        <v>-1552.1304620484757</v>
      </c>
      <c r="N31" s="55">
        <f t="shared" ca="1" si="7"/>
        <v>-1002.3225244216474</v>
      </c>
      <c r="O31" s="55">
        <f t="shared" ca="1" si="7"/>
        <v>-687.85514243737248</v>
      </c>
      <c r="P31" s="55">
        <f t="shared" ca="1" si="7"/>
        <v>-344.50463174535798</v>
      </c>
      <c r="Q31" s="55">
        <f t="shared" ca="1" si="7"/>
        <v>27.774532068643566</v>
      </c>
      <c r="R31" s="126">
        <f t="shared" ca="1" si="7"/>
        <v>-19.136082185870151</v>
      </c>
      <c r="S31" s="55">
        <f t="shared" ca="1" si="7"/>
        <v>382.7812414098812</v>
      </c>
      <c r="T31" s="55">
        <f t="shared" ca="1" si="7"/>
        <v>813.76256589447325</v>
      </c>
      <c r="U31" s="55">
        <f t="shared" ca="1" si="7"/>
        <v>1273.852601757334</v>
      </c>
      <c r="V31" s="55">
        <f t="shared" ca="1" si="7"/>
        <v>1763.0958582906876</v>
      </c>
      <c r="W31" s="55">
        <f t="shared" ca="1" si="7"/>
        <v>3687.5252923716621</v>
      </c>
      <c r="X31" s="55">
        <f t="shared" ca="1" si="7"/>
        <v>5602.1967005281786</v>
      </c>
      <c r="Y31" s="55">
        <f t="shared" ca="1" si="7"/>
        <v>7507.1539938769001</v>
      </c>
      <c r="Z31" s="55">
        <f t="shared" ca="1" si="7"/>
        <v>9402.440885934453</v>
      </c>
      <c r="AA31" s="55">
        <f t="shared" ca="1" si="7"/>
        <v>11288.100893506649</v>
      </c>
      <c r="AB31" s="55">
        <f t="shared" ca="1" si="7"/>
        <v>12824.565065093018</v>
      </c>
      <c r="AC31" s="55">
        <f t="shared" ca="1" si="7"/>
        <v>14351.488799209992</v>
      </c>
      <c r="AD31" s="55">
        <f t="shared" ca="1" si="7"/>
        <v>15868.915027826179</v>
      </c>
      <c r="AE31" s="55">
        <f t="shared" ca="1" si="7"/>
        <v>17376.886489716337</v>
      </c>
      <c r="AF31" s="55">
        <f t="shared" ca="1" si="7"/>
        <v>20194.286269985379</v>
      </c>
    </row>
    <row r="33" spans="3:32" hidden="1">
      <c r="C33" s="54" t="s">
        <v>505</v>
      </c>
      <c r="D33" s="87">
        <f ca="1">IF('表1-资金筹措及还本付息表'!G5=0,IRR(E53:AE53),IRR(F27:AF27))</f>
        <v>0.1410240535465408</v>
      </c>
      <c r="E33" s="133"/>
      <c r="F33" s="133"/>
      <c r="G33" s="133"/>
      <c r="H33" s="133"/>
      <c r="I33" s="133"/>
      <c r="J33" s="133"/>
      <c r="K33" s="133"/>
      <c r="L33" s="133"/>
      <c r="M33" s="133"/>
      <c r="N33" s="133"/>
      <c r="O33" s="133"/>
      <c r="P33" s="133"/>
      <c r="Q33" s="133"/>
      <c r="R33" s="134"/>
      <c r="S33" s="133"/>
      <c r="T33" s="133"/>
      <c r="U33" s="133"/>
      <c r="V33" s="133"/>
      <c r="W33" s="133"/>
      <c r="X33" s="133"/>
      <c r="Y33" s="133"/>
      <c r="Z33" s="133"/>
      <c r="AA33" s="133"/>
      <c r="AB33" s="133"/>
      <c r="AC33" s="133"/>
      <c r="AD33" s="133"/>
      <c r="AE33" s="133"/>
      <c r="AF33" s="133"/>
    </row>
    <row r="34" spans="3:32">
      <c r="C34" s="54" t="s">
        <v>506</v>
      </c>
      <c r="D34" s="87">
        <f ca="1">IF('表1-资金筹措及还本付息表'!G5=0,IRR(E56:AE56),IRR(F30:AF30))</f>
        <v>0.12140836823169421</v>
      </c>
      <c r="E34" s="133"/>
      <c r="F34" s="133"/>
      <c r="G34" s="133"/>
      <c r="H34" s="133"/>
      <c r="I34" s="133"/>
      <c r="J34" s="133"/>
      <c r="K34" s="133"/>
      <c r="L34" s="133"/>
      <c r="M34" s="133"/>
      <c r="N34" s="133"/>
      <c r="O34" s="133"/>
      <c r="P34" s="133"/>
      <c r="Q34" s="133"/>
      <c r="R34" s="134"/>
      <c r="S34" s="133"/>
      <c r="T34" s="133"/>
      <c r="U34" s="133"/>
      <c r="V34" s="133"/>
      <c r="W34" s="133"/>
      <c r="X34" s="133"/>
      <c r="Y34" s="133"/>
      <c r="Z34" s="133"/>
      <c r="AA34" s="133"/>
      <c r="AB34" s="133"/>
      <c r="AC34" s="133"/>
      <c r="AD34" s="133"/>
      <c r="AE34" s="133"/>
      <c r="AF34" s="133"/>
    </row>
    <row r="35" spans="3:32">
      <c r="C35" s="54" t="s">
        <v>507</v>
      </c>
      <c r="D35" s="55"/>
      <c r="E35" s="56" t="s">
        <v>55</v>
      </c>
      <c r="F35" s="59">
        <v>0</v>
      </c>
      <c r="G35" s="59">
        <v>0</v>
      </c>
      <c r="H35" s="59">
        <v>0</v>
      </c>
      <c r="I35" s="59">
        <f t="shared" ref="I35:AF35" ca="1" si="8">IF(I31/H31&lt;0,H4+ABS(H31/I30),0)</f>
        <v>0</v>
      </c>
      <c r="J35" s="59">
        <f t="shared" ca="1" si="8"/>
        <v>0</v>
      </c>
      <c r="K35" s="59">
        <f t="shared" ca="1" si="8"/>
        <v>0</v>
      </c>
      <c r="L35" s="59">
        <f t="shared" ca="1" si="8"/>
        <v>0</v>
      </c>
      <c r="M35" s="59">
        <f t="shared" ca="1" si="8"/>
        <v>0</v>
      </c>
      <c r="N35" s="59">
        <f t="shared" ca="1" si="8"/>
        <v>0</v>
      </c>
      <c r="O35" s="59">
        <f t="shared" ca="1" si="8"/>
        <v>0</v>
      </c>
      <c r="P35" s="59">
        <f t="shared" ca="1" si="8"/>
        <v>0</v>
      </c>
      <c r="Q35" s="59">
        <f t="shared" ca="1" si="8"/>
        <v>9.9253932672887366</v>
      </c>
      <c r="R35" s="128">
        <f t="shared" ca="1" si="8"/>
        <v>10.592073510654812</v>
      </c>
      <c r="S35" s="59">
        <f t="shared" ca="1" si="8"/>
        <v>11.047611986501774</v>
      </c>
      <c r="T35" s="59">
        <f t="shared" ca="1" si="8"/>
        <v>0</v>
      </c>
      <c r="U35" s="59">
        <f t="shared" ca="1" si="8"/>
        <v>0</v>
      </c>
      <c r="V35" s="59">
        <f t="shared" ca="1" si="8"/>
        <v>0</v>
      </c>
      <c r="W35" s="59">
        <f t="shared" ca="1" si="8"/>
        <v>0</v>
      </c>
      <c r="X35" s="59">
        <f t="shared" ca="1" si="8"/>
        <v>0</v>
      </c>
      <c r="Y35" s="59">
        <f t="shared" ca="1" si="8"/>
        <v>0</v>
      </c>
      <c r="Z35" s="59">
        <f t="shared" ca="1" si="8"/>
        <v>0</v>
      </c>
      <c r="AA35" s="59">
        <f t="shared" ca="1" si="8"/>
        <v>0</v>
      </c>
      <c r="AB35" s="59">
        <f t="shared" ca="1" si="8"/>
        <v>0</v>
      </c>
      <c r="AC35" s="59">
        <f t="shared" ca="1" si="8"/>
        <v>0</v>
      </c>
      <c r="AD35" s="59">
        <f t="shared" ca="1" si="8"/>
        <v>0</v>
      </c>
      <c r="AE35" s="59">
        <f t="shared" ca="1" si="8"/>
        <v>0</v>
      </c>
      <c r="AF35" s="59">
        <f t="shared" ca="1" si="8"/>
        <v>0</v>
      </c>
    </row>
    <row r="37" spans="3:32" ht="21.5">
      <c r="C37" s="71" t="s">
        <v>412</v>
      </c>
    </row>
    <row r="38" spans="3:32" ht="21.5">
      <c r="C38" s="71" t="s">
        <v>508</v>
      </c>
    </row>
    <row r="39" spans="3:32" ht="21.5">
      <c r="C39" s="71" t="s">
        <v>509</v>
      </c>
    </row>
    <row r="40" spans="3:32" ht="21.5">
      <c r="C40" s="71" t="s">
        <v>510</v>
      </c>
    </row>
    <row r="41" spans="3:32" ht="21.5">
      <c r="C41" s="71" t="s">
        <v>511</v>
      </c>
    </row>
    <row r="42" spans="3:32">
      <c r="G42" s="135"/>
    </row>
    <row r="44" spans="3:32">
      <c r="C44" s="92" t="s">
        <v>512</v>
      </c>
      <c r="D44" s="93">
        <f ca="1">D30-'表5-利润表-资本金'!D23</f>
        <v>0</v>
      </c>
    </row>
    <row r="45" spans="3:32">
      <c r="C45" s="92"/>
      <c r="D45" s="93"/>
    </row>
    <row r="46" spans="3:32">
      <c r="C46" s="359" t="s">
        <v>513</v>
      </c>
      <c r="D46" s="359"/>
      <c r="E46" s="359"/>
    </row>
    <row r="47" spans="3:32">
      <c r="C47" s="359"/>
      <c r="D47" s="359"/>
      <c r="E47" s="359"/>
    </row>
    <row r="48" spans="3:32">
      <c r="C48" s="359"/>
      <c r="D48" s="359"/>
      <c r="E48" s="359"/>
    </row>
    <row r="51" spans="2:31">
      <c r="B51" s="354" t="s">
        <v>14</v>
      </c>
      <c r="C51" s="354" t="s">
        <v>323</v>
      </c>
      <c r="D51" s="354" t="s">
        <v>39</v>
      </c>
      <c r="E51" s="342" t="s">
        <v>43</v>
      </c>
      <c r="F51" s="342"/>
      <c r="G51" s="343" t="s">
        <v>54</v>
      </c>
      <c r="H51" s="343"/>
      <c r="I51" s="343"/>
      <c r="J51" s="343"/>
      <c r="K51" s="343"/>
      <c r="L51" s="343"/>
      <c r="M51" s="343"/>
      <c r="N51" s="343"/>
      <c r="O51" s="343"/>
      <c r="P51" s="343"/>
      <c r="Q51" s="343"/>
      <c r="R51" s="361"/>
      <c r="S51" s="343"/>
      <c r="T51" s="343"/>
      <c r="U51" s="343"/>
      <c r="V51" s="343"/>
      <c r="W51" s="343"/>
      <c r="X51" s="343"/>
      <c r="Y51" s="343"/>
      <c r="Z51" s="343"/>
      <c r="AA51" s="343"/>
      <c r="AB51" s="343"/>
      <c r="AC51" s="343"/>
      <c r="AD51" s="343"/>
      <c r="AE51" s="343"/>
    </row>
    <row r="52" spans="2:31">
      <c r="B52" s="355"/>
      <c r="C52" s="355"/>
      <c r="D52" s="355"/>
      <c r="E52" s="362" t="s">
        <v>514</v>
      </c>
      <c r="F52" s="363"/>
      <c r="G52" s="52">
        <v>1</v>
      </c>
      <c r="H52" s="52">
        <v>2</v>
      </c>
      <c r="I52" s="52">
        <v>3</v>
      </c>
      <c r="J52" s="52">
        <v>4</v>
      </c>
      <c r="K52" s="52">
        <v>5</v>
      </c>
      <c r="L52" s="52">
        <v>6</v>
      </c>
      <c r="M52" s="52">
        <v>7</v>
      </c>
      <c r="N52" s="52">
        <v>8</v>
      </c>
      <c r="O52" s="52">
        <v>9</v>
      </c>
      <c r="P52" s="52">
        <v>10</v>
      </c>
      <c r="Q52" s="52">
        <v>11</v>
      </c>
      <c r="R52" s="125">
        <v>12</v>
      </c>
      <c r="S52" s="52">
        <v>13</v>
      </c>
      <c r="T52" s="52">
        <v>14</v>
      </c>
      <c r="U52" s="52">
        <v>15</v>
      </c>
      <c r="V52" s="52">
        <v>16</v>
      </c>
      <c r="W52" s="52">
        <v>17</v>
      </c>
      <c r="X52" s="52">
        <v>18</v>
      </c>
      <c r="Y52" s="52">
        <v>19</v>
      </c>
      <c r="Z52" s="52">
        <v>20</v>
      </c>
      <c r="AA52" s="52">
        <v>21</v>
      </c>
      <c r="AB52" s="52">
        <v>22</v>
      </c>
      <c r="AC52" s="52">
        <v>23</v>
      </c>
      <c r="AD52" s="52">
        <v>24</v>
      </c>
      <c r="AE52" s="52">
        <v>25</v>
      </c>
    </row>
    <row r="53" spans="2:31" hidden="1">
      <c r="B53" s="76">
        <v>3</v>
      </c>
      <c r="C53" s="77" t="s">
        <v>501</v>
      </c>
      <c r="D53" s="56" t="s">
        <v>111</v>
      </c>
      <c r="E53" s="360">
        <f ca="1">F27</f>
        <v>-5416.6201673973701</v>
      </c>
      <c r="F53" s="360"/>
      <c r="G53" s="93">
        <f ca="1">H27</f>
        <v>514.70806887531489</v>
      </c>
      <c r="H53" s="93">
        <f t="shared" ref="H53:AE53" ca="1" si="9">I27</f>
        <v>623.47836536232944</v>
      </c>
      <c r="I53" s="93">
        <f t="shared" ca="1" si="9"/>
        <v>660.31719350638468</v>
      </c>
      <c r="J53" s="93">
        <f t="shared" ca="1" si="9"/>
        <v>697.22424491501897</v>
      </c>
      <c r="K53" s="93">
        <f t="shared" ca="1" si="9"/>
        <v>734.19921258355362</v>
      </c>
      <c r="L53" s="93">
        <f t="shared" ca="1" si="9"/>
        <v>883.18994997912978</v>
      </c>
      <c r="M53" s="93">
        <f t="shared" ca="1" si="9"/>
        <v>745.65905967484559</v>
      </c>
      <c r="N53" s="93">
        <f t="shared" ca="1" si="9"/>
        <v>512.66001733497524</v>
      </c>
      <c r="O53" s="93">
        <f t="shared" ca="1" si="9"/>
        <v>551.17085561196154</v>
      </c>
      <c r="P53" s="93">
        <f t="shared" ca="1" si="9"/>
        <v>589.74239310794292</v>
      </c>
      <c r="Q53" s="93">
        <f t="shared" ca="1" si="9"/>
        <v>158.96428193694601</v>
      </c>
      <c r="R53" s="136">
        <f t="shared" ca="1" si="9"/>
        <v>615.80861204998064</v>
      </c>
      <c r="S53" s="93">
        <f t="shared" ca="1" si="9"/>
        <v>654.56061323510403</v>
      </c>
      <c r="T53" s="93">
        <f t="shared" ca="1" si="9"/>
        <v>693.37222840612912</v>
      </c>
      <c r="U53" s="93">
        <f t="shared" ca="1" si="9"/>
        <v>732.24318930011714</v>
      </c>
      <c r="V53" s="93">
        <f t="shared" ca="1" si="9"/>
        <v>2164.3474111505152</v>
      </c>
      <c r="W53" s="93">
        <f t="shared" ca="1" si="9"/>
        <v>2151.3367099179031</v>
      </c>
      <c r="X53" s="93">
        <f t="shared" ca="1" si="9"/>
        <v>2138.3845568408406</v>
      </c>
      <c r="Y53" s="93">
        <f t="shared" ca="1" si="9"/>
        <v>2125.4906884526181</v>
      </c>
      <c r="Z53" s="93">
        <f t="shared" ca="1" si="9"/>
        <v>2112.6548424721418</v>
      </c>
      <c r="AA53" s="93">
        <f t="shared" ca="1" si="9"/>
        <v>2048.6188954484933</v>
      </c>
      <c r="AB53" s="93">
        <f t="shared" ca="1" si="9"/>
        <v>2035.898312155964</v>
      </c>
      <c r="AC53" s="93">
        <f t="shared" ca="1" si="9"/>
        <v>2023.2349714882491</v>
      </c>
      <c r="AD53" s="93">
        <f t="shared" ca="1" si="9"/>
        <v>2010.6286158535427</v>
      </c>
      <c r="AE53" s="93">
        <f t="shared" ca="1" si="9"/>
        <v>3316.919527473839</v>
      </c>
    </row>
    <row r="54" spans="2:31" hidden="1">
      <c r="B54" s="76">
        <v>4</v>
      </c>
      <c r="C54" s="85" t="s">
        <v>502</v>
      </c>
      <c r="D54" s="56" t="s">
        <v>111</v>
      </c>
      <c r="E54" s="360">
        <f ca="1">F28</f>
        <v>-5416.6201673973701</v>
      </c>
      <c r="F54" s="360"/>
      <c r="G54" s="93">
        <f ca="1">H28</f>
        <v>-4901.9120985220552</v>
      </c>
      <c r="H54" s="93">
        <f t="shared" ref="H54:AE54" ca="1" si="10">I28</f>
        <v>-4278.4337331597253</v>
      </c>
      <c r="I54" s="93">
        <f t="shared" ca="1" si="10"/>
        <v>-3618.1165396533406</v>
      </c>
      <c r="J54" s="93">
        <f t="shared" ca="1" si="10"/>
        <v>-2920.8922947383217</v>
      </c>
      <c r="K54" s="93">
        <f t="shared" ca="1" si="10"/>
        <v>-2186.693082154768</v>
      </c>
      <c r="L54" s="93">
        <f t="shared" ca="1" si="10"/>
        <v>-1303.5031321756383</v>
      </c>
      <c r="M54" s="93">
        <f t="shared" ca="1" si="10"/>
        <v>-557.84407250079266</v>
      </c>
      <c r="N54" s="93">
        <f t="shared" ca="1" si="10"/>
        <v>-45.184055165817426</v>
      </c>
      <c r="O54" s="93">
        <f t="shared" ca="1" si="10"/>
        <v>505.98680044614412</v>
      </c>
      <c r="P54" s="93">
        <f t="shared" ca="1" si="10"/>
        <v>1095.729193554087</v>
      </c>
      <c r="Q54" s="93">
        <f t="shared" ca="1" si="10"/>
        <v>1254.693475491033</v>
      </c>
      <c r="R54" s="136">
        <f t="shared" ca="1" si="10"/>
        <v>1870.5020875410137</v>
      </c>
      <c r="S54" s="93">
        <f t="shared" ca="1" si="10"/>
        <v>2525.0627007761177</v>
      </c>
      <c r="T54" s="93">
        <f t="shared" ca="1" si="10"/>
        <v>3218.4349291822468</v>
      </c>
      <c r="U54" s="93">
        <f t="shared" ca="1" si="10"/>
        <v>3950.678118482364</v>
      </c>
      <c r="V54" s="93">
        <f t="shared" ca="1" si="10"/>
        <v>6115.0255296328796</v>
      </c>
      <c r="W54" s="93">
        <f t="shared" ca="1" si="10"/>
        <v>8266.3622395507828</v>
      </c>
      <c r="X54" s="93">
        <f t="shared" ca="1" si="10"/>
        <v>10404.746796391624</v>
      </c>
      <c r="Y54" s="93">
        <f t="shared" ca="1" si="10"/>
        <v>12530.237484844241</v>
      </c>
      <c r="Z54" s="93">
        <f t="shared" ca="1" si="10"/>
        <v>14642.892327316384</v>
      </c>
      <c r="AA54" s="93">
        <f t="shared" ca="1" si="10"/>
        <v>16691.511222764879</v>
      </c>
      <c r="AB54" s="93">
        <f t="shared" ca="1" si="10"/>
        <v>18727.409534920844</v>
      </c>
      <c r="AC54" s="93">
        <f t="shared" ca="1" si="10"/>
        <v>20750.644506409091</v>
      </c>
      <c r="AD54" s="93">
        <f t="shared" ca="1" si="10"/>
        <v>22761.273122262635</v>
      </c>
      <c r="AE54" s="93">
        <f t="shared" ca="1" si="10"/>
        <v>26078.192649736473</v>
      </c>
    </row>
    <row r="55" spans="2:31">
      <c r="B55" s="76">
        <v>5</v>
      </c>
      <c r="C55" s="85" t="s">
        <v>468</v>
      </c>
      <c r="D55" s="56" t="s">
        <v>111</v>
      </c>
      <c r="E55" s="360">
        <f>F29</f>
        <v>0</v>
      </c>
      <c r="F55" s="360"/>
      <c r="G55" s="93">
        <f>H29</f>
        <v>0</v>
      </c>
      <c r="H55" s="93">
        <f t="shared" ref="H55:AE55" si="11">I29</f>
        <v>0</v>
      </c>
      <c r="I55" s="93">
        <f t="shared" si="11"/>
        <v>0</v>
      </c>
      <c r="J55" s="93">
        <f t="shared" ca="1" si="11"/>
        <v>74.153174244711863</v>
      </c>
      <c r="K55" s="93">
        <f t="shared" ca="1" si="11"/>
        <v>78.991106726729981</v>
      </c>
      <c r="L55" s="93">
        <f t="shared" ca="1" si="11"/>
        <v>95.483048901395705</v>
      </c>
      <c r="M55" s="93">
        <f t="shared" ca="1" si="11"/>
        <v>195.85112204801723</v>
      </c>
      <c r="N55" s="93">
        <f t="shared" ca="1" si="11"/>
        <v>198.19263535070036</v>
      </c>
      <c r="O55" s="93">
        <f t="shared" ca="1" si="11"/>
        <v>207.82034491994702</v>
      </c>
      <c r="P55" s="93">
        <f t="shared" ca="1" si="11"/>
        <v>217.46322929394134</v>
      </c>
      <c r="Q55" s="93">
        <f t="shared" ca="1" si="11"/>
        <v>205.87489619145973</v>
      </c>
      <c r="R55" s="136">
        <f t="shared" ca="1" si="11"/>
        <v>213.89128845422928</v>
      </c>
      <c r="S55" s="93">
        <f t="shared" ca="1" si="11"/>
        <v>223.57928875051203</v>
      </c>
      <c r="T55" s="93">
        <f t="shared" ca="1" si="11"/>
        <v>233.28219254326834</v>
      </c>
      <c r="U55" s="93">
        <f t="shared" ca="1" si="11"/>
        <v>242.99993276676361</v>
      </c>
      <c r="V55" s="93">
        <f t="shared" ca="1" si="11"/>
        <v>239.91797706954065</v>
      </c>
      <c r="W55" s="93">
        <f t="shared" ca="1" si="11"/>
        <v>236.66530176138639</v>
      </c>
      <c r="X55" s="93">
        <f t="shared" ca="1" si="11"/>
        <v>233.42726349211927</v>
      </c>
      <c r="Y55" s="93">
        <f t="shared" ca="1" si="11"/>
        <v>230.20379639506541</v>
      </c>
      <c r="Z55" s="93">
        <f t="shared" ca="1" si="11"/>
        <v>226.99483489994606</v>
      </c>
      <c r="AA55" s="93">
        <f t="shared" ca="1" si="11"/>
        <v>512.15472386212377</v>
      </c>
      <c r="AB55" s="93">
        <f t="shared" ca="1" si="11"/>
        <v>508.97457803898959</v>
      </c>
      <c r="AC55" s="93">
        <f t="shared" ca="1" si="11"/>
        <v>505.80874287206206</v>
      </c>
      <c r="AD55" s="93">
        <f t="shared" ca="1" si="11"/>
        <v>502.6571539633847</v>
      </c>
      <c r="AE55" s="93">
        <f t="shared" ca="1" si="11"/>
        <v>499.51974720479575</v>
      </c>
    </row>
    <row r="56" spans="2:31">
      <c r="B56" s="86">
        <v>6</v>
      </c>
      <c r="C56" s="77" t="s">
        <v>503</v>
      </c>
      <c r="D56" s="56" t="s">
        <v>111</v>
      </c>
      <c r="E56" s="360">
        <f ca="1">F30</f>
        <v>-5416.6201673973701</v>
      </c>
      <c r="F56" s="360"/>
      <c r="G56" s="93">
        <f ca="1">H30</f>
        <v>514.70806887531489</v>
      </c>
      <c r="H56" s="93">
        <f t="shared" ref="H56:AE56" ca="1" si="12">I30</f>
        <v>623.47836536232944</v>
      </c>
      <c r="I56" s="93">
        <f t="shared" ca="1" si="12"/>
        <v>660.31719350638468</v>
      </c>
      <c r="J56" s="93">
        <f t="shared" ca="1" si="12"/>
        <v>623.07107067030711</v>
      </c>
      <c r="K56" s="93">
        <f t="shared" ca="1" si="12"/>
        <v>655.20810585682364</v>
      </c>
      <c r="L56" s="93">
        <f t="shared" ca="1" si="12"/>
        <v>787.70690107773407</v>
      </c>
      <c r="M56" s="93">
        <f t="shared" ca="1" si="12"/>
        <v>549.80793762682833</v>
      </c>
      <c r="N56" s="93">
        <f t="shared" ca="1" si="12"/>
        <v>314.46738198427488</v>
      </c>
      <c r="O56" s="93">
        <f t="shared" ca="1" si="12"/>
        <v>343.3505106920145</v>
      </c>
      <c r="P56" s="93">
        <f t="shared" ca="1" si="12"/>
        <v>372.27916381400155</v>
      </c>
      <c r="Q56" s="93">
        <f t="shared" ca="1" si="12"/>
        <v>-46.910614254513717</v>
      </c>
      <c r="R56" s="136">
        <f t="shared" ca="1" si="12"/>
        <v>401.91732359575133</v>
      </c>
      <c r="S56" s="93">
        <f t="shared" ca="1" si="12"/>
        <v>430.98132448459199</v>
      </c>
      <c r="T56" s="93">
        <f t="shared" ca="1" si="12"/>
        <v>460.09003586286076</v>
      </c>
      <c r="U56" s="93">
        <f t="shared" ca="1" si="12"/>
        <v>489.24325653335353</v>
      </c>
      <c r="V56" s="93">
        <f t="shared" ca="1" si="12"/>
        <v>1924.4294340809745</v>
      </c>
      <c r="W56" s="93">
        <f t="shared" ca="1" si="12"/>
        <v>1914.6714081565167</v>
      </c>
      <c r="X56" s="93">
        <f t="shared" ca="1" si="12"/>
        <v>1904.9572933487214</v>
      </c>
      <c r="Y56" s="93">
        <f t="shared" ca="1" si="12"/>
        <v>1895.2868920575527</v>
      </c>
      <c r="Z56" s="93">
        <f t="shared" ca="1" si="12"/>
        <v>1885.6600075721958</v>
      </c>
      <c r="AA56" s="93">
        <f t="shared" ca="1" si="12"/>
        <v>1536.4641715863695</v>
      </c>
      <c r="AB56" s="93">
        <f t="shared" ca="1" si="12"/>
        <v>1526.9237341169744</v>
      </c>
      <c r="AC56" s="93">
        <f t="shared" ca="1" si="12"/>
        <v>1517.426228616187</v>
      </c>
      <c r="AD56" s="93">
        <f t="shared" ca="1" si="12"/>
        <v>1507.971461890158</v>
      </c>
      <c r="AE56" s="93">
        <f t="shared" ca="1" si="12"/>
        <v>2817.3997802690433</v>
      </c>
    </row>
    <row r="57" spans="2:31">
      <c r="B57" s="86">
        <v>7</v>
      </c>
      <c r="C57" s="85" t="s">
        <v>504</v>
      </c>
      <c r="D57" s="56" t="s">
        <v>111</v>
      </c>
      <c r="E57" s="360">
        <f ca="1">F31</f>
        <v>-5416.6201673973701</v>
      </c>
      <c r="F57" s="360"/>
      <c r="G57" s="93">
        <f ca="1">H31</f>
        <v>-4901.9120985220552</v>
      </c>
      <c r="H57" s="93">
        <f t="shared" ref="H57:AE57" ca="1" si="13">I31</f>
        <v>-4278.4337331597253</v>
      </c>
      <c r="I57" s="93">
        <f t="shared" ca="1" si="13"/>
        <v>-3618.1165396533406</v>
      </c>
      <c r="J57" s="93">
        <f t="shared" ca="1" si="13"/>
        <v>-2995.0454689830335</v>
      </c>
      <c r="K57" s="93">
        <f t="shared" ca="1" si="13"/>
        <v>-2339.8373631262098</v>
      </c>
      <c r="L57" s="93">
        <f t="shared" ca="1" si="13"/>
        <v>-1552.1304620484757</v>
      </c>
      <c r="M57" s="93">
        <f t="shared" ca="1" si="13"/>
        <v>-1002.3225244216474</v>
      </c>
      <c r="N57" s="93">
        <f t="shared" ca="1" si="13"/>
        <v>-687.85514243737248</v>
      </c>
      <c r="O57" s="93">
        <f t="shared" ca="1" si="13"/>
        <v>-344.50463174535798</v>
      </c>
      <c r="P57" s="93">
        <f t="shared" ca="1" si="13"/>
        <v>27.774532068643566</v>
      </c>
      <c r="Q57" s="93">
        <f t="shared" ca="1" si="13"/>
        <v>-19.136082185870151</v>
      </c>
      <c r="R57" s="136">
        <f t="shared" ca="1" si="13"/>
        <v>382.7812414098812</v>
      </c>
      <c r="S57" s="93">
        <f t="shared" ca="1" si="13"/>
        <v>813.76256589447325</v>
      </c>
      <c r="T57" s="93">
        <f t="shared" ca="1" si="13"/>
        <v>1273.852601757334</v>
      </c>
      <c r="U57" s="93">
        <f t="shared" ca="1" si="13"/>
        <v>1763.0958582906876</v>
      </c>
      <c r="V57" s="93">
        <f t="shared" ca="1" si="13"/>
        <v>3687.5252923716621</v>
      </c>
      <c r="W57" s="93">
        <f t="shared" ca="1" si="13"/>
        <v>5602.1967005281786</v>
      </c>
      <c r="X57" s="93">
        <f t="shared" ca="1" si="13"/>
        <v>7507.1539938769001</v>
      </c>
      <c r="Y57" s="93">
        <f t="shared" ca="1" si="13"/>
        <v>9402.440885934453</v>
      </c>
      <c r="Z57" s="93">
        <f t="shared" ca="1" si="13"/>
        <v>11288.100893506649</v>
      </c>
      <c r="AA57" s="93">
        <f t="shared" ca="1" si="13"/>
        <v>12824.565065093018</v>
      </c>
      <c r="AB57" s="93">
        <f t="shared" ca="1" si="13"/>
        <v>14351.488799209992</v>
      </c>
      <c r="AC57" s="93">
        <f t="shared" ca="1" si="13"/>
        <v>15868.915027826179</v>
      </c>
      <c r="AD57" s="93">
        <f t="shared" ca="1" si="13"/>
        <v>17376.886489716337</v>
      </c>
      <c r="AE57" s="93">
        <f t="shared" ca="1" si="13"/>
        <v>20194.286269985379</v>
      </c>
    </row>
  </sheetData>
  <mergeCells count="18">
    <mergeCell ref="F3:G3"/>
    <mergeCell ref="H3:AF3"/>
    <mergeCell ref="E51:F51"/>
    <mergeCell ref="G51:AE51"/>
    <mergeCell ref="E52:F52"/>
    <mergeCell ref="E3:E4"/>
    <mergeCell ref="E53:F53"/>
    <mergeCell ref="E54:F54"/>
    <mergeCell ref="E55:F55"/>
    <mergeCell ref="E56:F56"/>
    <mergeCell ref="E57:F57"/>
    <mergeCell ref="B3:B4"/>
    <mergeCell ref="B51:B52"/>
    <mergeCell ref="C3:C4"/>
    <mergeCell ref="C51:C52"/>
    <mergeCell ref="D3:D4"/>
    <mergeCell ref="D51:D52"/>
    <mergeCell ref="C46:E48"/>
  </mergeCells>
  <phoneticPr fontId="51"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F40"/>
  <sheetViews>
    <sheetView showGridLines="0" topLeftCell="A15" zoomScale="70" zoomScaleNormal="70" workbookViewId="0">
      <selection activeCell="D8" sqref="D8"/>
    </sheetView>
  </sheetViews>
  <sheetFormatPr defaultColWidth="8.81640625" defaultRowHeight="16.5"/>
  <cols>
    <col min="1" max="1" width="2.36328125" style="74" customWidth="1"/>
    <col min="2" max="2" width="8.81640625" style="74"/>
    <col min="3" max="3" width="35" style="74" customWidth="1"/>
    <col min="4" max="4" width="17.36328125" style="74" customWidth="1"/>
    <col min="5" max="5" width="10.81640625" style="74" customWidth="1"/>
    <col min="6" max="32" width="12.453125" style="74" customWidth="1"/>
    <col min="33" max="16384" width="8.81640625" style="74"/>
  </cols>
  <sheetData>
    <row r="1" spans="2:32" ht="9" customHeight="1"/>
    <row r="2" spans="2:32" ht="24" customHeight="1">
      <c r="B2" s="50" t="s">
        <v>515</v>
      </c>
    </row>
    <row r="3" spans="2:32">
      <c r="B3" s="354" t="s">
        <v>14</v>
      </c>
      <c r="C3" s="354" t="s">
        <v>323</v>
      </c>
      <c r="D3" s="354" t="s">
        <v>311</v>
      </c>
      <c r="E3" s="354" t="s">
        <v>39</v>
      </c>
      <c r="F3" s="342" t="s">
        <v>43</v>
      </c>
      <c r="G3" s="342"/>
      <c r="H3" s="343" t="s">
        <v>54</v>
      </c>
      <c r="I3" s="343"/>
      <c r="J3" s="343"/>
      <c r="K3" s="343"/>
      <c r="L3" s="343"/>
      <c r="M3" s="343"/>
      <c r="N3" s="343"/>
      <c r="O3" s="343"/>
      <c r="P3" s="343"/>
      <c r="Q3" s="343"/>
      <c r="R3" s="343"/>
      <c r="S3" s="343"/>
      <c r="T3" s="343"/>
      <c r="U3" s="343"/>
      <c r="V3" s="343"/>
      <c r="W3" s="343"/>
      <c r="X3" s="343"/>
      <c r="Y3" s="343"/>
      <c r="Z3" s="343"/>
      <c r="AA3" s="343"/>
      <c r="AB3" s="343"/>
      <c r="AC3" s="343"/>
      <c r="AD3" s="343"/>
      <c r="AE3" s="343"/>
      <c r="AF3" s="343"/>
    </row>
    <row r="4" spans="2:32">
      <c r="B4" s="355"/>
      <c r="C4" s="355"/>
      <c r="D4" s="355"/>
      <c r="E4" s="355"/>
      <c r="F4" s="51">
        <v>1</v>
      </c>
      <c r="G4" s="51">
        <v>2</v>
      </c>
      <c r="H4" s="52">
        <v>1</v>
      </c>
      <c r="I4" s="52">
        <v>2</v>
      </c>
      <c r="J4" s="52">
        <v>3</v>
      </c>
      <c r="K4" s="52">
        <v>4</v>
      </c>
      <c r="L4" s="52">
        <v>5</v>
      </c>
      <c r="M4" s="52">
        <v>6</v>
      </c>
      <c r="N4" s="52">
        <v>7</v>
      </c>
      <c r="O4" s="52">
        <v>8</v>
      </c>
      <c r="P4" s="52">
        <v>9</v>
      </c>
      <c r="Q4" s="52">
        <v>10</v>
      </c>
      <c r="R4" s="52">
        <v>11</v>
      </c>
      <c r="S4" s="52">
        <v>12</v>
      </c>
      <c r="T4" s="52">
        <v>13</v>
      </c>
      <c r="U4" s="52">
        <v>14</v>
      </c>
      <c r="V4" s="52">
        <v>15</v>
      </c>
      <c r="W4" s="52">
        <v>16</v>
      </c>
      <c r="X4" s="52">
        <v>17</v>
      </c>
      <c r="Y4" s="52">
        <v>18</v>
      </c>
      <c r="Z4" s="52">
        <v>19</v>
      </c>
      <c r="AA4" s="52">
        <v>20</v>
      </c>
      <c r="AB4" s="52">
        <v>21</v>
      </c>
      <c r="AC4" s="52">
        <v>22</v>
      </c>
      <c r="AD4" s="52">
        <v>23</v>
      </c>
      <c r="AE4" s="52">
        <v>24</v>
      </c>
      <c r="AF4" s="52">
        <v>25</v>
      </c>
    </row>
    <row r="5" spans="2:32" s="96" customFormat="1">
      <c r="B5" s="99">
        <v>1</v>
      </c>
      <c r="C5" s="100" t="s">
        <v>456</v>
      </c>
      <c r="D5" s="101">
        <f>SUM(F5:AF5)</f>
        <v>73734.758417673598</v>
      </c>
      <c r="E5" s="102" t="s">
        <v>111</v>
      </c>
      <c r="F5" s="55"/>
      <c r="G5" s="55"/>
      <c r="H5" s="55">
        <f t="shared" ref="H5:AF5" si="0">SUM(H6:H7)</f>
        <v>2994.9374867256602</v>
      </c>
      <c r="I5" s="55">
        <f t="shared" si="0"/>
        <v>2981.4602680354001</v>
      </c>
      <c r="J5" s="55">
        <f t="shared" si="0"/>
        <v>2968.0436968292402</v>
      </c>
      <c r="K5" s="55">
        <f t="shared" si="0"/>
        <v>2954.68750019351</v>
      </c>
      <c r="L5" s="55">
        <f t="shared" si="0"/>
        <v>2941.3914064426399</v>
      </c>
      <c r="M5" s="55">
        <f t="shared" si="0"/>
        <v>3072.5852525830401</v>
      </c>
      <c r="N5" s="55">
        <f t="shared" si="0"/>
        <v>3058.75861894642</v>
      </c>
      <c r="O5" s="55">
        <f t="shared" si="0"/>
        <v>3044.9942051611602</v>
      </c>
      <c r="P5" s="55">
        <f t="shared" si="0"/>
        <v>3031.29173123793</v>
      </c>
      <c r="Q5" s="55">
        <f t="shared" si="0"/>
        <v>3017.6509184473598</v>
      </c>
      <c r="R5" s="55">
        <f t="shared" si="0"/>
        <v>3004.0714893143499</v>
      </c>
      <c r="S5" s="55">
        <f t="shared" si="0"/>
        <v>2990.5531676124301</v>
      </c>
      <c r="T5" s="55">
        <f t="shared" si="0"/>
        <v>2977.0956783581801</v>
      </c>
      <c r="U5" s="55">
        <f t="shared" si="0"/>
        <v>2963.6987478055698</v>
      </c>
      <c r="V5" s="55">
        <f t="shared" si="0"/>
        <v>2950.36210344044</v>
      </c>
      <c r="W5" s="55">
        <f t="shared" si="0"/>
        <v>2937.0854739749602</v>
      </c>
      <c r="X5" s="55">
        <f t="shared" si="0"/>
        <v>2923.8685893420702</v>
      </c>
      <c r="Y5" s="55">
        <f t="shared" si="0"/>
        <v>2910.7111806900298</v>
      </c>
      <c r="Z5" s="55">
        <f t="shared" si="0"/>
        <v>2897.61298037693</v>
      </c>
      <c r="AA5" s="55">
        <f t="shared" si="0"/>
        <v>2884.5737219652301</v>
      </c>
      <c r="AB5" s="55">
        <f t="shared" si="0"/>
        <v>2871.5931402163901</v>
      </c>
      <c r="AC5" s="55">
        <f t="shared" si="0"/>
        <v>2858.6709710854102</v>
      </c>
      <c r="AD5" s="55">
        <f t="shared" si="0"/>
        <v>2845.80695171553</v>
      </c>
      <c r="AE5" s="55">
        <f t="shared" si="0"/>
        <v>2833.0008204328101</v>
      </c>
      <c r="AF5" s="55">
        <f t="shared" si="0"/>
        <v>2820.2523167408599</v>
      </c>
    </row>
    <row r="6" spans="2:32">
      <c r="B6" s="103">
        <v>1.1000000000000001</v>
      </c>
      <c r="C6" s="104" t="s">
        <v>250</v>
      </c>
      <c r="D6" s="105">
        <f>SUM(F6:AF6)</f>
        <v>73734.758417673598</v>
      </c>
      <c r="E6" s="106" t="s">
        <v>111</v>
      </c>
      <c r="F6" s="59"/>
      <c r="G6" s="59"/>
      <c r="H6" s="59">
        <f>'表4-收入税金表'!H5</f>
        <v>2994.9374867256602</v>
      </c>
      <c r="I6" s="59">
        <f>'表4-收入税金表'!I5</f>
        <v>2981.4602680354001</v>
      </c>
      <c r="J6" s="59">
        <f>'表4-收入税金表'!J5</f>
        <v>2968.0436968292402</v>
      </c>
      <c r="K6" s="59">
        <f>'表4-收入税金表'!K5</f>
        <v>2954.68750019351</v>
      </c>
      <c r="L6" s="59">
        <f>'表4-收入税金表'!L5</f>
        <v>2941.3914064426399</v>
      </c>
      <c r="M6" s="59">
        <f>'表4-收入税金表'!M5</f>
        <v>3072.5852525830401</v>
      </c>
      <c r="N6" s="59">
        <f>'表4-收入税金表'!N5</f>
        <v>3058.75861894642</v>
      </c>
      <c r="O6" s="59">
        <f>'表4-收入税金表'!O5</f>
        <v>3044.9942051611602</v>
      </c>
      <c r="P6" s="59">
        <f>'表4-收入税金表'!P5</f>
        <v>3031.29173123793</v>
      </c>
      <c r="Q6" s="59">
        <f>'表4-收入税金表'!Q5</f>
        <v>3017.6509184473598</v>
      </c>
      <c r="R6" s="59">
        <f>'表4-收入税金表'!R5</f>
        <v>3004.0714893143499</v>
      </c>
      <c r="S6" s="59">
        <f>'表4-收入税金表'!S5</f>
        <v>2990.5531676124301</v>
      </c>
      <c r="T6" s="59">
        <f>'表4-收入税金表'!T5</f>
        <v>2977.0956783581801</v>
      </c>
      <c r="U6" s="59">
        <f>'表4-收入税金表'!U5</f>
        <v>2963.6987478055698</v>
      </c>
      <c r="V6" s="59">
        <f>'表4-收入税金表'!V5</f>
        <v>2950.36210344044</v>
      </c>
      <c r="W6" s="59">
        <f>'表4-收入税金表'!W5</f>
        <v>2937.0854739749602</v>
      </c>
      <c r="X6" s="59">
        <f>'表4-收入税金表'!X5</f>
        <v>2923.8685893420702</v>
      </c>
      <c r="Y6" s="59">
        <f>'表4-收入税金表'!Y5</f>
        <v>2910.7111806900298</v>
      </c>
      <c r="Z6" s="59">
        <f>'表4-收入税金表'!Z5</f>
        <v>2897.61298037693</v>
      </c>
      <c r="AA6" s="59">
        <f>'表4-收入税金表'!AA5</f>
        <v>2884.5737219652301</v>
      </c>
      <c r="AB6" s="59">
        <f>'表4-收入税金表'!AB5</f>
        <v>2871.5931402163901</v>
      </c>
      <c r="AC6" s="59">
        <f>'表4-收入税金表'!AC5</f>
        <v>2858.6709710854102</v>
      </c>
      <c r="AD6" s="59">
        <f>'表4-收入税金表'!AD5</f>
        <v>2845.80695171553</v>
      </c>
      <c r="AE6" s="59">
        <f>'表4-收入税金表'!AE5</f>
        <v>2833.0008204328101</v>
      </c>
      <c r="AF6" s="59">
        <f>'表4-收入税金表'!AF5</f>
        <v>2820.2523167408599</v>
      </c>
    </row>
    <row r="7" spans="2:32">
      <c r="B7" s="107">
        <v>1.2</v>
      </c>
      <c r="C7" s="108" t="s">
        <v>260</v>
      </c>
      <c r="D7" s="105">
        <f t="shared" ref="D7:D8" si="1">SUM(F7:AF7)</f>
        <v>0</v>
      </c>
      <c r="E7" s="106" t="s">
        <v>111</v>
      </c>
      <c r="F7" s="59"/>
      <c r="G7" s="59"/>
      <c r="H7" s="59">
        <f>'表4-收入税金表'!H16</f>
        <v>0</v>
      </c>
      <c r="I7" s="59">
        <f>'表4-收入税金表'!I16</f>
        <v>0</v>
      </c>
      <c r="J7" s="59">
        <f>'表4-收入税金表'!J16</f>
        <v>0</v>
      </c>
      <c r="K7" s="59">
        <f>'表4-收入税金表'!K16</f>
        <v>0</v>
      </c>
      <c r="L7" s="59">
        <f>'表4-收入税金表'!L16</f>
        <v>0</v>
      </c>
      <c r="M7" s="59">
        <f>'表4-收入税金表'!M16</f>
        <v>0</v>
      </c>
      <c r="N7" s="59">
        <f>'表4-收入税金表'!N16</f>
        <v>0</v>
      </c>
      <c r="O7" s="59">
        <f>'表4-收入税金表'!O16</f>
        <v>0</v>
      </c>
      <c r="P7" s="59">
        <f>'表4-收入税金表'!P16</f>
        <v>0</v>
      </c>
      <c r="Q7" s="59">
        <f>'表4-收入税金表'!Q16</f>
        <v>0</v>
      </c>
      <c r="R7" s="59">
        <f>'表4-收入税金表'!R16</f>
        <v>0</v>
      </c>
      <c r="S7" s="59">
        <f>'表4-收入税金表'!S16</f>
        <v>0</v>
      </c>
      <c r="T7" s="59">
        <f>'表4-收入税金表'!T16</f>
        <v>0</v>
      </c>
      <c r="U7" s="59">
        <f>'表4-收入税金表'!U16</f>
        <v>0</v>
      </c>
      <c r="V7" s="59">
        <f>'表4-收入税金表'!V16</f>
        <v>0</v>
      </c>
      <c r="W7" s="59">
        <f>'表4-收入税金表'!W16</f>
        <v>0</v>
      </c>
      <c r="X7" s="59">
        <f>'表4-收入税金表'!X16</f>
        <v>0</v>
      </c>
      <c r="Y7" s="59">
        <f>'表4-收入税金表'!Y16</f>
        <v>0</v>
      </c>
      <c r="Z7" s="59">
        <f>'表4-收入税金表'!Z16</f>
        <v>0</v>
      </c>
      <c r="AA7" s="59">
        <f>'表4-收入税金表'!AA16</f>
        <v>0</v>
      </c>
      <c r="AB7" s="59">
        <f>'表4-收入税金表'!AB16</f>
        <v>0</v>
      </c>
      <c r="AC7" s="59">
        <f>'表4-收入税金表'!AC16</f>
        <v>0</v>
      </c>
      <c r="AD7" s="59">
        <f>'表4-收入税金表'!AD16</f>
        <v>0</v>
      </c>
      <c r="AE7" s="59">
        <f>'表4-收入税金表'!AE16</f>
        <v>0</v>
      </c>
      <c r="AF7" s="59">
        <f>'表4-收入税金表'!AF16</f>
        <v>0</v>
      </c>
    </row>
    <row r="8" spans="2:32">
      <c r="B8" s="86">
        <v>2</v>
      </c>
      <c r="C8" s="109" t="s">
        <v>516</v>
      </c>
      <c r="D8" s="101">
        <f t="shared" ca="1" si="1"/>
        <v>40451.311911446865</v>
      </c>
      <c r="E8" s="106" t="s">
        <v>111</v>
      </c>
      <c r="F8" s="59"/>
      <c r="G8" s="59"/>
      <c r="H8" s="55">
        <f ca="1">'表3-成本费用表'!H29</f>
        <v>1732.2594629516384</v>
      </c>
      <c r="I8" s="55">
        <f ca="1">'表3-成本费用表'!I29</f>
        <v>1732.2594629516384</v>
      </c>
      <c r="J8" s="55">
        <f ca="1">'表3-成本费用表'!J29</f>
        <v>1732.2594629516384</v>
      </c>
      <c r="K8" s="55">
        <f ca="1">'表3-成本费用表'!K29</f>
        <v>1732.2594629516384</v>
      </c>
      <c r="L8" s="55">
        <f ca="1">'表3-成本费用表'!L29</f>
        <v>1732.2594629516384</v>
      </c>
      <c r="M8" s="55">
        <f ca="1">'表3-成本费用表'!M29</f>
        <v>1783.5173253017269</v>
      </c>
      <c r="N8" s="55">
        <f ca="1">'表3-成本费用表'!N29</f>
        <v>1783.5173253017269</v>
      </c>
      <c r="O8" s="55">
        <f ca="1">'表3-成本费用表'!O29</f>
        <v>1783.5173253017269</v>
      </c>
      <c r="P8" s="55">
        <f ca="1">'表3-成本费用表'!P29</f>
        <v>1783.5173253017269</v>
      </c>
      <c r="Q8" s="55">
        <f ca="1">'表3-成本费用表'!Q29</f>
        <v>1783.5173253017269</v>
      </c>
      <c r="R8" s="55">
        <f ca="1">'表3-成本费用表'!R29</f>
        <v>1875.1291699527003</v>
      </c>
      <c r="S8" s="55">
        <f ca="1">'表3-成本费用表'!S29</f>
        <v>1875.1291699527003</v>
      </c>
      <c r="T8" s="55">
        <f ca="1">'表3-成本费用表'!T29</f>
        <v>1875.1291699527003</v>
      </c>
      <c r="U8" s="55">
        <f ca="1">'表3-成本费用表'!U29</f>
        <v>1875.1291699527003</v>
      </c>
      <c r="V8" s="55">
        <f ca="1">'表3-成本费用表'!V29</f>
        <v>1875.1291699527003</v>
      </c>
      <c r="W8" s="55">
        <f ca="1">'表3-成本费用表'!W29</f>
        <v>1926.3870323027882</v>
      </c>
      <c r="X8" s="55">
        <f ca="1">'表3-成本费用表'!X29</f>
        <v>1926.3870323027882</v>
      </c>
      <c r="Y8" s="55">
        <f ca="1">'表3-成本费用表'!Y29</f>
        <v>1926.3870323027882</v>
      </c>
      <c r="Z8" s="55">
        <f ca="1">'表3-成本费用表'!Z29</f>
        <v>1926.3870323027882</v>
      </c>
      <c r="AA8" s="55">
        <f ca="1">'表3-成本费用表'!AA29</f>
        <v>1926.3870323027882</v>
      </c>
      <c r="AB8" s="55">
        <f ca="1">'表3-成本费用表'!AB29</f>
        <v>772.96939178051957</v>
      </c>
      <c r="AC8" s="55">
        <f ca="1">'表3-成本费用表'!AC29</f>
        <v>772.96939178051957</v>
      </c>
      <c r="AD8" s="55">
        <f ca="1">'表3-成本费用表'!AD29</f>
        <v>772.96939178051957</v>
      </c>
      <c r="AE8" s="55">
        <f ca="1">'表3-成本费用表'!AE29</f>
        <v>772.96939178051957</v>
      </c>
      <c r="AF8" s="55">
        <f ca="1">'表3-成本费用表'!AF29</f>
        <v>772.96939178051957</v>
      </c>
    </row>
    <row r="9" spans="2:32">
      <c r="B9" s="86">
        <v>3</v>
      </c>
      <c r="C9" s="110" t="s">
        <v>457</v>
      </c>
      <c r="D9" s="101">
        <f t="shared" ref="D9:D34" ca="1" si="2">SUM(F9:AF9)</f>
        <v>835.10742364844054</v>
      </c>
      <c r="E9" s="106" t="s">
        <v>111</v>
      </c>
      <c r="F9" s="59"/>
      <c r="G9" s="59"/>
      <c r="H9" s="55">
        <f ca="1">'表4-收入税金表'!H46+'表4-收入税金表'!H50</f>
        <v>0</v>
      </c>
      <c r="I9" s="55">
        <f ca="1">'表4-收入税金表'!I46+'表4-收入税金表'!I50</f>
        <v>0</v>
      </c>
      <c r="J9" s="55">
        <f ca="1">'表4-收入税金表'!J46+'表4-收入税金表'!J50</f>
        <v>0</v>
      </c>
      <c r="K9" s="55">
        <f ca="1">'表4-收入税金表'!K46+'表4-收入税金表'!K50</f>
        <v>0</v>
      </c>
      <c r="L9" s="55">
        <f ca="1">'表4-收入税金表'!L46+'表4-收入税金表'!L50</f>
        <v>0</v>
      </c>
      <c r="M9" s="55">
        <f ca="1">'表4-收入税金表'!M46+'表4-收入税金表'!M50</f>
        <v>0</v>
      </c>
      <c r="N9" s="55">
        <f ca="1">'表4-收入税金表'!N46+'表4-收入税金表'!N50</f>
        <v>18.632822989491284</v>
      </c>
      <c r="O9" s="55">
        <f ca="1">'表4-收入税金表'!O46+'表4-收入税金表'!O50</f>
        <v>47.501909600514004</v>
      </c>
      <c r="P9" s="55">
        <f ca="1">'表4-收入税金表'!P46+'表4-收入税金表'!P50</f>
        <v>47.288151007311718</v>
      </c>
      <c r="Q9" s="55">
        <f ca="1">'表4-收入税金表'!Q46+'表4-收入税金表'!Q50</f>
        <v>47.075354327778847</v>
      </c>
      <c r="R9" s="55">
        <f ca="1">'表4-收入税金表'!R46+'表4-收入税金表'!R50</f>
        <v>40.236966560737436</v>
      </c>
      <c r="S9" s="55">
        <f ca="1">'表4-收入税金表'!S46+'表4-收入税金表'!S50</f>
        <v>46.652629414753925</v>
      </c>
      <c r="T9" s="55">
        <f ca="1">'表4-收入税金表'!T46+'表4-收入税金表'!T50</f>
        <v>46.442692582387565</v>
      </c>
      <c r="U9" s="55">
        <f ca="1">'表4-收入税金表'!U46+'表4-收入税金表'!U50</f>
        <v>46.23370046576688</v>
      </c>
      <c r="V9" s="55">
        <f ca="1">'表4-收入税金表'!V46+'表4-收入税金表'!V50</f>
        <v>46.025648813670841</v>
      </c>
      <c r="W9" s="55">
        <f ca="1">'表4-收入税金表'!W46+'表4-收入税金表'!W50</f>
        <v>45.8185333940094</v>
      </c>
      <c r="X9" s="55">
        <f ca="1">'表4-收入税金表'!X46+'表4-收入税金表'!X50</f>
        <v>45.612349993736402</v>
      </c>
      <c r="Y9" s="55">
        <f ca="1">'表4-收入税金表'!Y46+'表4-收入税金表'!Y50</f>
        <v>45.40709441876448</v>
      </c>
      <c r="Z9" s="55">
        <f ca="1">'表4-收入税金表'!Z46+'表4-收入税金表'!Z50</f>
        <v>45.202762493880115</v>
      </c>
      <c r="AA9" s="55">
        <f ca="1">'表4-收入税金表'!AA46+'表4-收入税金表'!AA50</f>
        <v>44.999350062657605</v>
      </c>
      <c r="AB9" s="55">
        <f ca="1">'表4-收入税金表'!AB46+'表4-收入税金表'!AB50</f>
        <v>44.796852987375722</v>
      </c>
      <c r="AC9" s="55">
        <f ca="1">'表4-收入税金表'!AC46+'表4-收入税金表'!AC50</f>
        <v>44.595267148932479</v>
      </c>
      <c r="AD9" s="55">
        <f ca="1">'表4-收入税金表'!AD46+'表4-收入税金表'!AD50</f>
        <v>44.394588446762285</v>
      </c>
      <c r="AE9" s="55">
        <f ca="1">'表4-收入税金表'!AE46+'表4-收入税金表'!AE50</f>
        <v>44.194812798751926</v>
      </c>
      <c r="AF9" s="55">
        <f ca="1">'表4-收入税金表'!AF46+'表4-收入税金表'!AF50</f>
        <v>43.995936141157443</v>
      </c>
    </row>
    <row r="10" spans="2:32" s="96" customFormat="1">
      <c r="B10" s="86">
        <v>4</v>
      </c>
      <c r="C10" s="100" t="s">
        <v>264</v>
      </c>
      <c r="D10" s="101">
        <f t="shared" ca="1" si="2"/>
        <v>0</v>
      </c>
      <c r="E10" s="102" t="s">
        <v>111</v>
      </c>
      <c r="F10" s="55"/>
      <c r="G10" s="55"/>
      <c r="H10" s="55">
        <f ca="1">SUM(H11:H12)</f>
        <v>0</v>
      </c>
      <c r="I10" s="55">
        <f t="shared" ref="I10:AF10" ca="1" si="3">SUM(I11:I12)</f>
        <v>0</v>
      </c>
      <c r="J10" s="55">
        <f t="shared" ca="1" si="3"/>
        <v>0</v>
      </c>
      <c r="K10" s="55">
        <f t="shared" ca="1" si="3"/>
        <v>0</v>
      </c>
      <c r="L10" s="55">
        <f t="shared" ca="1" si="3"/>
        <v>0</v>
      </c>
      <c r="M10" s="55">
        <f t="shared" ca="1" si="3"/>
        <v>0</v>
      </c>
      <c r="N10" s="55">
        <f t="shared" ca="1" si="3"/>
        <v>0</v>
      </c>
      <c r="O10" s="55">
        <f t="shared" ca="1" si="3"/>
        <v>0</v>
      </c>
      <c r="P10" s="55">
        <f t="shared" ca="1" si="3"/>
        <v>0</v>
      </c>
      <c r="Q10" s="55">
        <f t="shared" ca="1" si="3"/>
        <v>0</v>
      </c>
      <c r="R10" s="55">
        <f t="shared" ca="1" si="3"/>
        <v>0</v>
      </c>
      <c r="S10" s="55">
        <f t="shared" ca="1" si="3"/>
        <v>0</v>
      </c>
      <c r="T10" s="55">
        <f t="shared" ca="1" si="3"/>
        <v>0</v>
      </c>
      <c r="U10" s="55">
        <f t="shared" ca="1" si="3"/>
        <v>0</v>
      </c>
      <c r="V10" s="55">
        <f t="shared" ca="1" si="3"/>
        <v>0</v>
      </c>
      <c r="W10" s="55">
        <f t="shared" ca="1" si="3"/>
        <v>0</v>
      </c>
      <c r="X10" s="55">
        <f t="shared" ca="1" si="3"/>
        <v>0</v>
      </c>
      <c r="Y10" s="55">
        <f t="shared" ca="1" si="3"/>
        <v>0</v>
      </c>
      <c r="Z10" s="55">
        <f t="shared" ca="1" si="3"/>
        <v>0</v>
      </c>
      <c r="AA10" s="55">
        <f t="shared" ca="1" si="3"/>
        <v>0</v>
      </c>
      <c r="AB10" s="55">
        <f t="shared" ca="1" si="3"/>
        <v>0</v>
      </c>
      <c r="AC10" s="55">
        <f t="shared" ca="1" si="3"/>
        <v>0</v>
      </c>
      <c r="AD10" s="55">
        <f t="shared" ca="1" si="3"/>
        <v>0</v>
      </c>
      <c r="AE10" s="55">
        <f t="shared" ca="1" si="3"/>
        <v>0</v>
      </c>
      <c r="AF10" s="55">
        <f t="shared" ca="1" si="3"/>
        <v>0</v>
      </c>
    </row>
    <row r="11" spans="2:32">
      <c r="B11" s="107">
        <v>4.0999999999999996</v>
      </c>
      <c r="C11" s="111" t="s">
        <v>458</v>
      </c>
      <c r="D11" s="105">
        <f t="shared" si="2"/>
        <v>0</v>
      </c>
      <c r="E11" s="106" t="s">
        <v>111</v>
      </c>
      <c r="F11" s="59"/>
      <c r="G11" s="59"/>
      <c r="H11" s="59">
        <f>参数输入表!H305</f>
        <v>0</v>
      </c>
      <c r="I11" s="59">
        <f>参数输入表!H306</f>
        <v>0</v>
      </c>
      <c r="J11" s="59">
        <f>参数输入表!H307</f>
        <v>0</v>
      </c>
      <c r="K11" s="59">
        <f>参数输入表!H308</f>
        <v>0</v>
      </c>
      <c r="L11" s="59">
        <f>参数输入表!H309</f>
        <v>0</v>
      </c>
      <c r="M11" s="59">
        <f>参数输入表!H310</f>
        <v>0</v>
      </c>
      <c r="N11" s="59">
        <f>参数输入表!H311</f>
        <v>0</v>
      </c>
      <c r="O11" s="59">
        <f>参数输入表!H312</f>
        <v>0</v>
      </c>
      <c r="P11" s="59">
        <f>参数输入表!H313</f>
        <v>0</v>
      </c>
      <c r="Q11" s="59">
        <f>参数输入表!H314</f>
        <v>0</v>
      </c>
      <c r="R11" s="59">
        <f>参数输入表!H315</f>
        <v>0</v>
      </c>
      <c r="S11" s="59">
        <f>参数输入表!H316</f>
        <v>0</v>
      </c>
      <c r="T11" s="59">
        <f>参数输入表!H317</f>
        <v>0</v>
      </c>
      <c r="U11" s="59">
        <f>参数输入表!H318</f>
        <v>0</v>
      </c>
      <c r="V11" s="59">
        <f>参数输入表!H319</f>
        <v>0</v>
      </c>
      <c r="W11" s="59">
        <f>参数输入表!H320</f>
        <v>0</v>
      </c>
      <c r="X11" s="59">
        <f>参数输入表!H321</f>
        <v>0</v>
      </c>
      <c r="Y11" s="59">
        <f>参数输入表!H322</f>
        <v>0</v>
      </c>
      <c r="Z11" s="59">
        <f>参数输入表!H323</f>
        <v>0</v>
      </c>
      <c r="AA11" s="59">
        <f>参数输入表!H324</f>
        <v>0</v>
      </c>
      <c r="AB11" s="59">
        <f>参数输入表!H325</f>
        <v>0</v>
      </c>
      <c r="AC11" s="59">
        <f>参数输入表!H326</f>
        <v>0</v>
      </c>
      <c r="AD11" s="59">
        <f>参数输入表!H327</f>
        <v>0</v>
      </c>
      <c r="AE11" s="59">
        <f>参数输入表!H328</f>
        <v>0</v>
      </c>
      <c r="AF11" s="59">
        <f>参数输入表!H329</f>
        <v>0</v>
      </c>
    </row>
    <row r="12" spans="2:32">
      <c r="B12" s="107">
        <v>4.2</v>
      </c>
      <c r="C12" s="111" t="s">
        <v>459</v>
      </c>
      <c r="D12" s="105">
        <f t="shared" ca="1" si="2"/>
        <v>0</v>
      </c>
      <c r="E12" s="106" t="s">
        <v>111</v>
      </c>
      <c r="F12" s="59"/>
      <c r="G12" s="59"/>
      <c r="H12" s="59">
        <f ca="1">'表4-收入税金表'!H19</f>
        <v>0</v>
      </c>
      <c r="I12" s="59">
        <f ca="1">'表4-收入税金表'!I19</f>
        <v>0</v>
      </c>
      <c r="J12" s="59">
        <f ca="1">'表4-收入税金表'!J19</f>
        <v>0</v>
      </c>
      <c r="K12" s="59">
        <f ca="1">'表4-收入税金表'!K19</f>
        <v>0</v>
      </c>
      <c r="L12" s="59">
        <f ca="1">'表4-收入税金表'!L19</f>
        <v>0</v>
      </c>
      <c r="M12" s="59">
        <f ca="1">'表4-收入税金表'!M19</f>
        <v>0</v>
      </c>
      <c r="N12" s="59">
        <f ca="1">'表4-收入税金表'!N19</f>
        <v>0</v>
      </c>
      <c r="O12" s="59">
        <f ca="1">'表4-收入税金表'!O19</f>
        <v>0</v>
      </c>
      <c r="P12" s="59">
        <f ca="1">'表4-收入税金表'!P19</f>
        <v>0</v>
      </c>
      <c r="Q12" s="59">
        <f ca="1">'表4-收入税金表'!Q19</f>
        <v>0</v>
      </c>
      <c r="R12" s="59">
        <f ca="1">'表4-收入税金表'!R19</f>
        <v>0</v>
      </c>
      <c r="S12" s="59">
        <f ca="1">'表4-收入税金表'!S19</f>
        <v>0</v>
      </c>
      <c r="T12" s="59">
        <f ca="1">'表4-收入税金表'!T19</f>
        <v>0</v>
      </c>
      <c r="U12" s="59">
        <f ca="1">'表4-收入税金表'!U19</f>
        <v>0</v>
      </c>
      <c r="V12" s="59">
        <f ca="1">'表4-收入税金表'!V19</f>
        <v>0</v>
      </c>
      <c r="W12" s="59">
        <f ca="1">'表4-收入税金表'!W19</f>
        <v>0</v>
      </c>
      <c r="X12" s="59">
        <f ca="1">'表4-收入税金表'!X19</f>
        <v>0</v>
      </c>
      <c r="Y12" s="59">
        <f ca="1">'表4-收入税金表'!Y19</f>
        <v>0</v>
      </c>
      <c r="Z12" s="59">
        <f ca="1">'表4-收入税金表'!Z19</f>
        <v>0</v>
      </c>
      <c r="AA12" s="59">
        <f ca="1">'表4-收入税金表'!AA19</f>
        <v>0</v>
      </c>
      <c r="AB12" s="59">
        <f ca="1">'表4-收入税金表'!AB19</f>
        <v>0</v>
      </c>
      <c r="AC12" s="59">
        <f ca="1">'表4-收入税金表'!AC19</f>
        <v>0</v>
      </c>
      <c r="AD12" s="59">
        <f ca="1">'表4-收入税金表'!AD19</f>
        <v>0</v>
      </c>
      <c r="AE12" s="59">
        <f ca="1">'表4-收入税金表'!AE19</f>
        <v>0</v>
      </c>
      <c r="AF12" s="59">
        <f ca="1">'表4-收入税金表'!AF19</f>
        <v>0</v>
      </c>
    </row>
    <row r="13" spans="2:32">
      <c r="B13" s="86">
        <v>5</v>
      </c>
      <c r="C13" s="109" t="s">
        <v>246</v>
      </c>
      <c r="D13" s="101">
        <f t="shared" si="2"/>
        <v>0</v>
      </c>
      <c r="E13" s="106" t="s">
        <v>111</v>
      </c>
      <c r="F13" s="59"/>
      <c r="G13" s="59"/>
      <c r="H13" s="55">
        <f>'表3-成本费用表'!H24</f>
        <v>0</v>
      </c>
      <c r="I13" s="55">
        <f>'表3-成本费用表'!I24</f>
        <v>0</v>
      </c>
      <c r="J13" s="55">
        <f>'表3-成本费用表'!J24</f>
        <v>0</v>
      </c>
      <c r="K13" s="55">
        <f>'表3-成本费用表'!K24</f>
        <v>0</v>
      </c>
      <c r="L13" s="55">
        <f>'表3-成本费用表'!L24</f>
        <v>0</v>
      </c>
      <c r="M13" s="55">
        <f>'表3-成本费用表'!M24</f>
        <v>0</v>
      </c>
      <c r="N13" s="55">
        <f>'表3-成本费用表'!N24</f>
        <v>0</v>
      </c>
      <c r="O13" s="55">
        <f>'表3-成本费用表'!O24</f>
        <v>0</v>
      </c>
      <c r="P13" s="55">
        <f>'表3-成本费用表'!P24</f>
        <v>0</v>
      </c>
      <c r="Q13" s="55">
        <f>'表3-成本费用表'!Q24</f>
        <v>0</v>
      </c>
      <c r="R13" s="55">
        <f>'表3-成本费用表'!R24</f>
        <v>0</v>
      </c>
      <c r="S13" s="55">
        <f>'表3-成本费用表'!S24</f>
        <v>0</v>
      </c>
      <c r="T13" s="55">
        <f>'表3-成本费用表'!T24</f>
        <v>0</v>
      </c>
      <c r="U13" s="55">
        <f>'表3-成本费用表'!U24</f>
        <v>0</v>
      </c>
      <c r="V13" s="55">
        <f>'表3-成本费用表'!V24</f>
        <v>0</v>
      </c>
      <c r="W13" s="55">
        <f>'表3-成本费用表'!W24</f>
        <v>0</v>
      </c>
      <c r="X13" s="55">
        <f>'表3-成本费用表'!X24</f>
        <v>0</v>
      </c>
      <c r="Y13" s="55">
        <f>'表3-成本费用表'!Y24</f>
        <v>0</v>
      </c>
      <c r="Z13" s="55">
        <f>'表3-成本费用表'!Z24</f>
        <v>0</v>
      </c>
      <c r="AA13" s="55">
        <f>'表3-成本费用表'!AA24</f>
        <v>0</v>
      </c>
      <c r="AB13" s="55">
        <f>'表3-成本费用表'!AB24</f>
        <v>0</v>
      </c>
      <c r="AC13" s="55">
        <f>'表3-成本费用表'!AC24</f>
        <v>0</v>
      </c>
      <c r="AD13" s="55">
        <f>'表3-成本费用表'!AD24</f>
        <v>0</v>
      </c>
      <c r="AE13" s="55">
        <f>'表3-成本费用表'!AE24</f>
        <v>0</v>
      </c>
      <c r="AF13" s="55">
        <f>'表3-成本费用表'!AF24</f>
        <v>0</v>
      </c>
    </row>
    <row r="14" spans="2:32" s="96" customFormat="1">
      <c r="B14" s="86">
        <v>6</v>
      </c>
      <c r="C14" s="109" t="s">
        <v>460</v>
      </c>
      <c r="D14" s="101">
        <f t="shared" ca="1" si="2"/>
        <v>32448.339082578248</v>
      </c>
      <c r="E14" s="102" t="s">
        <v>111</v>
      </c>
      <c r="F14" s="55"/>
      <c r="G14" s="55"/>
      <c r="H14" s="55">
        <f ca="1">H5+H10-H8-H9-H13</f>
        <v>1262.6780237740218</v>
      </c>
      <c r="I14" s="55">
        <f t="shared" ref="I14:AF14" ca="1" si="4">I5+I10-I8-I9-I13</f>
        <v>1249.2008050837617</v>
      </c>
      <c r="J14" s="55">
        <f t="shared" ca="1" si="4"/>
        <v>1235.7842338776018</v>
      </c>
      <c r="K14" s="55">
        <f t="shared" ca="1" si="4"/>
        <v>1222.4280372418716</v>
      </c>
      <c r="L14" s="55">
        <f t="shared" ca="1" si="4"/>
        <v>1209.1319434910015</v>
      </c>
      <c r="M14" s="55">
        <f t="shared" ca="1" si="4"/>
        <v>1289.0679272813131</v>
      </c>
      <c r="N14" s="55">
        <f t="shared" ca="1" si="4"/>
        <v>1256.6084706552017</v>
      </c>
      <c r="O14" s="55">
        <f t="shared" ca="1" si="4"/>
        <v>1213.9749702589193</v>
      </c>
      <c r="P14" s="55">
        <f t="shared" ca="1" si="4"/>
        <v>1200.4862549288914</v>
      </c>
      <c r="Q14" s="55">
        <f t="shared" ca="1" si="4"/>
        <v>1187.0582388178541</v>
      </c>
      <c r="R14" s="55">
        <f t="shared" ca="1" si="4"/>
        <v>1088.7053528009121</v>
      </c>
      <c r="S14" s="55">
        <f t="shared" ca="1" si="4"/>
        <v>1068.771368244976</v>
      </c>
      <c r="T14" s="55">
        <f t="shared" ca="1" si="4"/>
        <v>1055.5238158230923</v>
      </c>
      <c r="U14" s="55">
        <f t="shared" ca="1" si="4"/>
        <v>1042.3358773871028</v>
      </c>
      <c r="V14" s="55">
        <f t="shared" ca="1" si="4"/>
        <v>1029.2072846740689</v>
      </c>
      <c r="W14" s="55">
        <f t="shared" ca="1" si="4"/>
        <v>964.8799082781627</v>
      </c>
      <c r="X14" s="55">
        <f t="shared" ca="1" si="4"/>
        <v>951.86920704554564</v>
      </c>
      <c r="Y14" s="55">
        <f t="shared" ca="1" si="4"/>
        <v>938.91705396847715</v>
      </c>
      <c r="Z14" s="55">
        <f t="shared" ca="1" si="4"/>
        <v>926.02318558026172</v>
      </c>
      <c r="AA14" s="55">
        <f t="shared" ca="1" si="4"/>
        <v>913.18733959978431</v>
      </c>
      <c r="AB14" s="55">
        <f t="shared" ca="1" si="4"/>
        <v>2053.8268954484952</v>
      </c>
      <c r="AC14" s="55">
        <f t="shared" ca="1" si="4"/>
        <v>2041.106312155958</v>
      </c>
      <c r="AD14" s="55">
        <f t="shared" ca="1" si="4"/>
        <v>2028.4429714882478</v>
      </c>
      <c r="AE14" s="55">
        <f t="shared" ca="1" si="4"/>
        <v>2015.8366158535389</v>
      </c>
      <c r="AF14" s="55">
        <f t="shared" ca="1" si="4"/>
        <v>2003.2869888191829</v>
      </c>
    </row>
    <row r="15" spans="2:32">
      <c r="B15" s="86">
        <v>7</v>
      </c>
      <c r="C15" s="112" t="s">
        <v>461</v>
      </c>
      <c r="D15" s="101">
        <f t="shared" ca="1" si="2"/>
        <v>0</v>
      </c>
      <c r="E15" s="106" t="s">
        <v>111</v>
      </c>
      <c r="F15" s="59"/>
      <c r="G15" s="59"/>
      <c r="H15" s="55">
        <f>SUM(H16:H20)</f>
        <v>0</v>
      </c>
      <c r="I15" s="55">
        <f t="shared" ref="I15:AF15" ca="1" si="5">SUM(I16:I20)</f>
        <v>0</v>
      </c>
      <c r="J15" s="55">
        <f t="shared" ca="1" si="5"/>
        <v>0</v>
      </c>
      <c r="K15" s="55">
        <f t="shared" ca="1" si="5"/>
        <v>0</v>
      </c>
      <c r="L15" s="55">
        <f t="shared" ca="1" si="5"/>
        <v>0</v>
      </c>
      <c r="M15" s="55">
        <f t="shared" ca="1" si="5"/>
        <v>0</v>
      </c>
      <c r="N15" s="55">
        <f t="shared" ca="1" si="5"/>
        <v>0</v>
      </c>
      <c r="O15" s="55">
        <f t="shared" ca="1" si="5"/>
        <v>0</v>
      </c>
      <c r="P15" s="55">
        <f t="shared" ca="1" si="5"/>
        <v>0</v>
      </c>
      <c r="Q15" s="55">
        <f t="shared" ca="1" si="5"/>
        <v>0</v>
      </c>
      <c r="R15" s="55">
        <f t="shared" ca="1" si="5"/>
        <v>0</v>
      </c>
      <c r="S15" s="55">
        <f t="shared" ca="1" si="5"/>
        <v>0</v>
      </c>
      <c r="T15" s="55">
        <f t="shared" ca="1" si="5"/>
        <v>0</v>
      </c>
      <c r="U15" s="55">
        <f t="shared" ca="1" si="5"/>
        <v>0</v>
      </c>
      <c r="V15" s="55">
        <f t="shared" ca="1" si="5"/>
        <v>0</v>
      </c>
      <c r="W15" s="55">
        <f t="shared" ca="1" si="5"/>
        <v>0</v>
      </c>
      <c r="X15" s="55">
        <f t="shared" ca="1" si="5"/>
        <v>0</v>
      </c>
      <c r="Y15" s="55">
        <f t="shared" ca="1" si="5"/>
        <v>0</v>
      </c>
      <c r="Z15" s="55">
        <f t="shared" ca="1" si="5"/>
        <v>0</v>
      </c>
      <c r="AA15" s="55">
        <f t="shared" ca="1" si="5"/>
        <v>0</v>
      </c>
      <c r="AB15" s="55">
        <f t="shared" ca="1" si="5"/>
        <v>0</v>
      </c>
      <c r="AC15" s="55">
        <f t="shared" ca="1" si="5"/>
        <v>0</v>
      </c>
      <c r="AD15" s="55">
        <f t="shared" ca="1" si="5"/>
        <v>0</v>
      </c>
      <c r="AE15" s="55">
        <f t="shared" ca="1" si="5"/>
        <v>0</v>
      </c>
      <c r="AF15" s="55">
        <f t="shared" ca="1" si="5"/>
        <v>0</v>
      </c>
    </row>
    <row r="16" spans="2:32">
      <c r="B16" s="56"/>
      <c r="C16" s="113" t="s">
        <v>462</v>
      </c>
      <c r="D16" s="114"/>
      <c r="E16" s="106" t="s">
        <v>111</v>
      </c>
      <c r="F16" s="59"/>
      <c r="G16" s="59"/>
      <c r="H16" s="59"/>
      <c r="I16" s="115">
        <f ca="1">IF(H14&gt;0,0,IF(I14&lt;0,0,MIN(I14-SUM(I17:I20),-H14)))</f>
        <v>0</v>
      </c>
      <c r="J16" s="115">
        <f t="shared" ref="J16:AF16" ca="1" si="6">IF(I14&gt;0,0,IF(J14&lt;0,0,MIN(J14-SUM(J17:J20),-I14)))</f>
        <v>0</v>
      </c>
      <c r="K16" s="115">
        <f t="shared" ca="1" si="6"/>
        <v>0</v>
      </c>
      <c r="L16" s="115">
        <f t="shared" ca="1" si="6"/>
        <v>0</v>
      </c>
      <c r="M16" s="115">
        <f t="shared" ca="1" si="6"/>
        <v>0</v>
      </c>
      <c r="N16" s="115">
        <f t="shared" ca="1" si="6"/>
        <v>0</v>
      </c>
      <c r="O16" s="115">
        <f t="shared" ca="1" si="6"/>
        <v>0</v>
      </c>
      <c r="P16" s="115">
        <f t="shared" ca="1" si="6"/>
        <v>0</v>
      </c>
      <c r="Q16" s="115">
        <f t="shared" ca="1" si="6"/>
        <v>0</v>
      </c>
      <c r="R16" s="115">
        <f t="shared" ca="1" si="6"/>
        <v>0</v>
      </c>
      <c r="S16" s="115">
        <f t="shared" ca="1" si="6"/>
        <v>0</v>
      </c>
      <c r="T16" s="115">
        <f t="shared" ca="1" si="6"/>
        <v>0</v>
      </c>
      <c r="U16" s="115">
        <f t="shared" ca="1" si="6"/>
        <v>0</v>
      </c>
      <c r="V16" s="115">
        <f t="shared" ca="1" si="6"/>
        <v>0</v>
      </c>
      <c r="W16" s="115">
        <f t="shared" ca="1" si="6"/>
        <v>0</v>
      </c>
      <c r="X16" s="115">
        <f t="shared" ca="1" si="6"/>
        <v>0</v>
      </c>
      <c r="Y16" s="115">
        <f t="shared" ca="1" si="6"/>
        <v>0</v>
      </c>
      <c r="Z16" s="115">
        <f t="shared" ca="1" si="6"/>
        <v>0</v>
      </c>
      <c r="AA16" s="115">
        <f t="shared" ca="1" si="6"/>
        <v>0</v>
      </c>
      <c r="AB16" s="115">
        <f t="shared" ca="1" si="6"/>
        <v>0</v>
      </c>
      <c r="AC16" s="115">
        <f t="shared" ca="1" si="6"/>
        <v>0</v>
      </c>
      <c r="AD16" s="115">
        <f t="shared" ca="1" si="6"/>
        <v>0</v>
      </c>
      <c r="AE16" s="115">
        <f t="shared" ca="1" si="6"/>
        <v>0</v>
      </c>
      <c r="AF16" s="115">
        <f t="shared" ca="1" si="6"/>
        <v>0</v>
      </c>
    </row>
    <row r="17" spans="2:32">
      <c r="B17" s="56"/>
      <c r="C17" s="113" t="s">
        <v>463</v>
      </c>
      <c r="D17" s="114"/>
      <c r="E17" s="106" t="s">
        <v>111</v>
      </c>
      <c r="F17" s="59"/>
      <c r="G17" s="59"/>
      <c r="H17" s="59"/>
      <c r="I17" s="59"/>
      <c r="J17" s="115">
        <f ca="1">IF(H14&gt;0,0,IF(J14&lt;0,0,MIN(J14-SUM(J18:J20),-H14-I16)))</f>
        <v>0</v>
      </c>
      <c r="K17" s="115">
        <f t="shared" ref="K17:AF17" ca="1" si="7">IF(I14&gt;0,0,IF(K14&lt;0,0,MIN(K14-SUM(K18:K20),-I14-J16)))</f>
        <v>0</v>
      </c>
      <c r="L17" s="115">
        <f t="shared" ca="1" si="7"/>
        <v>0</v>
      </c>
      <c r="M17" s="115">
        <f t="shared" ca="1" si="7"/>
        <v>0</v>
      </c>
      <c r="N17" s="115">
        <f t="shared" ca="1" si="7"/>
        <v>0</v>
      </c>
      <c r="O17" s="115">
        <f t="shared" ca="1" si="7"/>
        <v>0</v>
      </c>
      <c r="P17" s="115">
        <f t="shared" ca="1" si="7"/>
        <v>0</v>
      </c>
      <c r="Q17" s="115">
        <f t="shared" ca="1" si="7"/>
        <v>0</v>
      </c>
      <c r="R17" s="115">
        <f t="shared" ca="1" si="7"/>
        <v>0</v>
      </c>
      <c r="S17" s="115">
        <f t="shared" ca="1" si="7"/>
        <v>0</v>
      </c>
      <c r="T17" s="115">
        <f t="shared" ca="1" si="7"/>
        <v>0</v>
      </c>
      <c r="U17" s="115">
        <f t="shared" ca="1" si="7"/>
        <v>0</v>
      </c>
      <c r="V17" s="115">
        <f t="shared" ca="1" si="7"/>
        <v>0</v>
      </c>
      <c r="W17" s="115">
        <f t="shared" ca="1" si="7"/>
        <v>0</v>
      </c>
      <c r="X17" s="115">
        <f t="shared" ca="1" si="7"/>
        <v>0</v>
      </c>
      <c r="Y17" s="115">
        <f t="shared" ca="1" si="7"/>
        <v>0</v>
      </c>
      <c r="Z17" s="115">
        <f t="shared" ca="1" si="7"/>
        <v>0</v>
      </c>
      <c r="AA17" s="115">
        <f t="shared" ca="1" si="7"/>
        <v>0</v>
      </c>
      <c r="AB17" s="115">
        <f t="shared" ca="1" si="7"/>
        <v>0</v>
      </c>
      <c r="AC17" s="115">
        <f t="shared" ca="1" si="7"/>
        <v>0</v>
      </c>
      <c r="AD17" s="115">
        <f t="shared" ca="1" si="7"/>
        <v>0</v>
      </c>
      <c r="AE17" s="115">
        <f t="shared" ca="1" si="7"/>
        <v>0</v>
      </c>
      <c r="AF17" s="115">
        <f t="shared" ca="1" si="7"/>
        <v>0</v>
      </c>
    </row>
    <row r="18" spans="2:32">
      <c r="B18" s="56"/>
      <c r="C18" s="113" t="s">
        <v>464</v>
      </c>
      <c r="D18" s="114"/>
      <c r="E18" s="106" t="s">
        <v>111</v>
      </c>
      <c r="F18" s="59"/>
      <c r="G18" s="59"/>
      <c r="H18" s="59"/>
      <c r="I18" s="59"/>
      <c r="J18" s="59"/>
      <c r="K18" s="115">
        <f ca="1">IF(H14&gt;0,0,IF(K14&lt;0,0,MIN(K14-SUM(K19:K20),-H14-I16-J17)))</f>
        <v>0</v>
      </c>
      <c r="L18" s="115">
        <f t="shared" ref="L18:AF18" ca="1" si="8">IF(I14&gt;0,0,IF(L14&lt;0,0,MIN(L14-SUM(L19:L20),-I14-J16-K17)))</f>
        <v>0</v>
      </c>
      <c r="M18" s="115">
        <f t="shared" ca="1" si="8"/>
        <v>0</v>
      </c>
      <c r="N18" s="115">
        <f t="shared" ca="1" si="8"/>
        <v>0</v>
      </c>
      <c r="O18" s="115">
        <f t="shared" ca="1" si="8"/>
        <v>0</v>
      </c>
      <c r="P18" s="115">
        <f t="shared" ca="1" si="8"/>
        <v>0</v>
      </c>
      <c r="Q18" s="115">
        <f t="shared" ca="1" si="8"/>
        <v>0</v>
      </c>
      <c r="R18" s="115">
        <f t="shared" ca="1" si="8"/>
        <v>0</v>
      </c>
      <c r="S18" s="115">
        <f t="shared" ca="1" si="8"/>
        <v>0</v>
      </c>
      <c r="T18" s="115">
        <f t="shared" ca="1" si="8"/>
        <v>0</v>
      </c>
      <c r="U18" s="115">
        <f t="shared" ca="1" si="8"/>
        <v>0</v>
      </c>
      <c r="V18" s="115">
        <f t="shared" ca="1" si="8"/>
        <v>0</v>
      </c>
      <c r="W18" s="115">
        <f t="shared" ca="1" si="8"/>
        <v>0</v>
      </c>
      <c r="X18" s="115">
        <f t="shared" ca="1" si="8"/>
        <v>0</v>
      </c>
      <c r="Y18" s="115">
        <f t="shared" ca="1" si="8"/>
        <v>0</v>
      </c>
      <c r="Z18" s="115">
        <f t="shared" ca="1" si="8"/>
        <v>0</v>
      </c>
      <c r="AA18" s="115">
        <f t="shared" ca="1" si="8"/>
        <v>0</v>
      </c>
      <c r="AB18" s="115">
        <f t="shared" ca="1" si="8"/>
        <v>0</v>
      </c>
      <c r="AC18" s="115">
        <f t="shared" ca="1" si="8"/>
        <v>0</v>
      </c>
      <c r="AD18" s="115">
        <f t="shared" ca="1" si="8"/>
        <v>0</v>
      </c>
      <c r="AE18" s="115">
        <f t="shared" ca="1" si="8"/>
        <v>0</v>
      </c>
      <c r="AF18" s="115">
        <f t="shared" ca="1" si="8"/>
        <v>0</v>
      </c>
    </row>
    <row r="19" spans="2:32">
      <c r="B19" s="56"/>
      <c r="C19" s="113" t="s">
        <v>465</v>
      </c>
      <c r="D19" s="114"/>
      <c r="E19" s="106" t="s">
        <v>111</v>
      </c>
      <c r="F19" s="59"/>
      <c r="G19" s="59"/>
      <c r="H19" s="59"/>
      <c r="I19" s="59"/>
      <c r="J19" s="59"/>
      <c r="K19" s="59"/>
      <c r="L19" s="115">
        <f ca="1">IF(H14&gt;0,0,IF(L14&lt;0,0,MIN(L14-L20,-H14-I16-J17-K18)))</f>
        <v>0</v>
      </c>
      <c r="M19" s="115">
        <f t="shared" ref="M19:AF19" ca="1" si="9">IF(I14&gt;0,0,IF(M14&lt;0,0,MIN(M14-M20,-I14-J16-K17-L18)))</f>
        <v>0</v>
      </c>
      <c r="N19" s="115">
        <f t="shared" ca="1" si="9"/>
        <v>0</v>
      </c>
      <c r="O19" s="115">
        <f t="shared" ca="1" si="9"/>
        <v>0</v>
      </c>
      <c r="P19" s="115">
        <f t="shared" ca="1" si="9"/>
        <v>0</v>
      </c>
      <c r="Q19" s="115">
        <f t="shared" ca="1" si="9"/>
        <v>0</v>
      </c>
      <c r="R19" s="115">
        <f t="shared" ca="1" si="9"/>
        <v>0</v>
      </c>
      <c r="S19" s="115">
        <f t="shared" ca="1" si="9"/>
        <v>0</v>
      </c>
      <c r="T19" s="115">
        <f t="shared" ca="1" si="9"/>
        <v>0</v>
      </c>
      <c r="U19" s="115">
        <f t="shared" ca="1" si="9"/>
        <v>0</v>
      </c>
      <c r="V19" s="115">
        <f t="shared" ca="1" si="9"/>
        <v>0</v>
      </c>
      <c r="W19" s="115">
        <f t="shared" ca="1" si="9"/>
        <v>0</v>
      </c>
      <c r="X19" s="115">
        <f t="shared" ca="1" si="9"/>
        <v>0</v>
      </c>
      <c r="Y19" s="115">
        <f t="shared" ca="1" si="9"/>
        <v>0</v>
      </c>
      <c r="Z19" s="115">
        <f t="shared" ca="1" si="9"/>
        <v>0</v>
      </c>
      <c r="AA19" s="115">
        <f t="shared" ca="1" si="9"/>
        <v>0</v>
      </c>
      <c r="AB19" s="115">
        <f t="shared" ca="1" si="9"/>
        <v>0</v>
      </c>
      <c r="AC19" s="115">
        <f t="shared" ca="1" si="9"/>
        <v>0</v>
      </c>
      <c r="AD19" s="115">
        <f t="shared" ca="1" si="9"/>
        <v>0</v>
      </c>
      <c r="AE19" s="115">
        <f t="shared" ca="1" si="9"/>
        <v>0</v>
      </c>
      <c r="AF19" s="115">
        <f t="shared" ca="1" si="9"/>
        <v>0</v>
      </c>
    </row>
    <row r="20" spans="2:32">
      <c r="B20" s="56"/>
      <c r="C20" s="113" t="s">
        <v>466</v>
      </c>
      <c r="D20" s="114"/>
      <c r="E20" s="106" t="s">
        <v>111</v>
      </c>
      <c r="F20" s="59"/>
      <c r="G20" s="59"/>
      <c r="H20" s="59"/>
      <c r="I20" s="59"/>
      <c r="J20" s="59"/>
      <c r="K20" s="59"/>
      <c r="L20" s="59"/>
      <c r="M20" s="115">
        <f ca="1">IF(H14&gt;0,0,IF(M14&lt;0,0,MIN(M14,-H14-I16-J17-K18-L19)))</f>
        <v>0</v>
      </c>
      <c r="N20" s="115">
        <f t="shared" ref="N20:AF20" ca="1" si="10">IF(I14&gt;0,0,IF(N14&lt;0,0,MIN(N14,-I14-J16-K17-L18-M19)))</f>
        <v>0</v>
      </c>
      <c r="O20" s="115">
        <f t="shared" ca="1" si="10"/>
        <v>0</v>
      </c>
      <c r="P20" s="115">
        <f t="shared" ca="1" si="10"/>
        <v>0</v>
      </c>
      <c r="Q20" s="115">
        <f t="shared" ca="1" si="10"/>
        <v>0</v>
      </c>
      <c r="R20" s="115">
        <f t="shared" ca="1" si="10"/>
        <v>0</v>
      </c>
      <c r="S20" s="115">
        <f t="shared" ca="1" si="10"/>
        <v>0</v>
      </c>
      <c r="T20" s="115">
        <f t="shared" ca="1" si="10"/>
        <v>0</v>
      </c>
      <c r="U20" s="115">
        <f t="shared" ca="1" si="10"/>
        <v>0</v>
      </c>
      <c r="V20" s="115">
        <f t="shared" ca="1" si="10"/>
        <v>0</v>
      </c>
      <c r="W20" s="115">
        <f t="shared" ca="1" si="10"/>
        <v>0</v>
      </c>
      <c r="X20" s="115">
        <f t="shared" ca="1" si="10"/>
        <v>0</v>
      </c>
      <c r="Y20" s="115">
        <f t="shared" ca="1" si="10"/>
        <v>0</v>
      </c>
      <c r="Z20" s="115">
        <f t="shared" ca="1" si="10"/>
        <v>0</v>
      </c>
      <c r="AA20" s="115">
        <f t="shared" ca="1" si="10"/>
        <v>0</v>
      </c>
      <c r="AB20" s="115">
        <f t="shared" ca="1" si="10"/>
        <v>0</v>
      </c>
      <c r="AC20" s="115">
        <f t="shared" ca="1" si="10"/>
        <v>0</v>
      </c>
      <c r="AD20" s="115">
        <f t="shared" ca="1" si="10"/>
        <v>0</v>
      </c>
      <c r="AE20" s="115">
        <f t="shared" ca="1" si="10"/>
        <v>0</v>
      </c>
      <c r="AF20" s="115">
        <f t="shared" ca="1" si="10"/>
        <v>0</v>
      </c>
    </row>
    <row r="21" spans="2:32" s="96" customFormat="1">
      <c r="B21" s="86">
        <v>8</v>
      </c>
      <c r="C21" s="112" t="s">
        <v>467</v>
      </c>
      <c r="D21" s="101">
        <f t="shared" ca="1" si="2"/>
        <v>32448.339082578248</v>
      </c>
      <c r="E21" s="102" t="s">
        <v>111</v>
      </c>
      <c r="F21" s="55"/>
      <c r="G21" s="55"/>
      <c r="H21" s="55">
        <f t="shared" ref="H21:AF21" ca="1" si="11">IF(H14-H15&gt;0,H14-H15,0)</f>
        <v>1262.6780237740218</v>
      </c>
      <c r="I21" s="55">
        <f t="shared" ca="1" si="11"/>
        <v>1249.2008050837617</v>
      </c>
      <c r="J21" s="55">
        <f t="shared" ca="1" si="11"/>
        <v>1235.7842338776018</v>
      </c>
      <c r="K21" s="55">
        <f t="shared" ca="1" si="11"/>
        <v>1222.4280372418716</v>
      </c>
      <c r="L21" s="55">
        <f t="shared" ca="1" si="11"/>
        <v>1209.1319434910015</v>
      </c>
      <c r="M21" s="55">
        <f t="shared" ca="1" si="11"/>
        <v>1289.0679272813131</v>
      </c>
      <c r="N21" s="55">
        <f t="shared" ca="1" si="11"/>
        <v>1256.6084706552017</v>
      </c>
      <c r="O21" s="55">
        <f t="shared" ca="1" si="11"/>
        <v>1213.9749702589193</v>
      </c>
      <c r="P21" s="55">
        <f t="shared" ca="1" si="11"/>
        <v>1200.4862549288914</v>
      </c>
      <c r="Q21" s="55">
        <f t="shared" ca="1" si="11"/>
        <v>1187.0582388178541</v>
      </c>
      <c r="R21" s="55">
        <f t="shared" ca="1" si="11"/>
        <v>1088.7053528009121</v>
      </c>
      <c r="S21" s="55">
        <f t="shared" ca="1" si="11"/>
        <v>1068.771368244976</v>
      </c>
      <c r="T21" s="55">
        <f t="shared" ca="1" si="11"/>
        <v>1055.5238158230923</v>
      </c>
      <c r="U21" s="55">
        <f t="shared" ca="1" si="11"/>
        <v>1042.3358773871028</v>
      </c>
      <c r="V21" s="55">
        <f t="shared" ca="1" si="11"/>
        <v>1029.2072846740689</v>
      </c>
      <c r="W21" s="55">
        <f t="shared" ca="1" si="11"/>
        <v>964.8799082781627</v>
      </c>
      <c r="X21" s="55">
        <f t="shared" ca="1" si="11"/>
        <v>951.86920704554564</v>
      </c>
      <c r="Y21" s="55">
        <f t="shared" ca="1" si="11"/>
        <v>938.91705396847715</v>
      </c>
      <c r="Z21" s="55">
        <f t="shared" ca="1" si="11"/>
        <v>926.02318558026172</v>
      </c>
      <c r="AA21" s="55">
        <f t="shared" ca="1" si="11"/>
        <v>913.18733959978431</v>
      </c>
      <c r="AB21" s="55">
        <f t="shared" ca="1" si="11"/>
        <v>2053.8268954484952</v>
      </c>
      <c r="AC21" s="55">
        <f t="shared" ca="1" si="11"/>
        <v>2041.106312155958</v>
      </c>
      <c r="AD21" s="55">
        <f t="shared" ca="1" si="11"/>
        <v>2028.4429714882478</v>
      </c>
      <c r="AE21" s="55">
        <f t="shared" ca="1" si="11"/>
        <v>2015.8366158535389</v>
      </c>
      <c r="AF21" s="55">
        <f t="shared" ca="1" si="11"/>
        <v>2003.2869888191829</v>
      </c>
    </row>
    <row r="22" spans="2:32" s="97" customFormat="1">
      <c r="B22" s="86">
        <v>9</v>
      </c>
      <c r="C22" s="112" t="s">
        <v>517</v>
      </c>
      <c r="D22" s="101">
        <f t="shared" ca="1" si="2"/>
        <v>6710.0905164589403</v>
      </c>
      <c r="E22" s="116" t="s">
        <v>111</v>
      </c>
      <c r="F22" s="117"/>
      <c r="G22" s="117"/>
      <c r="H22" s="117">
        <f>IF(参数输入表!$H$333="三免三减半",0,H21*参数输入表!$H$334)</f>
        <v>0</v>
      </c>
      <c r="I22" s="117">
        <f>IF(参数输入表!$H$333="三免三减半",0,I21*参数输入表!$H$334)</f>
        <v>0</v>
      </c>
      <c r="J22" s="117">
        <f>IF(参数输入表!$H$333="三免三减半",0,J21*参数输入表!$H$334)</f>
        <v>0</v>
      </c>
      <c r="K22" s="117">
        <f ca="1">IF(参数输入表!$H$333="三免三减半",K21*参数输入表!$H$334/2,K21*参数输入表!$H$334)</f>
        <v>152.80350465523395</v>
      </c>
      <c r="L22" s="117">
        <f ca="1">IF(参数输入表!$H$333="三免三减半",L21*参数输入表!$H$334/2,L21*参数输入表!$H$334)</f>
        <v>151.14149293637519</v>
      </c>
      <c r="M22" s="117">
        <f ca="1">IF(参数输入表!$H$333="三免三减半",M21*参数输入表!$H$334/2,M21*参数输入表!$H$334)</f>
        <v>161.13349091016414</v>
      </c>
      <c r="N22" s="117">
        <f ca="1">N21*参数输入表!$H$334</f>
        <v>314.15211766380042</v>
      </c>
      <c r="O22" s="117">
        <f ca="1">O21*参数输入表!$H$334</f>
        <v>303.49374256472981</v>
      </c>
      <c r="P22" s="117">
        <f ca="1">P21*参数输入表!$H$334</f>
        <v>300.12156373222285</v>
      </c>
      <c r="Q22" s="117">
        <f ca="1">Q21*参数输入表!$H$334</f>
        <v>296.76455970446352</v>
      </c>
      <c r="R22" s="117">
        <f ca="1">R21*参数输入表!$H$334</f>
        <v>272.17633820022803</v>
      </c>
      <c r="S22" s="117">
        <f ca="1">S21*参数输入表!$H$334</f>
        <v>267.19284206124399</v>
      </c>
      <c r="T22" s="117">
        <f ca="1">T21*参数输入表!$H$334</f>
        <v>263.88095395577307</v>
      </c>
      <c r="U22" s="117">
        <f ca="1">U21*参数输入表!$H$334</f>
        <v>260.58396934677569</v>
      </c>
      <c r="V22" s="117">
        <f ca="1">V21*参数输入表!$H$334</f>
        <v>257.30182116851722</v>
      </c>
      <c r="W22" s="117">
        <f ca="1">W21*参数输入表!$H$334</f>
        <v>241.21997706954068</v>
      </c>
      <c r="X22" s="117">
        <f ca="1">X21*参数输入表!$H$334</f>
        <v>237.96730176138641</v>
      </c>
      <c r="Y22" s="117">
        <f ca="1">Y21*参数输入表!$H$334</f>
        <v>234.72926349211929</v>
      </c>
      <c r="Z22" s="117">
        <f ca="1">Z21*参数输入表!$H$334</f>
        <v>231.50579639506543</v>
      </c>
      <c r="AA22" s="117">
        <f ca="1">AA21*参数输入表!$H$334</f>
        <v>228.29683489994608</v>
      </c>
      <c r="AB22" s="117">
        <f ca="1">AB21*参数输入表!$H$334</f>
        <v>513.45672386212379</v>
      </c>
      <c r="AC22" s="117">
        <f ca="1">AC21*参数输入表!$H$334</f>
        <v>510.2765780389895</v>
      </c>
      <c r="AD22" s="117">
        <f ca="1">AD21*参数输入表!$H$334</f>
        <v>507.11074287206196</v>
      </c>
      <c r="AE22" s="117">
        <f ca="1">AE21*参数输入表!$H$334</f>
        <v>503.95915396338472</v>
      </c>
      <c r="AF22" s="117">
        <f ca="1">AF21*参数输入表!$H$334</f>
        <v>500.82174720479571</v>
      </c>
    </row>
    <row r="23" spans="2:32" s="96" customFormat="1">
      <c r="B23" s="86">
        <v>10</v>
      </c>
      <c r="C23" s="112" t="s">
        <v>469</v>
      </c>
      <c r="D23" s="118">
        <f t="shared" ca="1" si="2"/>
        <v>25738.248566119302</v>
      </c>
      <c r="E23" s="102" t="s">
        <v>111</v>
      </c>
      <c r="F23" s="55"/>
      <c r="G23" s="55"/>
      <c r="H23" s="55">
        <f t="shared" ref="H23:AF23" ca="1" si="12">H14-H22</f>
        <v>1262.6780237740218</v>
      </c>
      <c r="I23" s="55">
        <f t="shared" ca="1" si="12"/>
        <v>1249.2008050837617</v>
      </c>
      <c r="J23" s="55">
        <f t="shared" ca="1" si="12"/>
        <v>1235.7842338776018</v>
      </c>
      <c r="K23" s="55">
        <f t="shared" ca="1" si="12"/>
        <v>1069.6245325866375</v>
      </c>
      <c r="L23" s="55">
        <f t="shared" ca="1" si="12"/>
        <v>1057.9904505546262</v>
      </c>
      <c r="M23" s="55">
        <f t="shared" ca="1" si="12"/>
        <v>1127.9344363711489</v>
      </c>
      <c r="N23" s="55">
        <f t="shared" ca="1" si="12"/>
        <v>942.45635299140122</v>
      </c>
      <c r="O23" s="55">
        <f t="shared" ca="1" si="12"/>
        <v>910.48122769418944</v>
      </c>
      <c r="P23" s="55">
        <f t="shared" ca="1" si="12"/>
        <v>900.36469119666856</v>
      </c>
      <c r="Q23" s="55">
        <f t="shared" ca="1" si="12"/>
        <v>890.29367911339057</v>
      </c>
      <c r="R23" s="55">
        <f t="shared" ca="1" si="12"/>
        <v>816.52901460068415</v>
      </c>
      <c r="S23" s="55">
        <f t="shared" ca="1" si="12"/>
        <v>801.57852618373204</v>
      </c>
      <c r="T23" s="55">
        <f t="shared" ca="1" si="12"/>
        <v>791.6428618673192</v>
      </c>
      <c r="U23" s="55">
        <f t="shared" ca="1" si="12"/>
        <v>781.75190804032707</v>
      </c>
      <c r="V23" s="55">
        <f t="shared" ca="1" si="12"/>
        <v>771.90546350555167</v>
      </c>
      <c r="W23" s="55">
        <f t="shared" ca="1" si="12"/>
        <v>723.65993120862208</v>
      </c>
      <c r="X23" s="55">
        <f t="shared" ca="1" si="12"/>
        <v>713.90190528415928</v>
      </c>
      <c r="Y23" s="55">
        <f t="shared" ca="1" si="12"/>
        <v>704.1877904763578</v>
      </c>
      <c r="Z23" s="55">
        <f t="shared" ca="1" si="12"/>
        <v>694.51738918519629</v>
      </c>
      <c r="AA23" s="55">
        <f t="shared" ca="1" si="12"/>
        <v>684.89050469983817</v>
      </c>
      <c r="AB23" s="55">
        <f t="shared" ca="1" si="12"/>
        <v>1540.3701715863713</v>
      </c>
      <c r="AC23" s="55">
        <f t="shared" ca="1" si="12"/>
        <v>1530.8297341169684</v>
      </c>
      <c r="AD23" s="55">
        <f t="shared" ca="1" si="12"/>
        <v>1521.3322286161858</v>
      </c>
      <c r="AE23" s="55">
        <f t="shared" ca="1" si="12"/>
        <v>1511.8774618901541</v>
      </c>
      <c r="AF23" s="55">
        <f t="shared" ca="1" si="12"/>
        <v>1502.4652416143872</v>
      </c>
    </row>
    <row r="24" spans="2:32">
      <c r="B24" s="107">
        <v>11</v>
      </c>
      <c r="C24" s="119" t="s">
        <v>470</v>
      </c>
      <c r="D24" s="105">
        <f t="shared" ca="1" si="2"/>
        <v>0</v>
      </c>
      <c r="E24" s="106" t="s">
        <v>111</v>
      </c>
      <c r="F24" s="59">
        <v>0</v>
      </c>
      <c r="G24" s="59">
        <v>0</v>
      </c>
      <c r="H24" s="59">
        <f>G32</f>
        <v>0</v>
      </c>
      <c r="I24" s="59">
        <f t="shared" ref="I24:AF24" ca="1" si="13">H32</f>
        <v>0</v>
      </c>
      <c r="J24" s="59">
        <f t="shared" ca="1" si="13"/>
        <v>0</v>
      </c>
      <c r="K24" s="59">
        <f t="shared" ca="1" si="13"/>
        <v>0</v>
      </c>
      <c r="L24" s="59">
        <f t="shared" ca="1" si="13"/>
        <v>0</v>
      </c>
      <c r="M24" s="59">
        <f t="shared" ca="1" si="13"/>
        <v>0</v>
      </c>
      <c r="N24" s="59">
        <f t="shared" ca="1" si="13"/>
        <v>0</v>
      </c>
      <c r="O24" s="59">
        <f t="shared" ca="1" si="13"/>
        <v>0</v>
      </c>
      <c r="P24" s="59">
        <f t="shared" ca="1" si="13"/>
        <v>0</v>
      </c>
      <c r="Q24" s="59">
        <f t="shared" ca="1" si="13"/>
        <v>0</v>
      </c>
      <c r="R24" s="59">
        <f t="shared" ca="1" si="13"/>
        <v>0</v>
      </c>
      <c r="S24" s="59">
        <f t="shared" ca="1" si="13"/>
        <v>0</v>
      </c>
      <c r="T24" s="59">
        <f t="shared" ca="1" si="13"/>
        <v>0</v>
      </c>
      <c r="U24" s="59">
        <f t="shared" ca="1" si="13"/>
        <v>0</v>
      </c>
      <c r="V24" s="59">
        <f t="shared" ca="1" si="13"/>
        <v>0</v>
      </c>
      <c r="W24" s="59">
        <f t="shared" ca="1" si="13"/>
        <v>0</v>
      </c>
      <c r="X24" s="59">
        <f t="shared" ca="1" si="13"/>
        <v>0</v>
      </c>
      <c r="Y24" s="59">
        <f t="shared" ca="1" si="13"/>
        <v>0</v>
      </c>
      <c r="Z24" s="59">
        <f t="shared" ca="1" si="13"/>
        <v>0</v>
      </c>
      <c r="AA24" s="59">
        <f t="shared" ca="1" si="13"/>
        <v>0</v>
      </c>
      <c r="AB24" s="59">
        <f t="shared" ca="1" si="13"/>
        <v>0</v>
      </c>
      <c r="AC24" s="59">
        <f t="shared" ca="1" si="13"/>
        <v>0</v>
      </c>
      <c r="AD24" s="59">
        <f t="shared" ca="1" si="13"/>
        <v>0</v>
      </c>
      <c r="AE24" s="59">
        <f t="shared" ca="1" si="13"/>
        <v>0</v>
      </c>
      <c r="AF24" s="59">
        <f t="shared" ca="1" si="13"/>
        <v>0</v>
      </c>
    </row>
    <row r="25" spans="2:32">
      <c r="B25" s="107">
        <v>12</v>
      </c>
      <c r="C25" s="119" t="s">
        <v>471</v>
      </c>
      <c r="D25" s="105">
        <f t="shared" ca="1" si="2"/>
        <v>25738.248566119302</v>
      </c>
      <c r="E25" s="106" t="s">
        <v>111</v>
      </c>
      <c r="F25" s="59"/>
      <c r="G25" s="59"/>
      <c r="H25" s="59">
        <f ca="1">H23+H24</f>
        <v>1262.6780237740218</v>
      </c>
      <c r="I25" s="59">
        <f t="shared" ref="I25:AF25" ca="1" si="14">I23+I24</f>
        <v>1249.2008050837617</v>
      </c>
      <c r="J25" s="59">
        <f t="shared" ca="1" si="14"/>
        <v>1235.7842338776018</v>
      </c>
      <c r="K25" s="59">
        <f t="shared" ca="1" si="14"/>
        <v>1069.6245325866375</v>
      </c>
      <c r="L25" s="59">
        <f t="shared" ca="1" si="14"/>
        <v>1057.9904505546262</v>
      </c>
      <c r="M25" s="59">
        <f t="shared" ca="1" si="14"/>
        <v>1127.9344363711489</v>
      </c>
      <c r="N25" s="59">
        <f t="shared" ca="1" si="14"/>
        <v>942.45635299140122</v>
      </c>
      <c r="O25" s="59">
        <f t="shared" ca="1" si="14"/>
        <v>910.48122769418944</v>
      </c>
      <c r="P25" s="59">
        <f t="shared" ca="1" si="14"/>
        <v>900.36469119666856</v>
      </c>
      <c r="Q25" s="59">
        <f t="shared" ca="1" si="14"/>
        <v>890.29367911339057</v>
      </c>
      <c r="R25" s="59">
        <f t="shared" ca="1" si="14"/>
        <v>816.52901460068415</v>
      </c>
      <c r="S25" s="59">
        <f t="shared" ca="1" si="14"/>
        <v>801.57852618373204</v>
      </c>
      <c r="T25" s="59">
        <f t="shared" ca="1" si="14"/>
        <v>791.6428618673192</v>
      </c>
      <c r="U25" s="59">
        <f t="shared" ca="1" si="14"/>
        <v>781.75190804032707</v>
      </c>
      <c r="V25" s="59">
        <f t="shared" ca="1" si="14"/>
        <v>771.90546350555167</v>
      </c>
      <c r="W25" s="59">
        <f t="shared" ca="1" si="14"/>
        <v>723.65993120862208</v>
      </c>
      <c r="X25" s="59">
        <f t="shared" ca="1" si="14"/>
        <v>713.90190528415928</v>
      </c>
      <c r="Y25" s="59">
        <f t="shared" ca="1" si="14"/>
        <v>704.1877904763578</v>
      </c>
      <c r="Z25" s="59">
        <f t="shared" ca="1" si="14"/>
        <v>694.51738918519629</v>
      </c>
      <c r="AA25" s="59">
        <f t="shared" ca="1" si="14"/>
        <v>684.89050469983817</v>
      </c>
      <c r="AB25" s="59">
        <f t="shared" ca="1" si="14"/>
        <v>1540.3701715863713</v>
      </c>
      <c r="AC25" s="59">
        <f t="shared" ca="1" si="14"/>
        <v>1530.8297341169684</v>
      </c>
      <c r="AD25" s="59">
        <f t="shared" ca="1" si="14"/>
        <v>1521.3322286161858</v>
      </c>
      <c r="AE25" s="59">
        <f t="shared" ca="1" si="14"/>
        <v>1511.8774618901541</v>
      </c>
      <c r="AF25" s="59">
        <f t="shared" ca="1" si="14"/>
        <v>1502.4652416143872</v>
      </c>
    </row>
    <row r="26" spans="2:32">
      <c r="B26" s="107">
        <v>13</v>
      </c>
      <c r="C26" s="119" t="s">
        <v>472</v>
      </c>
      <c r="D26" s="105">
        <f t="shared" ca="1" si="2"/>
        <v>2573.8248566119305</v>
      </c>
      <c r="E26" s="106" t="s">
        <v>111</v>
      </c>
      <c r="F26" s="59"/>
      <c r="G26" s="59"/>
      <c r="H26" s="59">
        <f ca="1">IF(H25&lt;0,0,H25*参数输入表!$H$134)</f>
        <v>126.26780237740218</v>
      </c>
      <c r="I26" s="59">
        <f ca="1">IF(H28&gt;=参数输入表!$H$133,0,IF(I25&lt;0,0,IF(I25*参数输入表!$H$134&gt;=I27,I27,I25*参数输入表!$H$134)))</f>
        <v>124.92008050837617</v>
      </c>
      <c r="J26" s="59">
        <f ca="1">IF(I28&gt;=参数输入表!$H$133,0,IF(J25&lt;0,0,IF(J25*参数输入表!$H$134&gt;=J27,J27,J25*参数输入表!$H$134)))</f>
        <v>123.57842338776018</v>
      </c>
      <c r="K26" s="59">
        <f ca="1">IF(J28&gt;=参数输入表!$H$133,0,IF(K25&lt;0,0,IF(K25*参数输入表!$H$134&gt;=K27,K27,K25*参数输入表!$H$134)))</f>
        <v>106.96245325866376</v>
      </c>
      <c r="L26" s="59">
        <f ca="1">IF(K28&gt;=参数输入表!$H$133,0,IF(L25&lt;0,0,IF(L25*参数输入表!$H$134&gt;=L27,L27,L25*参数输入表!$H$134)))</f>
        <v>105.79904505546263</v>
      </c>
      <c r="M26" s="59">
        <f ca="1">IF(L28&gt;=参数输入表!$H$133,0,IF(M25&lt;0,0,IF(M25*参数输入表!$H$134&gt;=M27,M27,M25*参数输入表!$H$134)))</f>
        <v>112.79344363711489</v>
      </c>
      <c r="N26" s="59">
        <f ca="1">IF(M28&gt;=参数输入表!$H$133,0,IF(N25&lt;0,0,IF(N25*参数输入表!$H$134&gt;=N27,N27,N25*参数输入表!$H$134)))</f>
        <v>94.245635299140133</v>
      </c>
      <c r="O26" s="59">
        <f ca="1">IF(N28&gt;=参数输入表!$H$133,0,IF(O25&lt;0,0,IF(O25*参数输入表!$H$134&gt;=O27,O27,O25*参数输入表!$H$134)))</f>
        <v>91.048122769418953</v>
      </c>
      <c r="P26" s="59">
        <f ca="1">IF(O28&gt;=参数输入表!$H$133,0,IF(P25&lt;0,0,IF(P25*参数输入表!$H$134&gt;=P27,P27,P25*参数输入表!$H$134)))</f>
        <v>90.036469119666862</v>
      </c>
      <c r="Q26" s="59">
        <f ca="1">IF(P28&gt;=参数输入表!$H$133,0,IF(Q25&lt;0,0,IF(Q25*参数输入表!$H$134&gt;=Q27,Q27,Q25*参数输入表!$H$134)))</f>
        <v>89.029367911339065</v>
      </c>
      <c r="R26" s="59">
        <f ca="1">IF(Q28&gt;=参数输入表!$H$133,0,IF(R25&lt;0,0,IF(R25*参数输入表!$H$134&gt;=R27,R27,R25*参数输入表!$H$134)))</f>
        <v>81.652901460068421</v>
      </c>
      <c r="S26" s="59">
        <f ca="1">IF(R28&gt;=参数输入表!$H$133,0,IF(S25&lt;0,0,IF(S25*参数输入表!$H$134&gt;=S27,S27,S25*参数输入表!$H$134)))</f>
        <v>80.157852618373212</v>
      </c>
      <c r="T26" s="59">
        <f ca="1">IF(S28&gt;=参数输入表!$H$133,0,IF(T25&lt;0,0,IF(T25*参数输入表!$H$134&gt;=T27,T27,T25*参数输入表!$H$134)))</f>
        <v>79.164286186731928</v>
      </c>
      <c r="U26" s="59">
        <f ca="1">IF(T28&gt;=参数输入表!$H$133,0,IF(U25&lt;0,0,IF(U25*参数输入表!$H$134&gt;=U27,U27,U25*参数输入表!$H$134)))</f>
        <v>78.175190804032709</v>
      </c>
      <c r="V26" s="59">
        <f ca="1">IF(U28&gt;=参数输入表!$H$133,0,IF(V25&lt;0,0,IF(V25*参数输入表!$H$134&gt;=V27,V27,V25*参数输入表!$H$134)))</f>
        <v>77.190546350555167</v>
      </c>
      <c r="W26" s="59">
        <f ca="1">IF(V28&gt;=参数输入表!$H$133,0,IF(W25&lt;0,0,IF(W25*参数输入表!$H$134&gt;=W27,W27,W25*参数输入表!$H$134)))</f>
        <v>72.365993120862214</v>
      </c>
      <c r="X26" s="59">
        <f ca="1">IF(W28&gt;=参数输入表!$H$133,0,IF(X25&lt;0,0,IF(X25*参数输入表!$H$134&gt;=X27,X27,X25*参数输入表!$H$134)))</f>
        <v>71.390190528415928</v>
      </c>
      <c r="Y26" s="59">
        <f ca="1">IF(X28&gt;=参数输入表!$H$133,0,IF(Y25&lt;0,0,IF(Y25*参数输入表!$H$134&gt;=Y27,Y27,Y25*参数输入表!$H$134)))</f>
        <v>70.41877904763578</v>
      </c>
      <c r="Z26" s="59">
        <f ca="1">IF(Y28&gt;=参数输入表!$H$133,0,IF(Z25&lt;0,0,IF(Z25*参数输入表!$H$134&gt;=Z27,Z27,Z25*参数输入表!$H$134)))</f>
        <v>69.451738918519638</v>
      </c>
      <c r="AA26" s="59">
        <f ca="1">IF(Z28&gt;=参数输入表!$H$133,0,IF(AA25&lt;0,0,IF(AA25*参数输入表!$H$134&gt;=AA27,AA27,AA25*参数输入表!$H$134)))</f>
        <v>68.489050469983823</v>
      </c>
      <c r="AB26" s="59">
        <f ca="1">IF(AA28&gt;=参数输入表!$H$133,0,IF(AB25&lt;0,0,IF(AB25*参数输入表!$H$134&gt;=AB27,AB27,AB25*参数输入表!$H$134)))</f>
        <v>154.03701715863713</v>
      </c>
      <c r="AC26" s="59">
        <f ca="1">IF(AB28&gt;=参数输入表!$H$133,0,IF(AC25&lt;0,0,IF(AC25*参数输入表!$H$134&gt;=AC27,AC27,AC25*参数输入表!$H$134)))</f>
        <v>153.08297341169686</v>
      </c>
      <c r="AD26" s="59">
        <f ca="1">IF(AC28&gt;=参数输入表!$H$133,0,IF(AD25&lt;0,0,IF(AD25*参数输入表!$H$134&gt;=AD27,AD27,AD25*参数输入表!$H$134)))</f>
        <v>152.13322286161858</v>
      </c>
      <c r="AE26" s="59">
        <f ca="1">IF(AD28&gt;=参数输入表!$H$133,0,IF(AE25&lt;0,0,IF(AE25*参数输入表!$H$134&gt;=AE27,AE27,AE25*参数输入表!$H$134)))</f>
        <v>151.18774618901543</v>
      </c>
      <c r="AF26" s="59">
        <f ca="1">IF(AE28&gt;=参数输入表!$H$133,0,IF(AF25&lt;0,0,IF(AF25*参数输入表!$H$134&gt;=AF27,AF27,AF25*参数输入表!$H$134)))</f>
        <v>150.24652416143871</v>
      </c>
    </row>
    <row r="27" spans="2:32">
      <c r="B27" s="56"/>
      <c r="C27" s="113" t="s">
        <v>473</v>
      </c>
      <c r="D27" s="114"/>
      <c r="E27" s="106" t="s">
        <v>111</v>
      </c>
      <c r="F27" s="59"/>
      <c r="G27" s="59"/>
      <c r="H27" s="59">
        <f>参数输入表!$H$133</f>
        <v>5000</v>
      </c>
      <c r="I27" s="59">
        <f ca="1">参数输入表!$H$133-H28</f>
        <v>4873.7321976225976</v>
      </c>
      <c r="J27" s="59">
        <f ca="1">参数输入表!$H$133-I28</f>
        <v>4748.812117114222</v>
      </c>
      <c r="K27" s="59">
        <f ca="1">参数输入表!$H$133-J28</f>
        <v>4625.2336937264618</v>
      </c>
      <c r="L27" s="59">
        <f ca="1">参数输入表!$H$133-K28</f>
        <v>4518.2712404677977</v>
      </c>
      <c r="M27" s="59">
        <f ca="1">参数输入表!$H$133-L28</f>
        <v>4412.4721954123352</v>
      </c>
      <c r="N27" s="59">
        <f ca="1">参数输入表!$H$133-M28</f>
        <v>4299.67875177522</v>
      </c>
      <c r="O27" s="59">
        <f ca="1">参数输入表!$H$133-N28</f>
        <v>4205.4331164760797</v>
      </c>
      <c r="P27" s="59">
        <f ca="1">参数输入表!$H$133-O28</f>
        <v>4114.3849937066607</v>
      </c>
      <c r="Q27" s="59">
        <f ca="1">参数输入表!$H$133-P28</f>
        <v>4024.3485245869942</v>
      </c>
      <c r="R27" s="59">
        <f ca="1">参数输入表!$H$133-Q28</f>
        <v>3935.319156675655</v>
      </c>
      <c r="S27" s="59">
        <f ca="1">参数输入表!$H$133-R28</f>
        <v>3853.6662552155867</v>
      </c>
      <c r="T27" s="59">
        <f ca="1">参数输入表!$H$133-S28</f>
        <v>3773.5084025972133</v>
      </c>
      <c r="U27" s="59">
        <f ca="1">参数输入表!$H$133-T28</f>
        <v>3694.3441164104815</v>
      </c>
      <c r="V27" s="59">
        <f ca="1">参数输入表!$H$133-U28</f>
        <v>3616.1689256064483</v>
      </c>
      <c r="W27" s="59">
        <f ca="1">参数输入表!$H$133-V28</f>
        <v>3538.9783792558933</v>
      </c>
      <c r="X27" s="59">
        <f ca="1">参数输入表!$H$133-W28</f>
        <v>3466.6123861350311</v>
      </c>
      <c r="Y27" s="59">
        <f ca="1">参数输入表!$H$133-X28</f>
        <v>3395.2221956066151</v>
      </c>
      <c r="Z27" s="59">
        <f ca="1">参数输入表!$H$133-Y28</f>
        <v>3324.8034165589793</v>
      </c>
      <c r="AA27" s="59">
        <f ca="1">参数输入表!$H$133-Z28</f>
        <v>3255.3516776404595</v>
      </c>
      <c r="AB27" s="59">
        <f ca="1">参数输入表!$H$133-AA28</f>
        <v>3186.8626271704761</v>
      </c>
      <c r="AC27" s="59">
        <f ca="1">参数输入表!$H$133-AB28</f>
        <v>3032.8256100118388</v>
      </c>
      <c r="AD27" s="59">
        <f ca="1">参数输入表!$H$133-AC28</f>
        <v>2879.7426366001419</v>
      </c>
      <c r="AE27" s="59">
        <f ca="1">参数输入表!$H$133-AD28</f>
        <v>2727.6094137385235</v>
      </c>
      <c r="AF27" s="59">
        <f ca="1">参数输入表!$H$133-AE28</f>
        <v>2576.4216675495081</v>
      </c>
    </row>
    <row r="28" spans="2:32">
      <c r="B28" s="56"/>
      <c r="C28" s="113" t="s">
        <v>474</v>
      </c>
      <c r="D28" s="114"/>
      <c r="E28" s="106" t="s">
        <v>111</v>
      </c>
      <c r="F28" s="59"/>
      <c r="G28" s="59"/>
      <c r="H28" s="59">
        <f ca="1">H26</f>
        <v>126.26780237740218</v>
      </c>
      <c r="I28" s="59">
        <f ca="1">I26+H28</f>
        <v>251.18788288577835</v>
      </c>
      <c r="J28" s="59">
        <f t="shared" ref="J28:AF28" ca="1" si="15">J26+I28</f>
        <v>374.76630627353853</v>
      </c>
      <c r="K28" s="59">
        <f t="shared" ca="1" si="15"/>
        <v>481.72875953220228</v>
      </c>
      <c r="L28" s="59">
        <f t="shared" ca="1" si="15"/>
        <v>587.52780458766495</v>
      </c>
      <c r="M28" s="59">
        <f t="shared" ca="1" si="15"/>
        <v>700.32124822477988</v>
      </c>
      <c r="N28" s="59">
        <f t="shared" ca="1" si="15"/>
        <v>794.56688352392007</v>
      </c>
      <c r="O28" s="59">
        <f t="shared" ca="1" si="15"/>
        <v>885.61500629333898</v>
      </c>
      <c r="P28" s="59">
        <f t="shared" ca="1" si="15"/>
        <v>975.65147541300587</v>
      </c>
      <c r="Q28" s="59">
        <f t="shared" ca="1" si="15"/>
        <v>1064.680843324345</v>
      </c>
      <c r="R28" s="59">
        <f t="shared" ca="1" si="15"/>
        <v>1146.3337447844135</v>
      </c>
      <c r="S28" s="59">
        <f t="shared" ca="1" si="15"/>
        <v>1226.4915974027867</v>
      </c>
      <c r="T28" s="59">
        <f t="shared" ca="1" si="15"/>
        <v>1305.6558835895187</v>
      </c>
      <c r="U28" s="59">
        <f t="shared" ca="1" si="15"/>
        <v>1383.8310743935515</v>
      </c>
      <c r="V28" s="59">
        <f t="shared" ca="1" si="15"/>
        <v>1461.0216207441067</v>
      </c>
      <c r="W28" s="59">
        <f t="shared" ca="1" si="15"/>
        <v>1533.3876138649689</v>
      </c>
      <c r="X28" s="59">
        <f t="shared" ca="1" si="15"/>
        <v>1604.7778043933849</v>
      </c>
      <c r="Y28" s="59">
        <f t="shared" ca="1" si="15"/>
        <v>1675.1965834410207</v>
      </c>
      <c r="Z28" s="59">
        <f t="shared" ca="1" si="15"/>
        <v>1744.6483223595403</v>
      </c>
      <c r="AA28" s="59">
        <f t="shared" ca="1" si="15"/>
        <v>1813.1373728295241</v>
      </c>
      <c r="AB28" s="59">
        <f t="shared" ca="1" si="15"/>
        <v>1967.1743899881612</v>
      </c>
      <c r="AC28" s="59">
        <f t="shared" ca="1" si="15"/>
        <v>2120.2573633998581</v>
      </c>
      <c r="AD28" s="59">
        <f t="shared" ca="1" si="15"/>
        <v>2272.3905862614765</v>
      </c>
      <c r="AE28" s="59">
        <f t="shared" ca="1" si="15"/>
        <v>2423.5783324504919</v>
      </c>
      <c r="AF28" s="59">
        <f t="shared" ca="1" si="15"/>
        <v>2573.8248566119305</v>
      </c>
    </row>
    <row r="29" spans="2:32">
      <c r="B29" s="107">
        <v>14</v>
      </c>
      <c r="C29" s="119" t="s">
        <v>475</v>
      </c>
      <c r="D29" s="105">
        <f t="shared" ca="1" si="2"/>
        <v>23164.423709507369</v>
      </c>
      <c r="E29" s="106" t="s">
        <v>111</v>
      </c>
      <c r="F29" s="59"/>
      <c r="G29" s="59"/>
      <c r="H29" s="59">
        <f ca="1">H25-H26</f>
        <v>1136.4102213966196</v>
      </c>
      <c r="I29" s="59">
        <f t="shared" ref="I29:AF29" ca="1" si="16">I25-I26</f>
        <v>1124.2807245753854</v>
      </c>
      <c r="J29" s="59">
        <f t="shared" ca="1" si="16"/>
        <v>1112.2058104898415</v>
      </c>
      <c r="K29" s="59">
        <f t="shared" ca="1" si="16"/>
        <v>962.66207932797374</v>
      </c>
      <c r="L29" s="59">
        <f t="shared" ca="1" si="16"/>
        <v>952.19140549916358</v>
      </c>
      <c r="M29" s="59">
        <f t="shared" ca="1" si="16"/>
        <v>1015.1409927340339</v>
      </c>
      <c r="N29" s="59">
        <f t="shared" ca="1" si="16"/>
        <v>848.21071769226114</v>
      </c>
      <c r="O29" s="59">
        <f t="shared" ca="1" si="16"/>
        <v>819.43310492477053</v>
      </c>
      <c r="P29" s="59">
        <f t="shared" ca="1" si="16"/>
        <v>810.32822207700167</v>
      </c>
      <c r="Q29" s="59">
        <f t="shared" ca="1" si="16"/>
        <v>801.26431120205154</v>
      </c>
      <c r="R29" s="59">
        <f t="shared" ca="1" si="16"/>
        <v>734.87611314061576</v>
      </c>
      <c r="S29" s="59">
        <f t="shared" ca="1" si="16"/>
        <v>721.42067356535881</v>
      </c>
      <c r="T29" s="59">
        <f t="shared" ca="1" si="16"/>
        <v>712.47857568058726</v>
      </c>
      <c r="U29" s="59">
        <f t="shared" ca="1" si="16"/>
        <v>703.57671723629437</v>
      </c>
      <c r="V29" s="59">
        <f t="shared" ca="1" si="16"/>
        <v>694.71491715499656</v>
      </c>
      <c r="W29" s="59">
        <f t="shared" ca="1" si="16"/>
        <v>651.2939380877599</v>
      </c>
      <c r="X29" s="59">
        <f t="shared" ca="1" si="16"/>
        <v>642.51171475574336</v>
      </c>
      <c r="Y29" s="59">
        <f t="shared" ca="1" si="16"/>
        <v>633.76901142872202</v>
      </c>
      <c r="Z29" s="59">
        <f t="shared" ca="1" si="16"/>
        <v>625.0656502666767</v>
      </c>
      <c r="AA29" s="59">
        <f t="shared" ca="1" si="16"/>
        <v>616.40145422985438</v>
      </c>
      <c r="AB29" s="59">
        <f t="shared" ca="1" si="16"/>
        <v>1386.3331544277341</v>
      </c>
      <c r="AC29" s="59">
        <f t="shared" ca="1" si="16"/>
        <v>1377.7467607052715</v>
      </c>
      <c r="AD29" s="59">
        <f t="shared" ca="1" si="16"/>
        <v>1369.1990057545672</v>
      </c>
      <c r="AE29" s="59">
        <f t="shared" ca="1" si="16"/>
        <v>1360.6897157011388</v>
      </c>
      <c r="AF29" s="59">
        <f t="shared" ca="1" si="16"/>
        <v>1352.2187174529486</v>
      </c>
    </row>
    <row r="30" spans="2:32">
      <c r="B30" s="107">
        <v>15</v>
      </c>
      <c r="C30" s="119" t="s">
        <v>476</v>
      </c>
      <c r="D30" s="105">
        <f t="shared" ca="1" si="2"/>
        <v>0</v>
      </c>
      <c r="E30" s="106" t="s">
        <v>111</v>
      </c>
      <c r="F30" s="59"/>
      <c r="G30" s="59"/>
      <c r="H30" s="59">
        <f ca="1">H29*参数输入表!$H$135</f>
        <v>0</v>
      </c>
      <c r="I30" s="59">
        <f ca="1">I29*参数输入表!$H$135</f>
        <v>0</v>
      </c>
      <c r="J30" s="59">
        <f ca="1">J29*参数输入表!$H$135</f>
        <v>0</v>
      </c>
      <c r="K30" s="59">
        <f ca="1">K29*参数输入表!$H$135</f>
        <v>0</v>
      </c>
      <c r="L30" s="59">
        <f ca="1">L29*参数输入表!$H$135</f>
        <v>0</v>
      </c>
      <c r="M30" s="59">
        <f ca="1">M29*参数输入表!$H$135</f>
        <v>0</v>
      </c>
      <c r="N30" s="59">
        <f ca="1">N29*参数输入表!$H$135</f>
        <v>0</v>
      </c>
      <c r="O30" s="59">
        <f ca="1">O29*参数输入表!$H$135</f>
        <v>0</v>
      </c>
      <c r="P30" s="59">
        <f ca="1">P29*参数输入表!$H$135</f>
        <v>0</v>
      </c>
      <c r="Q30" s="59">
        <f ca="1">Q29*参数输入表!$H$135</f>
        <v>0</v>
      </c>
      <c r="R30" s="59">
        <f ca="1">R29*参数输入表!$H$135</f>
        <v>0</v>
      </c>
      <c r="S30" s="59">
        <f ca="1">S29*参数输入表!$H$135</f>
        <v>0</v>
      </c>
      <c r="T30" s="59">
        <f ca="1">T29*参数输入表!$H$135</f>
        <v>0</v>
      </c>
      <c r="U30" s="59">
        <f ca="1">U29*参数输入表!$H$135</f>
        <v>0</v>
      </c>
      <c r="V30" s="59">
        <f ca="1">V29*参数输入表!$H$135</f>
        <v>0</v>
      </c>
      <c r="W30" s="59">
        <f ca="1">W29*参数输入表!$H$135</f>
        <v>0</v>
      </c>
      <c r="X30" s="59">
        <f ca="1">X29*参数输入表!$H$135</f>
        <v>0</v>
      </c>
      <c r="Y30" s="59">
        <f ca="1">Y29*参数输入表!$H$135</f>
        <v>0</v>
      </c>
      <c r="Z30" s="59">
        <f ca="1">Z29*参数输入表!$H$135</f>
        <v>0</v>
      </c>
      <c r="AA30" s="59">
        <f ca="1">AA29*参数输入表!$H$135</f>
        <v>0</v>
      </c>
      <c r="AB30" s="59">
        <f ca="1">AB29*参数输入表!$H$135</f>
        <v>0</v>
      </c>
      <c r="AC30" s="59">
        <f ca="1">AC29*参数输入表!$H$135</f>
        <v>0</v>
      </c>
      <c r="AD30" s="59">
        <f ca="1">AD29*参数输入表!$H$135</f>
        <v>0</v>
      </c>
      <c r="AE30" s="59">
        <f ca="1">AE29*参数输入表!$H$135</f>
        <v>0</v>
      </c>
      <c r="AF30" s="59">
        <f ca="1">AF29*参数输入表!$H$135</f>
        <v>0</v>
      </c>
    </row>
    <row r="31" spans="2:32">
      <c r="B31" s="107">
        <v>16</v>
      </c>
      <c r="C31" s="119" t="s">
        <v>477</v>
      </c>
      <c r="D31" s="105">
        <f t="shared" ca="1" si="2"/>
        <v>23164.423709507369</v>
      </c>
      <c r="E31" s="106" t="s">
        <v>111</v>
      </c>
      <c r="F31" s="59"/>
      <c r="G31" s="59"/>
      <c r="H31" s="59">
        <f ca="1">H29-H30</f>
        <v>1136.4102213966196</v>
      </c>
      <c r="I31" s="59">
        <f t="shared" ref="I31:AF31" ca="1" si="17">I29-I30</f>
        <v>1124.2807245753854</v>
      </c>
      <c r="J31" s="59">
        <f t="shared" ca="1" si="17"/>
        <v>1112.2058104898415</v>
      </c>
      <c r="K31" s="59">
        <f t="shared" ca="1" si="17"/>
        <v>962.66207932797374</v>
      </c>
      <c r="L31" s="59">
        <f t="shared" ca="1" si="17"/>
        <v>952.19140549916358</v>
      </c>
      <c r="M31" s="59">
        <f t="shared" ca="1" si="17"/>
        <v>1015.1409927340339</v>
      </c>
      <c r="N31" s="59">
        <f t="shared" ca="1" si="17"/>
        <v>848.21071769226114</v>
      </c>
      <c r="O31" s="59">
        <f t="shared" ca="1" si="17"/>
        <v>819.43310492477053</v>
      </c>
      <c r="P31" s="59">
        <f t="shared" ca="1" si="17"/>
        <v>810.32822207700167</v>
      </c>
      <c r="Q31" s="59">
        <f t="shared" ca="1" si="17"/>
        <v>801.26431120205154</v>
      </c>
      <c r="R31" s="59">
        <f t="shared" ca="1" si="17"/>
        <v>734.87611314061576</v>
      </c>
      <c r="S31" s="59">
        <f t="shared" ca="1" si="17"/>
        <v>721.42067356535881</v>
      </c>
      <c r="T31" s="59">
        <f t="shared" ca="1" si="17"/>
        <v>712.47857568058726</v>
      </c>
      <c r="U31" s="59">
        <f t="shared" ca="1" si="17"/>
        <v>703.57671723629437</v>
      </c>
      <c r="V31" s="59">
        <f t="shared" ca="1" si="17"/>
        <v>694.71491715499656</v>
      </c>
      <c r="W31" s="59">
        <f t="shared" ca="1" si="17"/>
        <v>651.2939380877599</v>
      </c>
      <c r="X31" s="59">
        <f t="shared" ca="1" si="17"/>
        <v>642.51171475574336</v>
      </c>
      <c r="Y31" s="59">
        <f t="shared" ca="1" si="17"/>
        <v>633.76901142872202</v>
      </c>
      <c r="Z31" s="59">
        <f t="shared" ca="1" si="17"/>
        <v>625.0656502666767</v>
      </c>
      <c r="AA31" s="59">
        <f t="shared" ca="1" si="17"/>
        <v>616.40145422985438</v>
      </c>
      <c r="AB31" s="59">
        <f t="shared" ca="1" si="17"/>
        <v>1386.3331544277341</v>
      </c>
      <c r="AC31" s="59">
        <f t="shared" ca="1" si="17"/>
        <v>1377.7467607052715</v>
      </c>
      <c r="AD31" s="59">
        <f t="shared" ca="1" si="17"/>
        <v>1369.1990057545672</v>
      </c>
      <c r="AE31" s="59">
        <f t="shared" ca="1" si="17"/>
        <v>1360.6897157011388</v>
      </c>
      <c r="AF31" s="59">
        <f t="shared" ca="1" si="17"/>
        <v>1352.2187174529486</v>
      </c>
    </row>
    <row r="32" spans="2:32">
      <c r="B32" s="107">
        <v>17</v>
      </c>
      <c r="C32" s="119" t="s">
        <v>478</v>
      </c>
      <c r="D32" s="105">
        <f t="shared" ca="1" si="2"/>
        <v>0</v>
      </c>
      <c r="E32" s="106" t="s">
        <v>111</v>
      </c>
      <c r="F32" s="59"/>
      <c r="G32" s="59"/>
      <c r="H32" s="59">
        <f ca="1">H29-H30-H31</f>
        <v>0</v>
      </c>
      <c r="I32" s="59">
        <f t="shared" ref="I32:AF32" ca="1" si="18">I29-I30-I31</f>
        <v>0</v>
      </c>
      <c r="J32" s="59">
        <f t="shared" ca="1" si="18"/>
        <v>0</v>
      </c>
      <c r="K32" s="59">
        <f t="shared" ca="1" si="18"/>
        <v>0</v>
      </c>
      <c r="L32" s="59">
        <f t="shared" ca="1" si="18"/>
        <v>0</v>
      </c>
      <c r="M32" s="59">
        <f t="shared" ca="1" si="18"/>
        <v>0</v>
      </c>
      <c r="N32" s="59">
        <f t="shared" ca="1" si="18"/>
        <v>0</v>
      </c>
      <c r="O32" s="59">
        <f t="shared" ca="1" si="18"/>
        <v>0</v>
      </c>
      <c r="P32" s="59">
        <f t="shared" ca="1" si="18"/>
        <v>0</v>
      </c>
      <c r="Q32" s="59">
        <f t="shared" ca="1" si="18"/>
        <v>0</v>
      </c>
      <c r="R32" s="59">
        <f t="shared" ca="1" si="18"/>
        <v>0</v>
      </c>
      <c r="S32" s="59">
        <f t="shared" ca="1" si="18"/>
        <v>0</v>
      </c>
      <c r="T32" s="59">
        <f t="shared" ca="1" si="18"/>
        <v>0</v>
      </c>
      <c r="U32" s="59">
        <f t="shared" ca="1" si="18"/>
        <v>0</v>
      </c>
      <c r="V32" s="59">
        <f t="shared" ca="1" si="18"/>
        <v>0</v>
      </c>
      <c r="W32" s="59">
        <f t="shared" ca="1" si="18"/>
        <v>0</v>
      </c>
      <c r="X32" s="59">
        <f t="shared" ca="1" si="18"/>
        <v>0</v>
      </c>
      <c r="Y32" s="59">
        <f t="shared" ca="1" si="18"/>
        <v>0</v>
      </c>
      <c r="Z32" s="59">
        <f t="shared" ca="1" si="18"/>
        <v>0</v>
      </c>
      <c r="AA32" s="59">
        <f t="shared" ca="1" si="18"/>
        <v>0</v>
      </c>
      <c r="AB32" s="59">
        <f t="shared" ca="1" si="18"/>
        <v>0</v>
      </c>
      <c r="AC32" s="59">
        <f t="shared" ca="1" si="18"/>
        <v>0</v>
      </c>
      <c r="AD32" s="59">
        <f t="shared" ca="1" si="18"/>
        <v>0</v>
      </c>
      <c r="AE32" s="59">
        <f t="shared" ca="1" si="18"/>
        <v>0</v>
      </c>
      <c r="AF32" s="59">
        <f t="shared" ca="1" si="18"/>
        <v>0</v>
      </c>
    </row>
    <row r="33" spans="2:32" s="98" customFormat="1">
      <c r="B33" s="107">
        <v>18</v>
      </c>
      <c r="C33" s="119" t="s">
        <v>479</v>
      </c>
      <c r="D33" s="105">
        <f t="shared" ca="1" si="2"/>
        <v>39331.016719076506</v>
      </c>
      <c r="E33" s="120" t="s">
        <v>111</v>
      </c>
      <c r="F33" s="121"/>
      <c r="G33" s="121"/>
      <c r="H33" s="121">
        <f ca="1">H14+'表1-资金筹措及还本付息表'!H83</f>
        <v>2047.8793278792427</v>
      </c>
      <c r="I33" s="121">
        <f ca="1">I14+'表1-资金筹措及还本付息表'!I83</f>
        <v>1994.27636820216</v>
      </c>
      <c r="J33" s="121">
        <f ca="1">J14+'表1-资金筹措及还本付息表'!J83</f>
        <v>1939.2895293336519</v>
      </c>
      <c r="K33" s="121">
        <f ca="1">K14+'表1-资金筹措及还本付息表'!K83</f>
        <v>1882.8665353997289</v>
      </c>
      <c r="L33" s="121">
        <f ca="1">L14+'表1-资金筹措及还本付息表'!L83</f>
        <v>1824.9532396479312</v>
      </c>
      <c r="M33" s="121">
        <f ca="1">M14+'表1-资金筹措及还本付息表'!M83</f>
        <v>1858.6658021652818</v>
      </c>
      <c r="N33" s="121">
        <f ca="1">N14+'表1-资金筹措及还本付息表'!N83</f>
        <v>1778.3188811003827</v>
      </c>
      <c r="O33" s="121">
        <f ca="1">O14+'表1-资金筹措及还本付息表'!O83</f>
        <v>1686.0739675455161</v>
      </c>
      <c r="P33" s="121">
        <f ca="1">P14+'表1-资金筹措及还本付息表'!P83</f>
        <v>1621.1878281831953</v>
      </c>
      <c r="Q33" s="121">
        <f ca="1">Q14+'表1-资金筹措及还本付息表'!Q83</f>
        <v>1554.5120807747023</v>
      </c>
      <c r="R33" s="121">
        <f ca="1">R14+'表1-资金筹措及还本付息表'!R83</f>
        <v>1400.9945451335964</v>
      </c>
      <c r="S33" s="121">
        <f ca="1">S14+'表1-资金筹措及还本付息表'!S83</f>
        <v>1323.9099835670263</v>
      </c>
      <c r="T33" s="121">
        <f ca="1">T14+'表1-资金筹措及还本付息表'!T83</f>
        <v>1251.4544333621259</v>
      </c>
      <c r="U33" s="121">
        <f ca="1">U14+'表1-资金筹措及还本付息表'!U83</f>
        <v>1176.927009222931</v>
      </c>
      <c r="V33" s="121">
        <f ca="1">V14+'表1-资金筹措及还本付息表'!V83</f>
        <v>1100.2507093213762</v>
      </c>
      <c r="W33" s="121">
        <f ca="1">W14+'表1-资金筹措及还本付息表'!W83</f>
        <v>970.08790827816267</v>
      </c>
      <c r="X33" s="121">
        <f ca="1">X14+'表1-资金筹措及还本付息表'!X83</f>
        <v>957.07720704554561</v>
      </c>
      <c r="Y33" s="121">
        <f ca="1">Y14+'表1-资金筹措及还本付息表'!Y83</f>
        <v>944.12505396847712</v>
      </c>
      <c r="Z33" s="121">
        <f ca="1">Z14+'表1-资金筹措及还本付息表'!Z83</f>
        <v>931.23118558026169</v>
      </c>
      <c r="AA33" s="121">
        <f ca="1">AA14+'表1-资金筹措及还本付息表'!AA83</f>
        <v>918.39533959978428</v>
      </c>
      <c r="AB33" s="121">
        <f ca="1">AB14+'表1-资金筹措及还本付息表'!AB83</f>
        <v>2059.0348954484953</v>
      </c>
      <c r="AC33" s="121">
        <f ca="1">AC14+'表1-资金筹措及还本付息表'!AC83</f>
        <v>2046.3143121559581</v>
      </c>
      <c r="AD33" s="121">
        <f ca="1">AD14+'表1-资金筹措及还本付息表'!AD83</f>
        <v>2033.6509714882479</v>
      </c>
      <c r="AE33" s="121">
        <f ca="1">AE14+'表1-资金筹措及还本付息表'!AE83</f>
        <v>2021.044615853539</v>
      </c>
      <c r="AF33" s="121">
        <f ca="1">AF14+'表1-资金筹措及还本付息表'!AF83</f>
        <v>2008.4949888191829</v>
      </c>
    </row>
    <row r="34" spans="2:32">
      <c r="B34" s="107">
        <v>19</v>
      </c>
      <c r="C34" s="119" t="s">
        <v>480</v>
      </c>
      <c r="D34" s="105">
        <f t="shared" ca="1" si="2"/>
        <v>63020.986953514817</v>
      </c>
      <c r="E34" s="106" t="s">
        <v>111</v>
      </c>
      <c r="F34" s="59"/>
      <c r="G34" s="59"/>
      <c r="H34" s="59">
        <f ca="1">H33+'表2-折旧摊销表'!H39</f>
        <v>3212.2008484507155</v>
      </c>
      <c r="I34" s="59">
        <f ca="1">I33+'表2-折旧摊销表'!I39</f>
        <v>3158.5978887736328</v>
      </c>
      <c r="J34" s="59">
        <f ca="1">J33+'表2-折旧摊销表'!J39</f>
        <v>3103.6110499051247</v>
      </c>
      <c r="K34" s="59">
        <f ca="1">K33+'表2-折旧摊销表'!K39</f>
        <v>3047.1880559712017</v>
      </c>
      <c r="L34" s="59">
        <f ca="1">L33+'表2-折旧摊销表'!L39</f>
        <v>2989.274760219404</v>
      </c>
      <c r="M34" s="59">
        <f ca="1">M33+'表2-折旧摊销表'!M39</f>
        <v>3022.9873227367543</v>
      </c>
      <c r="N34" s="59">
        <f ca="1">N33+'表2-折旧摊销表'!N39</f>
        <v>2942.6404016718552</v>
      </c>
      <c r="O34" s="59">
        <f ca="1">O33+'表2-折旧摊销表'!O39</f>
        <v>2850.3954881169889</v>
      </c>
      <c r="P34" s="59">
        <f ca="1">P33+'表2-折旧摊销表'!P39</f>
        <v>2785.5093487546683</v>
      </c>
      <c r="Q34" s="59">
        <f ca="1">Q33+'表2-折旧摊销表'!Q39</f>
        <v>2718.8336013461749</v>
      </c>
      <c r="R34" s="59">
        <f ca="1">R33+'表2-折旧摊销表'!R39</f>
        <v>2605.6700480059544</v>
      </c>
      <c r="S34" s="59">
        <f ca="1">S33+'表2-折旧摊销表'!S39</f>
        <v>2528.5854864393841</v>
      </c>
      <c r="T34" s="59">
        <f ca="1">T33+'表2-折旧摊销表'!T39</f>
        <v>2456.1299362344835</v>
      </c>
      <c r="U34" s="59">
        <f ca="1">U33+'表2-折旧摊销表'!U39</f>
        <v>2381.6025120952891</v>
      </c>
      <c r="V34" s="59">
        <f ca="1">V33+'表2-折旧摊销表'!V39</f>
        <v>2304.926212193734</v>
      </c>
      <c r="W34" s="59">
        <f ca="1">W33+'表2-折旧摊销表'!W39</f>
        <v>2174.7634111505204</v>
      </c>
      <c r="X34" s="59">
        <f ca="1">X33+'表2-折旧摊销表'!X39</f>
        <v>2161.7527099179033</v>
      </c>
      <c r="Y34" s="59">
        <f ca="1">Y33+'表2-折旧摊销表'!Y39</f>
        <v>2148.8005568408348</v>
      </c>
      <c r="Z34" s="59">
        <f ca="1">Z33+'表2-折旧摊销表'!Z39</f>
        <v>2135.9066884526196</v>
      </c>
      <c r="AA34" s="59">
        <f ca="1">AA33+'表2-折旧摊销表'!AA39</f>
        <v>2123.070842472142</v>
      </c>
      <c r="AB34" s="59">
        <f ca="1">AB33+'表2-折旧摊销表'!AB39</f>
        <v>2059.0348954484953</v>
      </c>
      <c r="AC34" s="59">
        <f ca="1">AC33+'表2-折旧摊销表'!AC39</f>
        <v>2046.3143121559581</v>
      </c>
      <c r="AD34" s="59">
        <f ca="1">AD33+'表2-折旧摊销表'!AD39</f>
        <v>2033.6509714882479</v>
      </c>
      <c r="AE34" s="59">
        <f ca="1">AE33+'表2-折旧摊销表'!AE39</f>
        <v>2021.044615853539</v>
      </c>
      <c r="AF34" s="59">
        <f ca="1">AF33+'表2-折旧摊销表'!AF39</f>
        <v>2008.4949888191829</v>
      </c>
    </row>
    <row r="36" spans="2:32">
      <c r="H36" s="74">
        <f ca="1">H33*0.25</f>
        <v>511.96983196981068</v>
      </c>
      <c r="I36" s="74">
        <f t="shared" ref="I36:AF36" ca="1" si="19">I33*0.25</f>
        <v>498.56909205054001</v>
      </c>
      <c r="J36" s="74">
        <f t="shared" ca="1" si="19"/>
        <v>484.82238233341297</v>
      </c>
      <c r="K36" s="74">
        <f ca="1">K33*0.15</f>
        <v>282.42998030995932</v>
      </c>
      <c r="L36" s="74">
        <f ca="1">L33*0.15</f>
        <v>273.74298594718965</v>
      </c>
      <c r="M36" s="74">
        <f ca="1">M33*0.15</f>
        <v>278.79987032479227</v>
      </c>
      <c r="N36" s="74">
        <f t="shared" ca="1" si="19"/>
        <v>444.57972027509567</v>
      </c>
      <c r="O36" s="74">
        <f t="shared" ca="1" si="19"/>
        <v>421.51849188637902</v>
      </c>
      <c r="P36" s="74">
        <f t="shared" ca="1" si="19"/>
        <v>405.29695704579882</v>
      </c>
      <c r="Q36" s="74">
        <f t="shared" ca="1" si="19"/>
        <v>388.62802019367558</v>
      </c>
      <c r="R36" s="74">
        <f t="shared" ca="1" si="19"/>
        <v>350.24863628339909</v>
      </c>
      <c r="S36" s="74">
        <f t="shared" ca="1" si="19"/>
        <v>330.97749589175658</v>
      </c>
      <c r="T36" s="74">
        <f t="shared" ca="1" si="19"/>
        <v>312.86360834053147</v>
      </c>
      <c r="U36" s="74">
        <f t="shared" ca="1" si="19"/>
        <v>294.23175230573275</v>
      </c>
      <c r="V36" s="74">
        <f t="shared" ca="1" si="19"/>
        <v>275.06267733034406</v>
      </c>
      <c r="W36" s="74">
        <f t="shared" ca="1" si="19"/>
        <v>242.52197706954067</v>
      </c>
      <c r="X36" s="74">
        <f t="shared" ca="1" si="19"/>
        <v>239.2693017613864</v>
      </c>
      <c r="Y36" s="74">
        <f t="shared" ca="1" si="19"/>
        <v>236.03126349211928</v>
      </c>
      <c r="Z36" s="74">
        <f t="shared" ca="1" si="19"/>
        <v>232.80779639506542</v>
      </c>
      <c r="AA36" s="74">
        <f t="shared" ca="1" si="19"/>
        <v>229.59883489994607</v>
      </c>
      <c r="AB36" s="74">
        <f t="shared" ca="1" si="19"/>
        <v>514.75872386212382</v>
      </c>
      <c r="AC36" s="74">
        <f t="shared" ca="1" si="19"/>
        <v>511.57857803898952</v>
      </c>
      <c r="AD36" s="74">
        <f t="shared" ca="1" si="19"/>
        <v>508.41274287206198</v>
      </c>
      <c r="AE36" s="74">
        <f t="shared" ca="1" si="19"/>
        <v>505.26115396338474</v>
      </c>
      <c r="AF36" s="74">
        <f t="shared" ca="1" si="19"/>
        <v>502.12374720479573</v>
      </c>
    </row>
    <row r="38" spans="2:32" ht="21.5">
      <c r="C38" s="71" t="s">
        <v>412</v>
      </c>
      <c r="H38" s="74">
        <f ca="1">H6-'表3-成本费用表'!H29-'表4-收入税金表'!H46-'表2-折旧摊销表'!H39</f>
        <v>98.356503202548993</v>
      </c>
    </row>
    <row r="39" spans="2:32" ht="21.5">
      <c r="C39" s="71" t="s">
        <v>446</v>
      </c>
    </row>
    <row r="40" spans="2:32">
      <c r="C40" s="46"/>
    </row>
  </sheetData>
  <mergeCells count="6">
    <mergeCell ref="F3:G3"/>
    <mergeCell ref="H3:AF3"/>
    <mergeCell ref="B3:B4"/>
    <mergeCell ref="C3:C4"/>
    <mergeCell ref="D3:D4"/>
    <mergeCell ref="E3:E4"/>
  </mergeCells>
  <phoneticPr fontId="51"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F47"/>
  <sheetViews>
    <sheetView showGridLines="0" zoomScale="70" zoomScaleNormal="70" workbookViewId="0">
      <selection activeCell="M36" sqref="M36"/>
    </sheetView>
  </sheetViews>
  <sheetFormatPr defaultColWidth="8.81640625" defaultRowHeight="16.5"/>
  <cols>
    <col min="1" max="1" width="2.36328125" style="74" customWidth="1"/>
    <col min="2" max="2" width="8.81640625" style="74"/>
    <col min="3" max="3" width="29.54296875" style="74" customWidth="1"/>
    <col min="4" max="4" width="15.36328125" style="74" customWidth="1"/>
    <col min="5" max="5" width="6.6328125" style="74" customWidth="1"/>
    <col min="6" max="6" width="14.6328125" style="74" customWidth="1"/>
    <col min="7" max="9" width="16.36328125" style="74" customWidth="1"/>
    <col min="10" max="15" width="14.6328125" style="74" customWidth="1"/>
    <col min="16" max="16" width="13.54296875" style="74" customWidth="1"/>
    <col min="17" max="17" width="14.6328125" style="74" customWidth="1"/>
    <col min="18" max="26" width="13.54296875" style="74" customWidth="1"/>
    <col min="27" max="32" width="15.36328125" style="74" customWidth="1"/>
    <col min="33" max="16384" width="8.81640625" style="74"/>
  </cols>
  <sheetData>
    <row r="1" spans="2:32" ht="4.5" customHeight="1"/>
    <row r="2" spans="2:32" ht="21.65" customHeight="1">
      <c r="B2" s="75" t="s">
        <v>518</v>
      </c>
    </row>
    <row r="3" spans="2:32">
      <c r="B3" s="354" t="s">
        <v>14</v>
      </c>
      <c r="C3" s="354" t="s">
        <v>323</v>
      </c>
      <c r="D3" s="354" t="s">
        <v>311</v>
      </c>
      <c r="E3" s="354" t="s">
        <v>39</v>
      </c>
      <c r="F3" s="342" t="s">
        <v>43</v>
      </c>
      <c r="G3" s="342"/>
      <c r="H3" s="343" t="s">
        <v>54</v>
      </c>
      <c r="I3" s="343"/>
      <c r="J3" s="343"/>
      <c r="K3" s="343"/>
      <c r="L3" s="343"/>
      <c r="M3" s="343"/>
      <c r="N3" s="343"/>
      <c r="O3" s="343"/>
      <c r="P3" s="343"/>
      <c r="Q3" s="343"/>
      <c r="R3" s="343"/>
      <c r="S3" s="343"/>
      <c r="T3" s="343"/>
      <c r="U3" s="343"/>
      <c r="V3" s="343"/>
      <c r="W3" s="343"/>
      <c r="X3" s="343"/>
      <c r="Y3" s="343"/>
      <c r="Z3" s="343"/>
      <c r="AA3" s="343"/>
      <c r="AB3" s="343"/>
      <c r="AC3" s="343"/>
      <c r="AD3" s="343"/>
      <c r="AE3" s="343"/>
      <c r="AF3" s="343"/>
    </row>
    <row r="4" spans="2:32">
      <c r="B4" s="355"/>
      <c r="C4" s="355"/>
      <c r="D4" s="355"/>
      <c r="E4" s="355"/>
      <c r="F4" s="51">
        <v>1</v>
      </c>
      <c r="G4" s="51">
        <v>2</v>
      </c>
      <c r="H4" s="52">
        <v>1</v>
      </c>
      <c r="I4" s="52">
        <v>2</v>
      </c>
      <c r="J4" s="52">
        <v>3</v>
      </c>
      <c r="K4" s="52">
        <v>4</v>
      </c>
      <c r="L4" s="52">
        <v>5</v>
      </c>
      <c r="M4" s="52">
        <v>6</v>
      </c>
      <c r="N4" s="52">
        <v>7</v>
      </c>
      <c r="O4" s="52">
        <v>8</v>
      </c>
      <c r="P4" s="52">
        <v>9</v>
      </c>
      <c r="Q4" s="52">
        <v>10</v>
      </c>
      <c r="R4" s="52">
        <v>11</v>
      </c>
      <c r="S4" s="52">
        <v>12</v>
      </c>
      <c r="T4" s="52">
        <v>13</v>
      </c>
      <c r="U4" s="52">
        <v>14</v>
      </c>
      <c r="V4" s="52">
        <v>15</v>
      </c>
      <c r="W4" s="52">
        <v>16</v>
      </c>
      <c r="X4" s="52">
        <v>17</v>
      </c>
      <c r="Y4" s="52">
        <v>18</v>
      </c>
      <c r="Z4" s="52">
        <v>19</v>
      </c>
      <c r="AA4" s="52">
        <v>20</v>
      </c>
      <c r="AB4" s="52">
        <v>21</v>
      </c>
      <c r="AC4" s="52">
        <v>22</v>
      </c>
      <c r="AD4" s="52">
        <v>23</v>
      </c>
      <c r="AE4" s="52">
        <v>24</v>
      </c>
      <c r="AF4" s="52">
        <v>25</v>
      </c>
    </row>
    <row r="5" spans="2:32">
      <c r="B5" s="76">
        <v>1</v>
      </c>
      <c r="C5" s="77" t="s">
        <v>485</v>
      </c>
      <c r="D5" s="78">
        <f ca="1">SUM(F5:AF5)</f>
        <v>84807.117550625771</v>
      </c>
      <c r="E5" s="56" t="s">
        <v>111</v>
      </c>
      <c r="F5" s="55">
        <f t="shared" ref="F5:AF5" si="0">SUM(F6:F11)</f>
        <v>0</v>
      </c>
      <c r="G5" s="55">
        <f t="shared" si="0"/>
        <v>0</v>
      </c>
      <c r="H5" s="55">
        <f t="shared" ca="1" si="0"/>
        <v>3384.27936</v>
      </c>
      <c r="I5" s="55">
        <f t="shared" ca="1" si="0"/>
        <v>3369.0501028799999</v>
      </c>
      <c r="J5" s="55">
        <f t="shared" ca="1" si="0"/>
        <v>3353.8893774170401</v>
      </c>
      <c r="K5" s="55">
        <f t="shared" ca="1" si="0"/>
        <v>3338.7968752186598</v>
      </c>
      <c r="L5" s="55">
        <f t="shared" ca="1" si="0"/>
        <v>3323.7722892801798</v>
      </c>
      <c r="M5" s="55">
        <f t="shared" ca="1" si="0"/>
        <v>3472.0213354188299</v>
      </c>
      <c r="N5" s="55">
        <f t="shared" ca="1" si="0"/>
        <v>3456.3972394094499</v>
      </c>
      <c r="O5" s="55">
        <f t="shared" ca="1" si="0"/>
        <v>3440.8434518321101</v>
      </c>
      <c r="P5" s="55">
        <f t="shared" ca="1" si="0"/>
        <v>3425.35965629886</v>
      </c>
      <c r="Q5" s="55">
        <f t="shared" ca="1" si="0"/>
        <v>3409.94553784552</v>
      </c>
      <c r="R5" s="55">
        <f t="shared" ca="1" si="0"/>
        <v>3394.6007829252098</v>
      </c>
      <c r="S5" s="55">
        <f t="shared" ca="1" si="0"/>
        <v>3379.3250794020501</v>
      </c>
      <c r="T5" s="55">
        <f t="shared" ca="1" si="0"/>
        <v>3364.1181165447401</v>
      </c>
      <c r="U5" s="55">
        <f t="shared" ca="1" si="0"/>
        <v>3348.97958502029</v>
      </c>
      <c r="V5" s="55">
        <f t="shared" ca="1" si="0"/>
        <v>3333.9091768877001</v>
      </c>
      <c r="W5" s="55">
        <f t="shared" ca="1" si="0"/>
        <v>3318.9065855917001</v>
      </c>
      <c r="X5" s="55">
        <f t="shared" ca="1" si="0"/>
        <v>3303.9715059565401</v>
      </c>
      <c r="Y5" s="55">
        <f t="shared" ca="1" si="0"/>
        <v>3289.1036341797399</v>
      </c>
      <c r="Z5" s="55">
        <f t="shared" ca="1" si="0"/>
        <v>3274.3026678259298</v>
      </c>
      <c r="AA5" s="55">
        <f t="shared" ca="1" si="0"/>
        <v>3259.5683058207101</v>
      </c>
      <c r="AB5" s="55">
        <f t="shared" ca="1" si="0"/>
        <v>3244.90024844452</v>
      </c>
      <c r="AC5" s="55">
        <f t="shared" ca="1" si="0"/>
        <v>3230.29819732652</v>
      </c>
      <c r="AD5" s="55">
        <f t="shared" ca="1" si="0"/>
        <v>3215.7618554385499</v>
      </c>
      <c r="AE5" s="55">
        <f t="shared" ca="1" si="0"/>
        <v>3201.29092708908</v>
      </c>
      <c r="AF5" s="55">
        <f t="shared" ca="1" si="0"/>
        <v>4673.725656571828</v>
      </c>
    </row>
    <row r="6" spans="2:32" s="73" customFormat="1">
      <c r="B6" s="79">
        <v>1.1000000000000001</v>
      </c>
      <c r="C6" s="80" t="s">
        <v>486</v>
      </c>
      <c r="D6" s="81">
        <f>SUM(F6:AF6)</f>
        <v>83320.277011971106</v>
      </c>
      <c r="E6" s="66" t="s">
        <v>111</v>
      </c>
      <c r="F6" s="68"/>
      <c r="G6" s="68"/>
      <c r="H6" s="68">
        <f>('表4-收入税金表'!H6+'表4-收入税金表'!H24)</f>
        <v>3384.27936</v>
      </c>
      <c r="I6" s="68">
        <f>('表4-收入税金表'!I6+'表4-收入税金表'!I24)</f>
        <v>3369.0501028799999</v>
      </c>
      <c r="J6" s="68">
        <f>('表4-收入税金表'!J6+'表4-收入税金表'!J24)</f>
        <v>3353.8893774170401</v>
      </c>
      <c r="K6" s="68">
        <f>('表4-收入税金表'!K6+'表4-收入税金表'!K24)</f>
        <v>3338.7968752186598</v>
      </c>
      <c r="L6" s="68">
        <f>('表4-收入税金表'!L6+'表4-收入税金表'!L24)</f>
        <v>3323.7722892801798</v>
      </c>
      <c r="M6" s="68">
        <f>('表4-收入税金表'!M6+'表4-收入税金表'!M24)</f>
        <v>3472.0213354188299</v>
      </c>
      <c r="N6" s="68">
        <f>('表4-收入税金表'!N6+'表4-收入税金表'!N24)</f>
        <v>3456.3972394094499</v>
      </c>
      <c r="O6" s="68">
        <f>('表4-收入税金表'!O6+'表4-收入税金表'!O24)</f>
        <v>3440.8434518321101</v>
      </c>
      <c r="P6" s="68">
        <f>('表4-收入税金表'!P6+'表4-收入税金表'!P24)</f>
        <v>3425.35965629886</v>
      </c>
      <c r="Q6" s="68">
        <f>('表4-收入税金表'!Q6+'表4-收入税金表'!Q24)</f>
        <v>3409.94553784552</v>
      </c>
      <c r="R6" s="68">
        <f>('表4-收入税金表'!R6+'表4-收入税金表'!R24)</f>
        <v>3394.6007829252098</v>
      </c>
      <c r="S6" s="68">
        <f>('表4-收入税金表'!S6+'表4-收入税金表'!S24)</f>
        <v>3379.3250794020501</v>
      </c>
      <c r="T6" s="68">
        <f>('表4-收入税金表'!T6+'表4-收入税金表'!T24)</f>
        <v>3364.1181165447401</v>
      </c>
      <c r="U6" s="68">
        <f>('表4-收入税金表'!U6+'表4-收入税金表'!U24)</f>
        <v>3348.97958502029</v>
      </c>
      <c r="V6" s="68">
        <f>('表4-收入税金表'!V6+'表4-收入税金表'!V24)</f>
        <v>3333.9091768877001</v>
      </c>
      <c r="W6" s="68">
        <f>('表4-收入税金表'!W6+'表4-收入税金表'!W24)</f>
        <v>3318.9065855917001</v>
      </c>
      <c r="X6" s="68">
        <f>('表4-收入税金表'!X6+'表4-收入税金表'!X24)</f>
        <v>3303.9715059565401</v>
      </c>
      <c r="Y6" s="68">
        <f>('表4-收入税金表'!Y6+'表4-收入税金表'!Y24)</f>
        <v>3289.1036341797399</v>
      </c>
      <c r="Z6" s="68">
        <f>('表4-收入税金表'!Z6+'表4-收入税金表'!Z24)</f>
        <v>3274.3026678259298</v>
      </c>
      <c r="AA6" s="68">
        <f>('表4-收入税金表'!AA6+'表4-收入税金表'!AA24)</f>
        <v>3259.5683058207101</v>
      </c>
      <c r="AB6" s="68">
        <f>('表4-收入税金表'!AB6+'表4-收入税金表'!AB24)</f>
        <v>3244.90024844452</v>
      </c>
      <c r="AC6" s="68">
        <f>('表4-收入税金表'!AC6+'表4-收入税金表'!AC24)</f>
        <v>3230.29819732652</v>
      </c>
      <c r="AD6" s="68">
        <f>('表4-收入税金表'!AD6+'表4-收入税金表'!AD24)</f>
        <v>3215.7618554385499</v>
      </c>
      <c r="AE6" s="68">
        <f>('表4-收入税金表'!AE6+'表4-收入税金表'!AE24)</f>
        <v>3201.29092708908</v>
      </c>
      <c r="AF6" s="68">
        <f>('表4-收入税金表'!AF6+'表4-收入税金表'!AF24)</f>
        <v>3186.8851179171802</v>
      </c>
    </row>
    <row r="7" spans="2:32">
      <c r="B7" s="82">
        <v>1.2</v>
      </c>
      <c r="C7" s="83" t="s">
        <v>260</v>
      </c>
      <c r="D7" s="84">
        <f t="shared" ref="D7:D23" si="1">SUM(F7:AF7)</f>
        <v>0</v>
      </c>
      <c r="E7" s="56" t="s">
        <v>111</v>
      </c>
      <c r="F7" s="59"/>
      <c r="G7" s="59"/>
      <c r="H7" s="59">
        <f>('表4-收入税金表'!H16+'表4-收入税金表'!H25)</f>
        <v>0</v>
      </c>
      <c r="I7" s="59">
        <f>('表4-收入税金表'!I16+'表4-收入税金表'!I25)</f>
        <v>0</v>
      </c>
      <c r="J7" s="59">
        <f>('表4-收入税金表'!J16+'表4-收入税金表'!J25)</f>
        <v>0</v>
      </c>
      <c r="K7" s="59">
        <f>('表4-收入税金表'!K16+'表4-收入税金表'!K25)</f>
        <v>0</v>
      </c>
      <c r="L7" s="59">
        <f>('表4-收入税金表'!L16+'表4-收入税金表'!L25)</f>
        <v>0</v>
      </c>
      <c r="M7" s="59">
        <f>('表4-收入税金表'!M16+'表4-收入税金表'!M25)</f>
        <v>0</v>
      </c>
      <c r="N7" s="59">
        <f>('表4-收入税金表'!N16+'表4-收入税金表'!N25)</f>
        <v>0</v>
      </c>
      <c r="O7" s="59">
        <f>('表4-收入税金表'!O16+'表4-收入税金表'!O25)</f>
        <v>0</v>
      </c>
      <c r="P7" s="59">
        <f>('表4-收入税金表'!P16+'表4-收入税金表'!P25)</f>
        <v>0</v>
      </c>
      <c r="Q7" s="59">
        <f>('表4-收入税金表'!Q16+'表4-收入税金表'!Q25)</f>
        <v>0</v>
      </c>
      <c r="R7" s="59">
        <f>('表4-收入税金表'!R16+'表4-收入税金表'!R25)</f>
        <v>0</v>
      </c>
      <c r="S7" s="59">
        <f>('表4-收入税金表'!S16+'表4-收入税金表'!S25)</f>
        <v>0</v>
      </c>
      <c r="T7" s="59">
        <f>('表4-收入税金表'!T16+'表4-收入税金表'!T25)</f>
        <v>0</v>
      </c>
      <c r="U7" s="59">
        <f>('表4-收入税金表'!U16+'表4-收入税金表'!U25)</f>
        <v>0</v>
      </c>
      <c r="V7" s="59">
        <f>('表4-收入税金表'!V16+'表4-收入税金表'!V25)</f>
        <v>0</v>
      </c>
      <c r="W7" s="59">
        <f>('表4-收入税金表'!W16+'表4-收入税金表'!W25)</f>
        <v>0</v>
      </c>
      <c r="X7" s="59">
        <f>('表4-收入税金表'!X16+'表4-收入税金表'!X25)</f>
        <v>0</v>
      </c>
      <c r="Y7" s="59">
        <f>('表4-收入税金表'!Y16+'表4-收入税金表'!Y25)</f>
        <v>0</v>
      </c>
      <c r="Z7" s="59">
        <f>('表4-收入税金表'!Z16+'表4-收入税金表'!Z25)</f>
        <v>0</v>
      </c>
      <c r="AA7" s="59">
        <f>('表4-收入税金表'!AA16+'表4-收入税金表'!AA25)</f>
        <v>0</v>
      </c>
      <c r="AB7" s="59">
        <f>('表4-收入税金表'!AB16+'表4-收入税金表'!AB25)</f>
        <v>0</v>
      </c>
      <c r="AC7" s="59">
        <f>('表4-收入税金表'!AC16+'表4-收入税金表'!AC25)</f>
        <v>0</v>
      </c>
      <c r="AD7" s="59">
        <f>('表4-收入税金表'!AD16+'表4-收入税金表'!AD25)</f>
        <v>0</v>
      </c>
      <c r="AE7" s="59">
        <f>('表4-收入税金表'!AE16+'表4-收入税金表'!AE25)</f>
        <v>0</v>
      </c>
      <c r="AF7" s="59">
        <f>('表4-收入税金表'!AF16+'表4-收入税金表'!AF25)</f>
        <v>0</v>
      </c>
    </row>
    <row r="8" spans="2:32">
      <c r="B8" s="82">
        <v>1.3</v>
      </c>
      <c r="C8" s="83" t="s">
        <v>419</v>
      </c>
      <c r="D8" s="84">
        <f t="shared" si="1"/>
        <v>0</v>
      </c>
      <c r="E8" s="56" t="s">
        <v>111</v>
      </c>
      <c r="F8" s="59"/>
      <c r="G8" s="59"/>
      <c r="H8" s="59">
        <f>参数输入表!H303</f>
        <v>0</v>
      </c>
      <c r="I8" s="59"/>
      <c r="J8" s="59"/>
      <c r="K8" s="59"/>
      <c r="L8" s="59"/>
      <c r="M8" s="59"/>
      <c r="N8" s="59"/>
      <c r="O8" s="59"/>
      <c r="P8" s="59"/>
      <c r="Q8" s="59"/>
      <c r="R8" s="59"/>
      <c r="S8" s="59"/>
      <c r="T8" s="59"/>
      <c r="U8" s="59"/>
      <c r="V8" s="59"/>
      <c r="W8" s="59"/>
      <c r="X8" s="59"/>
      <c r="Y8" s="59"/>
      <c r="Z8" s="59"/>
      <c r="AA8" s="59"/>
      <c r="AB8" s="59"/>
      <c r="AC8" s="59"/>
      <c r="AD8" s="59"/>
      <c r="AE8" s="59"/>
      <c r="AF8" s="59"/>
    </row>
    <row r="9" spans="2:32">
      <c r="B9" s="82">
        <v>1.4</v>
      </c>
      <c r="C9" s="83" t="s">
        <v>487</v>
      </c>
      <c r="D9" s="84">
        <f t="shared" ca="1" si="1"/>
        <v>1246.8405386546478</v>
      </c>
      <c r="E9" s="56" t="s">
        <v>111</v>
      </c>
      <c r="F9" s="59"/>
      <c r="G9" s="59"/>
      <c r="H9" s="59">
        <v>0</v>
      </c>
      <c r="I9" s="59">
        <v>0</v>
      </c>
      <c r="J9" s="59">
        <v>0</v>
      </c>
      <c r="K9" s="59">
        <v>0</v>
      </c>
      <c r="L9" s="59">
        <v>0</v>
      </c>
      <c r="M9" s="59">
        <v>0</v>
      </c>
      <c r="N9" s="59">
        <v>0</v>
      </c>
      <c r="O9" s="59">
        <v>0</v>
      </c>
      <c r="P9" s="59">
        <v>0</v>
      </c>
      <c r="Q9" s="59">
        <v>0</v>
      </c>
      <c r="R9" s="59">
        <v>0</v>
      </c>
      <c r="S9" s="59">
        <v>0</v>
      </c>
      <c r="T9" s="59">
        <v>0</v>
      </c>
      <c r="U9" s="59">
        <v>0</v>
      </c>
      <c r="V9" s="59">
        <v>0</v>
      </c>
      <c r="W9" s="59">
        <v>0</v>
      </c>
      <c r="X9" s="59">
        <v>0</v>
      </c>
      <c r="Y9" s="59">
        <v>0</v>
      </c>
      <c r="Z9" s="59">
        <v>0</v>
      </c>
      <c r="AA9" s="59">
        <v>0</v>
      </c>
      <c r="AB9" s="59">
        <v>0</v>
      </c>
      <c r="AC9" s="59">
        <v>0</v>
      </c>
      <c r="AD9" s="59">
        <v>0</v>
      </c>
      <c r="AE9" s="59">
        <v>0</v>
      </c>
      <c r="AF9" s="59">
        <f ca="1">'表6-现金流量表-资本金'!AF10</f>
        <v>1246.8405386546478</v>
      </c>
    </row>
    <row r="10" spans="2:32">
      <c r="B10" s="82">
        <v>1.5</v>
      </c>
      <c r="C10" s="83" t="s">
        <v>488</v>
      </c>
      <c r="D10" s="84">
        <f t="shared" si="1"/>
        <v>240</v>
      </c>
      <c r="E10" s="56" t="s">
        <v>111</v>
      </c>
      <c r="F10" s="59"/>
      <c r="G10" s="59"/>
      <c r="H10" s="59">
        <v>0</v>
      </c>
      <c r="I10" s="59"/>
      <c r="J10" s="59"/>
      <c r="K10" s="59"/>
      <c r="L10" s="59"/>
      <c r="M10" s="59"/>
      <c r="N10" s="59"/>
      <c r="O10" s="59"/>
      <c r="P10" s="59"/>
      <c r="Q10" s="59"/>
      <c r="R10" s="59"/>
      <c r="S10" s="59"/>
      <c r="T10" s="59"/>
      <c r="U10" s="59"/>
      <c r="V10" s="59"/>
      <c r="W10" s="59"/>
      <c r="X10" s="59"/>
      <c r="Y10" s="59"/>
      <c r="Z10" s="59"/>
      <c r="AA10" s="59"/>
      <c r="AB10" s="59"/>
      <c r="AC10" s="59"/>
      <c r="AD10" s="59"/>
      <c r="AE10" s="59"/>
      <c r="AF10" s="59">
        <f>'表1-资金筹措及还本付息表'!H6</f>
        <v>240</v>
      </c>
    </row>
    <row r="11" spans="2:32">
      <c r="B11" s="82">
        <v>1.6</v>
      </c>
      <c r="C11" s="83" t="s">
        <v>420</v>
      </c>
      <c r="D11" s="84">
        <f t="shared" ca="1" si="1"/>
        <v>0</v>
      </c>
      <c r="E11" s="56" t="s">
        <v>111</v>
      </c>
      <c r="F11" s="59"/>
      <c r="G11" s="59"/>
      <c r="H11" s="59">
        <f ca="1">'表4-收入税金表'!H19</f>
        <v>0</v>
      </c>
      <c r="I11" s="59">
        <f ca="1">'表4-收入税金表'!I19</f>
        <v>0</v>
      </c>
      <c r="J11" s="59">
        <f ca="1">'表4-收入税金表'!J19</f>
        <v>0</v>
      </c>
      <c r="K11" s="59">
        <f ca="1">'表4-收入税金表'!K19</f>
        <v>0</v>
      </c>
      <c r="L11" s="59">
        <f ca="1">'表4-收入税金表'!L19</f>
        <v>0</v>
      </c>
      <c r="M11" s="59">
        <f ca="1">'表4-收入税金表'!M19</f>
        <v>0</v>
      </c>
      <c r="N11" s="59">
        <f ca="1">'表4-收入税金表'!N19</f>
        <v>0</v>
      </c>
      <c r="O11" s="59">
        <f ca="1">'表4-收入税金表'!O19</f>
        <v>0</v>
      </c>
      <c r="P11" s="59">
        <f ca="1">'表4-收入税金表'!P19</f>
        <v>0</v>
      </c>
      <c r="Q11" s="59">
        <f ca="1">'表4-收入税金表'!Q19</f>
        <v>0</v>
      </c>
      <c r="R11" s="59">
        <f ca="1">'表4-收入税金表'!R19</f>
        <v>0</v>
      </c>
      <c r="S11" s="59">
        <f ca="1">'表4-收入税金表'!S19</f>
        <v>0</v>
      </c>
      <c r="T11" s="59">
        <f ca="1">'表4-收入税金表'!T19</f>
        <v>0</v>
      </c>
      <c r="U11" s="59">
        <f ca="1">'表4-收入税金表'!U19</f>
        <v>0</v>
      </c>
      <c r="V11" s="59">
        <f ca="1">'表4-收入税金表'!V19</f>
        <v>0</v>
      </c>
      <c r="W11" s="59">
        <f ca="1">'表4-收入税金表'!W19</f>
        <v>0</v>
      </c>
      <c r="X11" s="59">
        <f ca="1">'表4-收入税金表'!X19</f>
        <v>0</v>
      </c>
      <c r="Y11" s="59">
        <f ca="1">'表4-收入税金表'!Y19</f>
        <v>0</v>
      </c>
      <c r="Z11" s="59">
        <f ca="1">'表4-收入税金表'!Z19</f>
        <v>0</v>
      </c>
      <c r="AA11" s="59">
        <f ca="1">'表4-收入税金表'!AA19</f>
        <v>0</v>
      </c>
      <c r="AB11" s="59">
        <f ca="1">'表4-收入税金表'!AB19</f>
        <v>0</v>
      </c>
      <c r="AC11" s="59">
        <f ca="1">'表4-收入税金表'!AC19</f>
        <v>0</v>
      </c>
      <c r="AD11" s="59">
        <f ca="1">'表4-收入税金表'!AD19</f>
        <v>0</v>
      </c>
      <c r="AE11" s="59">
        <f ca="1">'表4-收入税金表'!AE19</f>
        <v>0</v>
      </c>
      <c r="AF11" s="59">
        <f ca="1">'表4-收入税金表'!AF19</f>
        <v>0</v>
      </c>
    </row>
    <row r="12" spans="2:32">
      <c r="B12" s="76">
        <v>2</v>
      </c>
      <c r="C12" s="77" t="s">
        <v>489</v>
      </c>
      <c r="D12" s="78">
        <f t="shared" ca="1" si="1"/>
        <v>51975.67763106068</v>
      </c>
      <c r="E12" s="56" t="s">
        <v>111</v>
      </c>
      <c r="F12" s="55">
        <f>SUM(F13:F19)</f>
        <v>26700</v>
      </c>
      <c r="G12" s="55">
        <f t="shared" ref="G12:AF12" si="2">SUM(G13:G19)</f>
        <v>0</v>
      </c>
      <c r="H12" s="55">
        <f t="shared" ca="1" si="2"/>
        <v>807.93794238016551</v>
      </c>
      <c r="I12" s="55">
        <f t="shared" ca="1" si="2"/>
        <v>567.93794238016551</v>
      </c>
      <c r="J12" s="55">
        <f t="shared" ca="1" si="2"/>
        <v>567.93794238016551</v>
      </c>
      <c r="K12" s="55">
        <f t="shared" ca="1" si="2"/>
        <v>567.93794238016551</v>
      </c>
      <c r="L12" s="55">
        <f t="shared" ca="1" si="2"/>
        <v>567.93794238016551</v>
      </c>
      <c r="M12" s="55">
        <f t="shared" ca="1" si="2"/>
        <v>619.19580473025451</v>
      </c>
      <c r="N12" s="55">
        <f t="shared" ca="1" si="2"/>
        <v>793.10215263217322</v>
      </c>
      <c r="O12" s="55">
        <f t="shared" ca="1" si="2"/>
        <v>1062.5469610017185</v>
      </c>
      <c r="P12" s="55">
        <f t="shared" ca="1" si="2"/>
        <v>1060.5518807984972</v>
      </c>
      <c r="Q12" s="55">
        <f t="shared" ca="1" si="2"/>
        <v>1058.5657784561904</v>
      </c>
      <c r="R12" s="55">
        <f t="shared" ca="1" si="2"/>
        <v>1525.998688313892</v>
      </c>
      <c r="S12" s="55">
        <f t="shared" ca="1" si="2"/>
        <v>1105.8782082847124</v>
      </c>
      <c r="T12" s="55">
        <f t="shared" ca="1" si="2"/>
        <v>1103.918797849293</v>
      </c>
      <c r="U12" s="55">
        <f t="shared" ca="1" si="2"/>
        <v>1101.9682047608333</v>
      </c>
      <c r="V12" s="55">
        <f t="shared" ca="1" si="2"/>
        <v>1100.0263893412705</v>
      </c>
      <c r="W12" s="55">
        <f t="shared" ca="1" si="2"/>
        <v>1149.3511744411849</v>
      </c>
      <c r="X12" s="55">
        <f t="shared" ca="1" si="2"/>
        <v>1147.4267960386371</v>
      </c>
      <c r="Y12" s="55">
        <f t="shared" ca="1" si="2"/>
        <v>1145.511077338899</v>
      </c>
      <c r="Z12" s="55">
        <f t="shared" ca="1" si="2"/>
        <v>1143.6039793733116</v>
      </c>
      <c r="AA12" s="55">
        <f t="shared" ca="1" si="2"/>
        <v>1141.7054633485682</v>
      </c>
      <c r="AB12" s="55">
        <f t="shared" ca="1" si="2"/>
        <v>1191.0733529960264</v>
      </c>
      <c r="AC12" s="55">
        <f t="shared" ca="1" si="2"/>
        <v>1189.1918851705559</v>
      </c>
      <c r="AD12" s="55">
        <f t="shared" ca="1" si="2"/>
        <v>1187.3188839503009</v>
      </c>
      <c r="AE12" s="55">
        <f t="shared" ca="1" si="2"/>
        <v>1185.4543112355375</v>
      </c>
      <c r="AF12" s="55">
        <f t="shared" ca="1" si="2"/>
        <v>1183.5981290979889</v>
      </c>
    </row>
    <row r="13" spans="2:32">
      <c r="B13" s="82">
        <v>2.1</v>
      </c>
      <c r="C13" s="83" t="s">
        <v>519</v>
      </c>
      <c r="D13" s="84">
        <f t="shared" si="1"/>
        <v>26700</v>
      </c>
      <c r="E13" s="56" t="s">
        <v>111</v>
      </c>
      <c r="F13" s="59">
        <f>'表1-资金筹措及还本付息表'!F7</f>
        <v>26700</v>
      </c>
      <c r="G13" s="59">
        <f>'表1-资金筹措及还本付息表'!G7</f>
        <v>0</v>
      </c>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row>
    <row r="14" spans="2:32">
      <c r="B14" s="82">
        <v>2.2000000000000002</v>
      </c>
      <c r="C14" s="83" t="s">
        <v>29</v>
      </c>
      <c r="D14" s="84">
        <f t="shared" si="1"/>
        <v>240</v>
      </c>
      <c r="E14" s="56" t="s">
        <v>111</v>
      </c>
      <c r="F14" s="59"/>
      <c r="G14" s="59"/>
      <c r="H14" s="59">
        <f>参数输入表!H118</f>
        <v>240</v>
      </c>
      <c r="I14" s="59"/>
      <c r="J14" s="59"/>
      <c r="K14" s="59"/>
      <c r="L14" s="59"/>
      <c r="M14" s="59"/>
      <c r="N14" s="59"/>
      <c r="O14" s="59"/>
      <c r="P14" s="59"/>
      <c r="Q14" s="59"/>
      <c r="R14" s="59"/>
      <c r="S14" s="59"/>
      <c r="T14" s="59"/>
      <c r="U14" s="59"/>
      <c r="V14" s="59"/>
      <c r="W14" s="59"/>
      <c r="X14" s="59"/>
      <c r="Y14" s="59"/>
      <c r="Z14" s="59"/>
      <c r="AA14" s="59"/>
      <c r="AB14" s="59"/>
      <c r="AC14" s="59"/>
      <c r="AD14" s="59"/>
      <c r="AE14" s="59"/>
      <c r="AF14" s="59"/>
    </row>
    <row r="15" spans="2:32" s="73" customFormat="1">
      <c r="B15" s="79">
        <v>2.2999999999999998</v>
      </c>
      <c r="C15" s="80" t="s">
        <v>498</v>
      </c>
      <c r="D15" s="81">
        <f t="shared" ca="1" si="1"/>
        <v>16761.341677008568</v>
      </c>
      <c r="E15" s="66" t="s">
        <v>111</v>
      </c>
      <c r="F15" s="68"/>
      <c r="G15" s="68"/>
      <c r="H15" s="68">
        <f ca="1">'表3-成本费用表'!H48+'表4-收入税金表'!H28</f>
        <v>567.93794238016551</v>
      </c>
      <c r="I15" s="68">
        <f ca="1">'表3-成本费用表'!I48+'表4-收入税金表'!I28</f>
        <v>567.93794238016551</v>
      </c>
      <c r="J15" s="68">
        <f ca="1">'表3-成本费用表'!J48+'表4-收入税金表'!J28</f>
        <v>567.93794238016551</v>
      </c>
      <c r="K15" s="68">
        <f ca="1">'表3-成本费用表'!K48+'表4-收入税金表'!K28</f>
        <v>567.93794238016551</v>
      </c>
      <c r="L15" s="68">
        <f ca="1">'表3-成本费用表'!L48+'表4-收入税金表'!L28</f>
        <v>567.93794238016551</v>
      </c>
      <c r="M15" s="68">
        <f ca="1">'表3-成本费用表'!M48+'表4-收入税金表'!M28</f>
        <v>619.19580473025451</v>
      </c>
      <c r="N15" s="68">
        <f ca="1">'表3-成本费用表'!N48+'表4-收入税金表'!N28</f>
        <v>619.19580473025451</v>
      </c>
      <c r="O15" s="68">
        <f ca="1">'表3-成本费用表'!O48+'表4-收入税金表'!O28</f>
        <v>619.19580473025451</v>
      </c>
      <c r="P15" s="68">
        <f ca="1">'表3-成本费用表'!P48+'表4-收入税金表'!P28</f>
        <v>619.19580473025451</v>
      </c>
      <c r="Q15" s="68">
        <f ca="1">'表3-成本费用表'!Q48+'表4-收入税金表'!Q28</f>
        <v>619.19580473025451</v>
      </c>
      <c r="R15" s="68">
        <f ca="1">'表3-成本费用表'!R48+'表4-收入税金表'!R28</f>
        <v>670.4536670803426</v>
      </c>
      <c r="S15" s="68">
        <f ca="1">'表3-成本费用表'!S48+'表4-收入税金表'!S28</f>
        <v>670.4536670803426</v>
      </c>
      <c r="T15" s="68">
        <f ca="1">'表3-成本费用表'!T48+'表4-收入税金表'!T28</f>
        <v>670.4536670803426</v>
      </c>
      <c r="U15" s="68">
        <f ca="1">'表3-成本费用表'!U48+'表4-收入税金表'!U28</f>
        <v>670.4536670803426</v>
      </c>
      <c r="V15" s="68">
        <f ca="1">'表3-成本费用表'!V48+'表4-收入税金表'!V28</f>
        <v>670.4536670803426</v>
      </c>
      <c r="W15" s="68">
        <f ca="1">'表3-成本费用表'!W48+'表4-收入税金表'!W28</f>
        <v>721.71152943043057</v>
      </c>
      <c r="X15" s="68">
        <f ca="1">'表3-成本费用表'!X48+'表4-收入税金表'!X28</f>
        <v>721.71152943043057</v>
      </c>
      <c r="Y15" s="68">
        <f ca="1">'表3-成本费用表'!Y48+'表4-收入税金表'!Y28</f>
        <v>721.71152943043057</v>
      </c>
      <c r="Z15" s="68">
        <f ca="1">'表3-成本费用表'!Z48+'表4-收入税金表'!Z28</f>
        <v>721.71152943043057</v>
      </c>
      <c r="AA15" s="68">
        <f ca="1">'表3-成本费用表'!AA48+'表4-收入税金表'!AA28</f>
        <v>721.71152943043057</v>
      </c>
      <c r="AB15" s="68">
        <f ca="1">'表3-成本费用表'!AB48+'表4-收入税金表'!AB28</f>
        <v>772.96939178051957</v>
      </c>
      <c r="AC15" s="68">
        <f ca="1">'表3-成本费用表'!AC48+'表4-收入税金表'!AC28</f>
        <v>772.96939178051957</v>
      </c>
      <c r="AD15" s="68">
        <f ca="1">'表3-成本费用表'!AD48+'表4-收入税金表'!AD28</f>
        <v>772.96939178051957</v>
      </c>
      <c r="AE15" s="68">
        <f ca="1">'表3-成本费用表'!AE48+'表4-收入税金表'!AE28</f>
        <v>772.96939178051957</v>
      </c>
      <c r="AF15" s="68">
        <f ca="1">'表3-成本费用表'!AF48+'表4-收入税金表'!AF28</f>
        <v>772.96939178051957</v>
      </c>
    </row>
    <row r="16" spans="2:32">
      <c r="B16" s="82">
        <v>2.4</v>
      </c>
      <c r="C16" s="83" t="s">
        <v>246</v>
      </c>
      <c r="D16" s="84">
        <f t="shared" si="1"/>
        <v>0</v>
      </c>
      <c r="E16" s="56" t="s">
        <v>111</v>
      </c>
      <c r="F16" s="59"/>
      <c r="G16" s="59"/>
      <c r="H16" s="59">
        <f>'表3-成本费用表'!H62</f>
        <v>0</v>
      </c>
      <c r="I16" s="59">
        <f>'表3-成本费用表'!I62</f>
        <v>0</v>
      </c>
      <c r="J16" s="59">
        <f>'表3-成本费用表'!J62</f>
        <v>0</v>
      </c>
      <c r="K16" s="59">
        <f>'表3-成本费用表'!K62</f>
        <v>0</v>
      </c>
      <c r="L16" s="59">
        <f>'表3-成本费用表'!L62</f>
        <v>0</v>
      </c>
      <c r="M16" s="59">
        <f>'表3-成本费用表'!M62</f>
        <v>0</v>
      </c>
      <c r="N16" s="59">
        <f>'表3-成本费用表'!N62</f>
        <v>0</v>
      </c>
      <c r="O16" s="59">
        <f>'表3-成本费用表'!O62</f>
        <v>0</v>
      </c>
      <c r="P16" s="59">
        <f>'表3-成本费用表'!P62</f>
        <v>0</v>
      </c>
      <c r="Q16" s="59">
        <f>'表3-成本费用表'!Q62</f>
        <v>0</v>
      </c>
      <c r="R16" s="59">
        <f>'表3-成本费用表'!R62</f>
        <v>0</v>
      </c>
      <c r="S16" s="59">
        <f>'表3-成本费用表'!S62</f>
        <v>0</v>
      </c>
      <c r="T16" s="59">
        <f>'表3-成本费用表'!T62</f>
        <v>0</v>
      </c>
      <c r="U16" s="59">
        <f>'表3-成本费用表'!U62</f>
        <v>0</v>
      </c>
      <c r="V16" s="59">
        <f>'表3-成本费用表'!V62</f>
        <v>0</v>
      </c>
      <c r="W16" s="59">
        <f>'表3-成本费用表'!W62</f>
        <v>0</v>
      </c>
      <c r="X16" s="59">
        <f>'表3-成本费用表'!X62</f>
        <v>0</v>
      </c>
      <c r="Y16" s="59">
        <f>'表3-成本费用表'!Y62</f>
        <v>0</v>
      </c>
      <c r="Z16" s="59">
        <f>'表3-成本费用表'!Z62</f>
        <v>0</v>
      </c>
      <c r="AA16" s="59">
        <f>'表3-成本费用表'!AA62</f>
        <v>0</v>
      </c>
      <c r="AB16" s="59">
        <f>'表3-成本费用表'!AB62</f>
        <v>0</v>
      </c>
      <c r="AC16" s="59">
        <f>'表3-成本费用表'!AC62</f>
        <v>0</v>
      </c>
      <c r="AD16" s="59">
        <f>'表3-成本费用表'!AD62</f>
        <v>0</v>
      </c>
      <c r="AE16" s="59">
        <f>'表3-成本费用表'!AE62</f>
        <v>0</v>
      </c>
      <c r="AF16" s="59">
        <f>'表3-成本费用表'!AF62</f>
        <v>0</v>
      </c>
    </row>
    <row r="17" spans="2:32">
      <c r="B17" s="82">
        <v>2.5</v>
      </c>
      <c r="C17" s="83" t="s">
        <v>499</v>
      </c>
      <c r="D17" s="84">
        <f t="shared" ca="1" si="1"/>
        <v>6959.2285304036695</v>
      </c>
      <c r="E17" s="56" t="s">
        <v>111</v>
      </c>
      <c r="F17" s="59"/>
      <c r="G17" s="59"/>
      <c r="H17" s="59">
        <f ca="1">'表4-收入税金表'!H22</f>
        <v>0</v>
      </c>
      <c r="I17" s="59">
        <f ca="1">'表4-收入税金表'!I22</f>
        <v>0</v>
      </c>
      <c r="J17" s="59">
        <f ca="1">'表4-收入税金表'!J22</f>
        <v>0</v>
      </c>
      <c r="K17" s="59">
        <f ca="1">'表4-收入税金表'!K22</f>
        <v>0</v>
      </c>
      <c r="L17" s="59">
        <f ca="1">'表4-收入税金表'!L22</f>
        <v>0</v>
      </c>
      <c r="M17" s="59">
        <f ca="1">'表4-收入税金表'!M22</f>
        <v>0</v>
      </c>
      <c r="N17" s="59">
        <f ca="1">'表4-收入税金表'!N22</f>
        <v>155.27352491242738</v>
      </c>
      <c r="O17" s="59">
        <f ca="1">'表4-收入税金表'!O22</f>
        <v>395.84924667094998</v>
      </c>
      <c r="P17" s="59">
        <f ca="1">'表4-收入税金表'!P22</f>
        <v>394.06792506093097</v>
      </c>
      <c r="Q17" s="59">
        <f ca="1">'表4-收入税金表'!Q22</f>
        <v>392.29461939815701</v>
      </c>
      <c r="R17" s="59">
        <f ca="1">'表4-收入税金表'!R22</f>
        <v>335.30805467281192</v>
      </c>
      <c r="S17" s="59">
        <f ca="1">'表4-收入税金表'!S22</f>
        <v>388.77191178961601</v>
      </c>
      <c r="T17" s="59">
        <f ca="1">'表4-收入税金表'!T22</f>
        <v>387.02243818656302</v>
      </c>
      <c r="U17" s="59">
        <f ca="1">'表4-收入税金表'!U22</f>
        <v>385.28083721472399</v>
      </c>
      <c r="V17" s="59">
        <f ca="1">'表4-收入税金表'!V22</f>
        <v>383.54707344725699</v>
      </c>
      <c r="W17" s="59">
        <f ca="1">'表4-收入税金表'!W22</f>
        <v>381.82111161674499</v>
      </c>
      <c r="X17" s="59">
        <f ca="1">'表4-收入税金表'!X22</f>
        <v>380.10291661447002</v>
      </c>
      <c r="Y17" s="59">
        <f ca="1">'表4-收入税金表'!Y22</f>
        <v>378.392453489704</v>
      </c>
      <c r="Z17" s="59">
        <f ca="1">'表4-收入税金表'!Z22</f>
        <v>376.68968744900098</v>
      </c>
      <c r="AA17" s="59">
        <f ca="1">'表4-收入税金表'!AA22</f>
        <v>374.99458385548002</v>
      </c>
      <c r="AB17" s="59">
        <f ca="1">'表4-收入税金表'!AB22</f>
        <v>373.30710822813103</v>
      </c>
      <c r="AC17" s="59">
        <f ca="1">'表4-收入税金表'!AC22</f>
        <v>371.62722624110398</v>
      </c>
      <c r="AD17" s="59">
        <f ca="1">'表4-收入税金表'!AD22</f>
        <v>369.95490372301902</v>
      </c>
      <c r="AE17" s="59">
        <f ca="1">'表4-收入税金表'!AE22</f>
        <v>368.290106656266</v>
      </c>
      <c r="AF17" s="59">
        <f ca="1">'表4-收入税金表'!AF22</f>
        <v>366.632801176312</v>
      </c>
    </row>
    <row r="18" spans="2:32">
      <c r="B18" s="82">
        <v>2.6</v>
      </c>
      <c r="C18" s="83" t="s">
        <v>457</v>
      </c>
      <c r="D18" s="84">
        <f t="shared" ca="1" si="1"/>
        <v>835.10742364844054</v>
      </c>
      <c r="E18" s="56" t="s">
        <v>111</v>
      </c>
      <c r="F18" s="59"/>
      <c r="G18" s="59"/>
      <c r="H18" s="59">
        <f ca="1">'表4-收入税金表'!H46+'表4-收入税金表'!H50</f>
        <v>0</v>
      </c>
      <c r="I18" s="59">
        <f ca="1">'表4-收入税金表'!I46+'表4-收入税金表'!I50</f>
        <v>0</v>
      </c>
      <c r="J18" s="59">
        <f ca="1">'表4-收入税金表'!J46+'表4-收入税金表'!J50</f>
        <v>0</v>
      </c>
      <c r="K18" s="59">
        <f ca="1">'表4-收入税金表'!K46+'表4-收入税金表'!K50</f>
        <v>0</v>
      </c>
      <c r="L18" s="59">
        <f ca="1">'表4-收入税金表'!L46+'表4-收入税金表'!L50</f>
        <v>0</v>
      </c>
      <c r="M18" s="59">
        <f ca="1">'表4-收入税金表'!M46+'表4-收入税金表'!M50</f>
        <v>0</v>
      </c>
      <c r="N18" s="59">
        <f ca="1">'表4-收入税金表'!N46+'表4-收入税金表'!N50</f>
        <v>18.632822989491284</v>
      </c>
      <c r="O18" s="59">
        <f ca="1">'表4-收入税金表'!O46+'表4-收入税金表'!O50</f>
        <v>47.501909600514004</v>
      </c>
      <c r="P18" s="59">
        <f ca="1">'表4-收入税金表'!P46+'表4-收入税金表'!P50</f>
        <v>47.288151007311718</v>
      </c>
      <c r="Q18" s="59">
        <f ca="1">'表4-收入税金表'!Q46+'表4-收入税金表'!Q50</f>
        <v>47.075354327778847</v>
      </c>
      <c r="R18" s="59">
        <f ca="1">'表4-收入税金表'!R46+'表4-收入税金表'!R50</f>
        <v>40.236966560737436</v>
      </c>
      <c r="S18" s="59">
        <f ca="1">'表4-收入税金表'!S46+'表4-收入税金表'!S50</f>
        <v>46.652629414753925</v>
      </c>
      <c r="T18" s="59">
        <f ca="1">'表4-收入税金表'!T46+'表4-收入税金表'!T50</f>
        <v>46.442692582387565</v>
      </c>
      <c r="U18" s="59">
        <f ca="1">'表4-收入税金表'!U46+'表4-收入税金表'!U50</f>
        <v>46.23370046576688</v>
      </c>
      <c r="V18" s="59">
        <f ca="1">'表4-收入税金表'!V46+'表4-收入税金表'!V50</f>
        <v>46.025648813670841</v>
      </c>
      <c r="W18" s="59">
        <f ca="1">'表4-收入税金表'!W46+'表4-收入税金表'!W50</f>
        <v>45.8185333940094</v>
      </c>
      <c r="X18" s="59">
        <f ca="1">'表4-收入税金表'!X46+'表4-收入税金表'!X50</f>
        <v>45.612349993736402</v>
      </c>
      <c r="Y18" s="59">
        <f ca="1">'表4-收入税金表'!Y46+'表4-收入税金表'!Y50</f>
        <v>45.40709441876448</v>
      </c>
      <c r="Z18" s="59">
        <f ca="1">'表4-收入税金表'!Z46+'表4-收入税金表'!Z50</f>
        <v>45.202762493880115</v>
      </c>
      <c r="AA18" s="59">
        <f ca="1">'表4-收入税金表'!AA46+'表4-收入税金表'!AA50</f>
        <v>44.999350062657605</v>
      </c>
      <c r="AB18" s="59">
        <f ca="1">'表4-收入税金表'!AB46+'表4-收入税金表'!AB50</f>
        <v>44.796852987375722</v>
      </c>
      <c r="AC18" s="59">
        <f ca="1">'表4-收入税金表'!AC46+'表4-收入税金表'!AC50</f>
        <v>44.595267148932479</v>
      </c>
      <c r="AD18" s="59">
        <f ca="1">'表4-收入税金表'!AD46+'表4-收入税金表'!AD50</f>
        <v>44.394588446762285</v>
      </c>
      <c r="AE18" s="59">
        <f ca="1">'表4-收入税金表'!AE46+'表4-收入税金表'!AE50</f>
        <v>44.194812798751926</v>
      </c>
      <c r="AF18" s="59">
        <f ca="1">'表4-收入税金表'!AF46+'表4-收入税金表'!AF50</f>
        <v>43.995936141157443</v>
      </c>
    </row>
    <row r="19" spans="2:32">
      <c r="B19" s="82">
        <v>2.7</v>
      </c>
      <c r="C19" s="83" t="s">
        <v>500</v>
      </c>
      <c r="D19" s="84">
        <f t="shared" si="1"/>
        <v>480</v>
      </c>
      <c r="E19" s="56" t="s">
        <v>111</v>
      </c>
      <c r="F19" s="59"/>
      <c r="G19" s="59"/>
      <c r="H19" s="59">
        <f>'表6-现金流量表-资本金'!H26</f>
        <v>0</v>
      </c>
      <c r="I19" s="59">
        <f>'表6-现金流量表-资本金'!I26</f>
        <v>0</v>
      </c>
      <c r="J19" s="59">
        <f>'表6-现金流量表-资本金'!J26</f>
        <v>0</v>
      </c>
      <c r="K19" s="59">
        <f>'表6-现金流量表-资本金'!K26</f>
        <v>0</v>
      </c>
      <c r="L19" s="59">
        <f>'表6-现金流量表-资本金'!L26</f>
        <v>0</v>
      </c>
      <c r="M19" s="59">
        <f>'表6-现金流量表-资本金'!M26</f>
        <v>0</v>
      </c>
      <c r="N19" s="59">
        <f>'表6-现金流量表-资本金'!N26</f>
        <v>0</v>
      </c>
      <c r="O19" s="59">
        <f>'表6-现金流量表-资本金'!O26</f>
        <v>0</v>
      </c>
      <c r="P19" s="59">
        <f>'表6-现金流量表-资本金'!P26</f>
        <v>0</v>
      </c>
      <c r="Q19" s="59">
        <f>'表6-现金流量表-资本金'!Q26</f>
        <v>0</v>
      </c>
      <c r="R19" s="59">
        <f>'表6-现金流量表-资本金'!R26</f>
        <v>480</v>
      </c>
      <c r="S19" s="59">
        <f>'表6-现金流量表-资本金'!S26</f>
        <v>0</v>
      </c>
      <c r="T19" s="59">
        <f>'表6-现金流量表-资本金'!T26</f>
        <v>0</v>
      </c>
      <c r="U19" s="59">
        <f>'表6-现金流量表-资本金'!U26</f>
        <v>0</v>
      </c>
      <c r="V19" s="59">
        <f>'表6-现金流量表-资本金'!V26</f>
        <v>0</v>
      </c>
      <c r="W19" s="59">
        <f>'表6-现金流量表-资本金'!W26</f>
        <v>0</v>
      </c>
      <c r="X19" s="59">
        <f>'表6-现金流量表-资本金'!X26</f>
        <v>0</v>
      </c>
      <c r="Y19" s="59">
        <f>'表6-现金流量表-资本金'!Y26</f>
        <v>0</v>
      </c>
      <c r="Z19" s="59">
        <f>'表6-现金流量表-资本金'!Z26</f>
        <v>0</v>
      </c>
      <c r="AA19" s="59">
        <f>'表6-现金流量表-资本金'!AA26</f>
        <v>0</v>
      </c>
      <c r="AB19" s="59">
        <f>'表6-现金流量表-资本金'!AB26</f>
        <v>0</v>
      </c>
      <c r="AC19" s="59">
        <f>'表6-现金流量表-资本金'!AC26</f>
        <v>0</v>
      </c>
      <c r="AD19" s="59">
        <f>'表6-现金流量表-资本金'!AD26</f>
        <v>0</v>
      </c>
      <c r="AE19" s="59">
        <f>'表6-现金流量表-资本金'!AE26</f>
        <v>0</v>
      </c>
      <c r="AF19" s="59">
        <f>'表6-现金流量表-资本金'!AF26</f>
        <v>0</v>
      </c>
    </row>
    <row r="20" spans="2:32">
      <c r="B20" s="76">
        <v>3</v>
      </c>
      <c r="C20" s="77" t="s">
        <v>501</v>
      </c>
      <c r="D20" s="78">
        <f t="shared" ca="1" si="1"/>
        <v>32831.439919565084</v>
      </c>
      <c r="E20" s="56" t="s">
        <v>111</v>
      </c>
      <c r="F20" s="55">
        <f t="shared" ref="F20:AF20" si="3">F5-F12</f>
        <v>-26700</v>
      </c>
      <c r="G20" s="55">
        <f t="shared" si="3"/>
        <v>0</v>
      </c>
      <c r="H20" s="55">
        <f t="shared" ca="1" si="3"/>
        <v>2576.3414176198344</v>
      </c>
      <c r="I20" s="55">
        <f t="shared" ca="1" si="3"/>
        <v>2801.1121604998343</v>
      </c>
      <c r="J20" s="55">
        <f t="shared" ca="1" si="3"/>
        <v>2785.9514350368745</v>
      </c>
      <c r="K20" s="55">
        <f t="shared" ca="1" si="3"/>
        <v>2770.8589328384942</v>
      </c>
      <c r="L20" s="55">
        <f t="shared" ca="1" si="3"/>
        <v>2755.8343469000142</v>
      </c>
      <c r="M20" s="55">
        <f t="shared" ca="1" si="3"/>
        <v>2852.8255306885753</v>
      </c>
      <c r="N20" s="55">
        <f t="shared" ca="1" si="3"/>
        <v>2663.2950867772765</v>
      </c>
      <c r="O20" s="55">
        <f t="shared" ca="1" si="3"/>
        <v>2378.2964908303916</v>
      </c>
      <c r="P20" s="55">
        <f t="shared" ca="1" si="3"/>
        <v>2364.8077755003628</v>
      </c>
      <c r="Q20" s="55">
        <f t="shared" ca="1" si="3"/>
        <v>2351.3797593893296</v>
      </c>
      <c r="R20" s="55">
        <f t="shared" ca="1" si="3"/>
        <v>1868.6020946113179</v>
      </c>
      <c r="S20" s="55">
        <f t="shared" ca="1" si="3"/>
        <v>2273.4468711173377</v>
      </c>
      <c r="T20" s="55">
        <f t="shared" ca="1" si="3"/>
        <v>2260.1993186954469</v>
      </c>
      <c r="U20" s="55">
        <f t="shared" ca="1" si="3"/>
        <v>2247.0113802594569</v>
      </c>
      <c r="V20" s="55">
        <f t="shared" ca="1" si="3"/>
        <v>2233.8827875464294</v>
      </c>
      <c r="W20" s="55">
        <f t="shared" ca="1" si="3"/>
        <v>2169.5554111505153</v>
      </c>
      <c r="X20" s="55">
        <f t="shared" ca="1" si="3"/>
        <v>2156.5447099179028</v>
      </c>
      <c r="Y20" s="55">
        <f t="shared" ca="1" si="3"/>
        <v>2143.5925568408411</v>
      </c>
      <c r="Z20" s="55">
        <f t="shared" ca="1" si="3"/>
        <v>2130.6986884526182</v>
      </c>
      <c r="AA20" s="55">
        <f t="shared" ca="1" si="3"/>
        <v>2117.8628424721419</v>
      </c>
      <c r="AB20" s="55">
        <f t="shared" ca="1" si="3"/>
        <v>2053.8268954484938</v>
      </c>
      <c r="AC20" s="55">
        <f t="shared" ca="1" si="3"/>
        <v>2041.1063121559641</v>
      </c>
      <c r="AD20" s="55">
        <f t="shared" ca="1" si="3"/>
        <v>2028.442971488249</v>
      </c>
      <c r="AE20" s="55">
        <f t="shared" ca="1" si="3"/>
        <v>2015.8366158535425</v>
      </c>
      <c r="AF20" s="55">
        <f t="shared" ca="1" si="3"/>
        <v>3490.1275274738391</v>
      </c>
    </row>
    <row r="21" spans="2:32">
      <c r="B21" s="76">
        <v>4</v>
      </c>
      <c r="C21" s="85" t="s">
        <v>502</v>
      </c>
      <c r="D21" s="54"/>
      <c r="E21" s="56" t="s">
        <v>111</v>
      </c>
      <c r="F21" s="55">
        <f>F20</f>
        <v>-26700</v>
      </c>
      <c r="G21" s="55">
        <f>F21+G20</f>
        <v>-26700</v>
      </c>
      <c r="H21" s="55">
        <f t="shared" ref="H21" ca="1" si="4">G21+H20</f>
        <v>-24123.658582380165</v>
      </c>
      <c r="I21" s="55">
        <f t="shared" ref="I21" ca="1" si="5">H21+I20</f>
        <v>-21322.546421880332</v>
      </c>
      <c r="J21" s="55">
        <f t="shared" ref="J21" ca="1" si="6">I21+J20</f>
        <v>-18536.594986843458</v>
      </c>
      <c r="K21" s="55">
        <f t="shared" ref="K21" ca="1" si="7">J21+K20</f>
        <v>-15765.736054004963</v>
      </c>
      <c r="L21" s="55">
        <f t="shared" ref="L21" ca="1" si="8">K21+L20</f>
        <v>-13009.901707104949</v>
      </c>
      <c r="M21" s="55">
        <f t="shared" ref="M21" ca="1" si="9">L21+M20</f>
        <v>-10157.076176416374</v>
      </c>
      <c r="N21" s="55">
        <f t="shared" ref="N21" ca="1" si="10">M21+N20</f>
        <v>-7493.7810896390984</v>
      </c>
      <c r="O21" s="55">
        <f t="shared" ref="O21" ca="1" si="11">N21+O20</f>
        <v>-5115.4845988087072</v>
      </c>
      <c r="P21" s="55">
        <f t="shared" ref="P21" ca="1" si="12">O21+P20</f>
        <v>-2750.6768233083444</v>
      </c>
      <c r="Q21" s="55">
        <f t="shared" ref="Q21" ca="1" si="13">P21+Q20</f>
        <v>-399.29706391901482</v>
      </c>
      <c r="R21" s="55">
        <f t="shared" ref="R21" ca="1" si="14">Q21+R20</f>
        <v>1469.305030692303</v>
      </c>
      <c r="S21" s="55">
        <f t="shared" ref="S21" ca="1" si="15">R21+S20</f>
        <v>3742.7519018096409</v>
      </c>
      <c r="T21" s="55">
        <f t="shared" ref="T21" ca="1" si="16">S21+T20</f>
        <v>6002.9512205050878</v>
      </c>
      <c r="U21" s="55">
        <f t="shared" ref="U21" ca="1" si="17">T21+U20</f>
        <v>8249.9626007645456</v>
      </c>
      <c r="V21" s="55">
        <f t="shared" ref="V21" ca="1" si="18">U21+V20</f>
        <v>10483.845388310976</v>
      </c>
      <c r="W21" s="55">
        <f t="shared" ref="W21" ca="1" si="19">V21+W20</f>
        <v>12653.400799461491</v>
      </c>
      <c r="X21" s="55">
        <f t="shared" ref="X21" ca="1" si="20">W21+X20</f>
        <v>14809.945509379395</v>
      </c>
      <c r="Y21" s="55">
        <f t="shared" ref="Y21" ca="1" si="21">X21+Y20</f>
        <v>16953.538066220237</v>
      </c>
      <c r="Z21" s="55">
        <f t="shared" ref="Z21" ca="1" si="22">Y21+Z20</f>
        <v>19084.236754672856</v>
      </c>
      <c r="AA21" s="55">
        <f t="shared" ref="AA21" ca="1" si="23">Z21+AA20</f>
        <v>21202.099597144999</v>
      </c>
      <c r="AB21" s="55">
        <f t="shared" ref="AB21" ca="1" si="24">AA21+AB20</f>
        <v>23255.926492593491</v>
      </c>
      <c r="AC21" s="55">
        <f t="shared" ref="AC21" ca="1" si="25">AB21+AC20</f>
        <v>25297.032804749455</v>
      </c>
      <c r="AD21" s="55">
        <f t="shared" ref="AD21" ca="1" si="26">AC21+AD20</f>
        <v>27325.475776237705</v>
      </c>
      <c r="AE21" s="55">
        <f t="shared" ref="AE21" ca="1" si="27">AD21+AE20</f>
        <v>29341.312392091248</v>
      </c>
      <c r="AF21" s="55">
        <f t="shared" ref="AF21" ca="1" si="28">AE21+AF20</f>
        <v>32831.439919565084</v>
      </c>
    </row>
    <row r="22" spans="2:32">
      <c r="B22" s="76">
        <v>5</v>
      </c>
      <c r="C22" s="85" t="s">
        <v>517</v>
      </c>
      <c r="D22" s="78">
        <f t="shared" ca="1" si="1"/>
        <v>6710.0905164589403</v>
      </c>
      <c r="E22" s="56" t="s">
        <v>111</v>
      </c>
      <c r="F22" s="55"/>
      <c r="G22" s="55"/>
      <c r="H22" s="55">
        <f>'表7-利润表-全投资'!H22</f>
        <v>0</v>
      </c>
      <c r="I22" s="55">
        <f>'表7-利润表-全投资'!I22</f>
        <v>0</v>
      </c>
      <c r="J22" s="55">
        <f>'表7-利润表-全投资'!J22</f>
        <v>0</v>
      </c>
      <c r="K22" s="55">
        <f ca="1">'表7-利润表-全投资'!K22</f>
        <v>152.80350465523395</v>
      </c>
      <c r="L22" s="55">
        <f ca="1">'表7-利润表-全投资'!L22</f>
        <v>151.14149293637519</v>
      </c>
      <c r="M22" s="55">
        <f ca="1">'表7-利润表-全投资'!M22</f>
        <v>161.13349091016414</v>
      </c>
      <c r="N22" s="55">
        <f ca="1">'表7-利润表-全投资'!N22</f>
        <v>314.15211766380042</v>
      </c>
      <c r="O22" s="55">
        <f ca="1">'表7-利润表-全投资'!O22</f>
        <v>303.49374256472981</v>
      </c>
      <c r="P22" s="55">
        <f ca="1">'表7-利润表-全投资'!P22</f>
        <v>300.12156373222285</v>
      </c>
      <c r="Q22" s="55">
        <f ca="1">'表7-利润表-全投资'!Q22</f>
        <v>296.76455970446352</v>
      </c>
      <c r="R22" s="55">
        <f ca="1">'表7-利润表-全投资'!R22</f>
        <v>272.17633820022803</v>
      </c>
      <c r="S22" s="55">
        <f ca="1">'表7-利润表-全投资'!S22</f>
        <v>267.19284206124399</v>
      </c>
      <c r="T22" s="55">
        <f ca="1">'表7-利润表-全投资'!T22</f>
        <v>263.88095395577307</v>
      </c>
      <c r="U22" s="55">
        <f ca="1">'表7-利润表-全投资'!U22</f>
        <v>260.58396934677569</v>
      </c>
      <c r="V22" s="55">
        <f ca="1">'表7-利润表-全投资'!V22</f>
        <v>257.30182116851722</v>
      </c>
      <c r="W22" s="55">
        <f ca="1">'表7-利润表-全投资'!W22</f>
        <v>241.21997706954068</v>
      </c>
      <c r="X22" s="55">
        <f ca="1">'表7-利润表-全投资'!X22</f>
        <v>237.96730176138641</v>
      </c>
      <c r="Y22" s="55">
        <f ca="1">'表7-利润表-全投资'!Y22</f>
        <v>234.72926349211929</v>
      </c>
      <c r="Z22" s="55">
        <f ca="1">'表7-利润表-全投资'!Z22</f>
        <v>231.50579639506543</v>
      </c>
      <c r="AA22" s="55">
        <f ca="1">'表7-利润表-全投资'!AA22</f>
        <v>228.29683489994608</v>
      </c>
      <c r="AB22" s="55">
        <f ca="1">'表7-利润表-全投资'!AB22</f>
        <v>513.45672386212379</v>
      </c>
      <c r="AC22" s="55">
        <f ca="1">'表7-利润表-全投资'!AC22</f>
        <v>510.2765780389895</v>
      </c>
      <c r="AD22" s="55">
        <f ca="1">'表7-利润表-全投资'!AD22</f>
        <v>507.11074287206196</v>
      </c>
      <c r="AE22" s="55">
        <f ca="1">'表7-利润表-全投资'!AE22</f>
        <v>503.95915396338472</v>
      </c>
      <c r="AF22" s="55">
        <f ca="1">'表7-利润表-全投资'!AF22</f>
        <v>500.82174720479571</v>
      </c>
    </row>
    <row r="23" spans="2:32">
      <c r="B23" s="86">
        <v>6</v>
      </c>
      <c r="C23" s="77" t="s">
        <v>503</v>
      </c>
      <c r="D23" s="78">
        <f t="shared" ca="1" si="1"/>
        <v>26121.349403106138</v>
      </c>
      <c r="E23" s="56" t="s">
        <v>111</v>
      </c>
      <c r="F23" s="55">
        <f>F20-F22</f>
        <v>-26700</v>
      </c>
      <c r="G23" s="55">
        <f t="shared" ref="G23:AF23" si="29">G20-G22</f>
        <v>0</v>
      </c>
      <c r="H23" s="55">
        <f t="shared" ca="1" si="29"/>
        <v>2576.3414176198344</v>
      </c>
      <c r="I23" s="55">
        <f t="shared" ca="1" si="29"/>
        <v>2801.1121604998343</v>
      </c>
      <c r="J23" s="55">
        <f t="shared" ca="1" si="29"/>
        <v>2785.9514350368745</v>
      </c>
      <c r="K23" s="55">
        <f t="shared" ca="1" si="29"/>
        <v>2618.0554281832601</v>
      </c>
      <c r="L23" s="55">
        <f t="shared" ca="1" si="29"/>
        <v>2604.6928539636392</v>
      </c>
      <c r="M23" s="55">
        <f t="shared" ca="1" si="29"/>
        <v>2691.6920397784111</v>
      </c>
      <c r="N23" s="55">
        <f t="shared" ca="1" si="29"/>
        <v>2349.1429691134763</v>
      </c>
      <c r="O23" s="55">
        <f t="shared" ca="1" si="29"/>
        <v>2074.8027482656616</v>
      </c>
      <c r="P23" s="55">
        <f t="shared" ca="1" si="29"/>
        <v>2064.6862117681399</v>
      </c>
      <c r="Q23" s="55">
        <f t="shared" ca="1" si="29"/>
        <v>2054.6151996848662</v>
      </c>
      <c r="R23" s="55">
        <f t="shared" ca="1" si="29"/>
        <v>1596.4257564110899</v>
      </c>
      <c r="S23" s="55">
        <f t="shared" ca="1" si="29"/>
        <v>2006.2540290560937</v>
      </c>
      <c r="T23" s="55">
        <f t="shared" ca="1" si="29"/>
        <v>1996.3183647396738</v>
      </c>
      <c r="U23" s="55">
        <f t="shared" ca="1" si="29"/>
        <v>1986.4274109126814</v>
      </c>
      <c r="V23" s="55">
        <f t="shared" ca="1" si="29"/>
        <v>1976.5809663779123</v>
      </c>
      <c r="W23" s="55">
        <f t="shared" ca="1" si="29"/>
        <v>1928.3354340809747</v>
      </c>
      <c r="X23" s="55">
        <f t="shared" ca="1" si="29"/>
        <v>1918.5774081565164</v>
      </c>
      <c r="Y23" s="55">
        <f t="shared" ca="1" si="29"/>
        <v>1908.8632933487218</v>
      </c>
      <c r="Z23" s="55">
        <f t="shared" ca="1" si="29"/>
        <v>1899.1928920575529</v>
      </c>
      <c r="AA23" s="55">
        <f t="shared" ca="1" si="29"/>
        <v>1889.5660075721958</v>
      </c>
      <c r="AB23" s="55">
        <f t="shared" ca="1" si="29"/>
        <v>1540.3701715863699</v>
      </c>
      <c r="AC23" s="55">
        <f t="shared" ca="1" si="29"/>
        <v>1530.8297341169746</v>
      </c>
      <c r="AD23" s="55">
        <f t="shared" ca="1" si="29"/>
        <v>1521.332228616187</v>
      </c>
      <c r="AE23" s="55">
        <f t="shared" ca="1" si="29"/>
        <v>1511.8774618901577</v>
      </c>
      <c r="AF23" s="55">
        <f t="shared" ca="1" si="29"/>
        <v>2989.3057802690432</v>
      </c>
    </row>
    <row r="24" spans="2:32">
      <c r="B24" s="86">
        <v>7</v>
      </c>
      <c r="C24" s="85" t="s">
        <v>504</v>
      </c>
      <c r="D24" s="54"/>
      <c r="E24" s="56" t="s">
        <v>111</v>
      </c>
      <c r="F24" s="55">
        <f>F23</f>
        <v>-26700</v>
      </c>
      <c r="G24" s="55">
        <f>F24+G23</f>
        <v>-26700</v>
      </c>
      <c r="H24" s="55">
        <f t="shared" ref="H24:AF24" ca="1" si="30">G24+H23</f>
        <v>-24123.658582380165</v>
      </c>
      <c r="I24" s="55">
        <f t="shared" ca="1" si="30"/>
        <v>-21322.546421880332</v>
      </c>
      <c r="J24" s="55">
        <f t="shared" ca="1" si="30"/>
        <v>-18536.594986843458</v>
      </c>
      <c r="K24" s="55">
        <f t="shared" ca="1" si="30"/>
        <v>-15918.539558660199</v>
      </c>
      <c r="L24" s="55">
        <f t="shared" ca="1" si="30"/>
        <v>-13313.84670469656</v>
      </c>
      <c r="M24" s="55">
        <f t="shared" ca="1" si="30"/>
        <v>-10622.154664918149</v>
      </c>
      <c r="N24" s="55">
        <f t="shared" ca="1" si="30"/>
        <v>-8273.0116958046729</v>
      </c>
      <c r="O24" s="55">
        <f t="shared" ca="1" si="30"/>
        <v>-6198.2089475390112</v>
      </c>
      <c r="P24" s="55">
        <f t="shared" ca="1" si="30"/>
        <v>-4133.5227357708718</v>
      </c>
      <c r="Q24" s="55">
        <f t="shared" ca="1" si="30"/>
        <v>-2078.9075360860056</v>
      </c>
      <c r="R24" s="55">
        <f t="shared" ca="1" si="30"/>
        <v>-482.48177967491574</v>
      </c>
      <c r="S24" s="55">
        <f t="shared" ca="1" si="30"/>
        <v>1523.772249381178</v>
      </c>
      <c r="T24" s="55">
        <f t="shared" ca="1" si="30"/>
        <v>3520.0906141208516</v>
      </c>
      <c r="U24" s="55">
        <f t="shared" ca="1" si="30"/>
        <v>5506.5180250335325</v>
      </c>
      <c r="V24" s="55">
        <f t="shared" ca="1" si="30"/>
        <v>7483.0989914114452</v>
      </c>
      <c r="W24" s="55">
        <f t="shared" ca="1" si="30"/>
        <v>9411.4344254924199</v>
      </c>
      <c r="X24" s="55">
        <f t="shared" ca="1" si="30"/>
        <v>11330.011833648936</v>
      </c>
      <c r="Y24" s="55">
        <f t="shared" ca="1" si="30"/>
        <v>13238.875126997658</v>
      </c>
      <c r="Z24" s="55">
        <f t="shared" ca="1" si="30"/>
        <v>15138.068019055212</v>
      </c>
      <c r="AA24" s="55">
        <f t="shared" ca="1" si="30"/>
        <v>17027.634026627409</v>
      </c>
      <c r="AB24" s="55">
        <f t="shared" ca="1" si="30"/>
        <v>18568.004198213777</v>
      </c>
      <c r="AC24" s="55">
        <f t="shared" ca="1" si="30"/>
        <v>20098.833932330752</v>
      </c>
      <c r="AD24" s="55">
        <f t="shared" ca="1" si="30"/>
        <v>21620.166160946937</v>
      </c>
      <c r="AE24" s="55">
        <f t="shared" ca="1" si="30"/>
        <v>23132.043622837096</v>
      </c>
      <c r="AF24" s="55">
        <f t="shared" ca="1" si="30"/>
        <v>26121.349403106138</v>
      </c>
    </row>
    <row r="26" spans="2:32">
      <c r="C26" s="54" t="s">
        <v>520</v>
      </c>
      <c r="D26" s="87">
        <f ca="1">IF('表1-资金筹措及还本付息表'!G5=0,IRR(E41:AE41),IRR(F20:AF20))</f>
        <v>7.8979360475482707E-2</v>
      </c>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row>
    <row r="27" spans="2:32">
      <c r="C27" s="54" t="s">
        <v>521</v>
      </c>
      <c r="D27" s="87">
        <f ca="1">IF('表1-资金筹措及还本付息表'!G5=0,IRR(E44:AE44),IRR(F23:AF23))</f>
        <v>6.8172545929696016E-2</v>
      </c>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row>
    <row r="28" spans="2:32">
      <c r="C28" s="54" t="s">
        <v>522</v>
      </c>
      <c r="D28" s="55">
        <f ca="1">SUM(F28:AF28)+1</f>
        <v>12.240488877623296</v>
      </c>
      <c r="E28" s="56" t="s">
        <v>55</v>
      </c>
      <c r="F28" s="59">
        <v>0</v>
      </c>
      <c r="G28" s="59">
        <v>0</v>
      </c>
      <c r="H28" s="59">
        <v>0</v>
      </c>
      <c r="I28" s="59">
        <f ca="1">IF(H24/I24&lt;0,H4+ABS(H24/I23),0)</f>
        <v>0</v>
      </c>
      <c r="J28" s="59">
        <f t="shared" ref="J28:AF28" ca="1" si="31">IF(I24/J24&lt;0,I4+ABS(I24/J23),0)</f>
        <v>0</v>
      </c>
      <c r="K28" s="59">
        <f t="shared" ca="1" si="31"/>
        <v>0</v>
      </c>
      <c r="L28" s="59">
        <f t="shared" ca="1" si="31"/>
        <v>0</v>
      </c>
      <c r="M28" s="59">
        <f t="shared" ca="1" si="31"/>
        <v>0</v>
      </c>
      <c r="N28" s="59">
        <f t="shared" ca="1" si="31"/>
        <v>0</v>
      </c>
      <c r="O28" s="59">
        <f t="shared" ca="1" si="31"/>
        <v>0</v>
      </c>
      <c r="P28" s="59">
        <f t="shared" ca="1" si="31"/>
        <v>0</v>
      </c>
      <c r="Q28" s="59">
        <f t="shared" ca="1" si="31"/>
        <v>0</v>
      </c>
      <c r="R28" s="59">
        <f t="shared" ca="1" si="31"/>
        <v>0</v>
      </c>
      <c r="S28" s="59">
        <f t="shared" ca="1" si="31"/>
        <v>11.240488877623296</v>
      </c>
      <c r="T28" s="59">
        <f t="shared" ca="1" si="31"/>
        <v>0</v>
      </c>
      <c r="U28" s="59">
        <f t="shared" ca="1" si="31"/>
        <v>0</v>
      </c>
      <c r="V28" s="59">
        <f t="shared" ca="1" si="31"/>
        <v>0</v>
      </c>
      <c r="W28" s="59">
        <f t="shared" ca="1" si="31"/>
        <v>0</v>
      </c>
      <c r="X28" s="59">
        <f t="shared" ca="1" si="31"/>
        <v>0</v>
      </c>
      <c r="Y28" s="59">
        <f t="shared" ca="1" si="31"/>
        <v>0</v>
      </c>
      <c r="Z28" s="59">
        <f t="shared" ca="1" si="31"/>
        <v>0</v>
      </c>
      <c r="AA28" s="59">
        <f t="shared" ca="1" si="31"/>
        <v>0</v>
      </c>
      <c r="AB28" s="59">
        <f t="shared" ca="1" si="31"/>
        <v>0</v>
      </c>
      <c r="AC28" s="59">
        <f t="shared" ca="1" si="31"/>
        <v>0</v>
      </c>
      <c r="AD28" s="59">
        <f t="shared" ca="1" si="31"/>
        <v>0</v>
      </c>
      <c r="AE28" s="59">
        <f t="shared" ca="1" si="31"/>
        <v>0</v>
      </c>
      <c r="AF28" s="59">
        <f t="shared" ca="1" si="31"/>
        <v>0</v>
      </c>
    </row>
    <row r="29" spans="2:32">
      <c r="C29" s="54" t="s">
        <v>523</v>
      </c>
      <c r="D29" s="55">
        <f ca="1">SUM(F29:AF29)+1</f>
        <v>11.213687582321837</v>
      </c>
      <c r="E29" s="89" t="s">
        <v>55</v>
      </c>
      <c r="F29" s="88"/>
      <c r="G29" s="88"/>
      <c r="H29" s="88">
        <v>0</v>
      </c>
      <c r="I29" s="88">
        <f ca="1">IF(H21/I21&lt;0,H4+ABS(H21/I20),0)</f>
        <v>0</v>
      </c>
      <c r="J29" s="88">
        <f t="shared" ref="J29:AF29" ca="1" si="32">IF(I21/J21&lt;0,I4+ABS(I21/J20),0)</f>
        <v>0</v>
      </c>
      <c r="K29" s="88">
        <f t="shared" ca="1" si="32"/>
        <v>0</v>
      </c>
      <c r="L29" s="88">
        <f t="shared" ca="1" si="32"/>
        <v>0</v>
      </c>
      <c r="M29" s="88">
        <f t="shared" ca="1" si="32"/>
        <v>0</v>
      </c>
      <c r="N29" s="88">
        <f t="shared" ca="1" si="32"/>
        <v>0</v>
      </c>
      <c r="O29" s="88">
        <f t="shared" ca="1" si="32"/>
        <v>0</v>
      </c>
      <c r="P29" s="88">
        <f t="shared" ca="1" si="32"/>
        <v>0</v>
      </c>
      <c r="Q29" s="88">
        <f t="shared" ca="1" si="32"/>
        <v>0</v>
      </c>
      <c r="R29" s="88">
        <f t="shared" ca="1" si="32"/>
        <v>10.213687582321837</v>
      </c>
      <c r="S29" s="88">
        <f t="shared" ca="1" si="32"/>
        <v>0</v>
      </c>
      <c r="T29" s="88">
        <f t="shared" ca="1" si="32"/>
        <v>0</v>
      </c>
      <c r="U29" s="88">
        <f t="shared" ca="1" si="32"/>
        <v>0</v>
      </c>
      <c r="V29" s="88">
        <f t="shared" ca="1" si="32"/>
        <v>0</v>
      </c>
      <c r="W29" s="88">
        <f t="shared" ca="1" si="32"/>
        <v>0</v>
      </c>
      <c r="X29" s="88">
        <f t="shared" ca="1" si="32"/>
        <v>0</v>
      </c>
      <c r="Y29" s="88">
        <f t="shared" ca="1" si="32"/>
        <v>0</v>
      </c>
      <c r="Z29" s="88">
        <f t="shared" ca="1" si="32"/>
        <v>0</v>
      </c>
      <c r="AA29" s="88">
        <f t="shared" ca="1" si="32"/>
        <v>0</v>
      </c>
      <c r="AB29" s="88">
        <f t="shared" ca="1" si="32"/>
        <v>0</v>
      </c>
      <c r="AC29" s="88">
        <f t="shared" ca="1" si="32"/>
        <v>0</v>
      </c>
      <c r="AD29" s="88">
        <f t="shared" ca="1" si="32"/>
        <v>0</v>
      </c>
      <c r="AE29" s="88">
        <f t="shared" ca="1" si="32"/>
        <v>0</v>
      </c>
      <c r="AF29" s="88">
        <f t="shared" ca="1" si="32"/>
        <v>0</v>
      </c>
    </row>
    <row r="30" spans="2:32" ht="24">
      <c r="C30" s="71" t="s">
        <v>412</v>
      </c>
      <c r="K30" s="90"/>
    </row>
    <row r="31" spans="2:32" ht="21.5">
      <c r="C31" s="71" t="s">
        <v>524</v>
      </c>
    </row>
    <row r="32" spans="2:32" ht="21.5">
      <c r="C32" s="71" t="s">
        <v>509</v>
      </c>
    </row>
    <row r="33" spans="2:31">
      <c r="I33" s="91"/>
    </row>
    <row r="34" spans="2:31">
      <c r="H34" s="91"/>
    </row>
    <row r="35" spans="2:31">
      <c r="C35" s="92" t="s">
        <v>512</v>
      </c>
      <c r="D35" s="93">
        <f ca="1">D23-'表7-利润表-全投资'!D23</f>
        <v>383.10083698683593</v>
      </c>
    </row>
    <row r="39" spans="2:31">
      <c r="B39" s="354" t="s">
        <v>14</v>
      </c>
      <c r="C39" s="354" t="s">
        <v>323</v>
      </c>
      <c r="D39" s="354" t="s">
        <v>39</v>
      </c>
      <c r="E39" s="342" t="s">
        <v>43</v>
      </c>
      <c r="F39" s="342"/>
      <c r="G39" s="343" t="s">
        <v>54</v>
      </c>
      <c r="H39" s="343"/>
      <c r="I39" s="343"/>
      <c r="J39" s="343"/>
      <c r="K39" s="343"/>
      <c r="L39" s="343"/>
      <c r="M39" s="343"/>
      <c r="N39" s="343"/>
      <c r="O39" s="343"/>
      <c r="P39" s="343"/>
      <c r="Q39" s="343"/>
      <c r="R39" s="343"/>
      <c r="S39" s="343"/>
      <c r="T39" s="343"/>
      <c r="U39" s="343"/>
      <c r="V39" s="343"/>
      <c r="W39" s="343"/>
      <c r="X39" s="343"/>
      <c r="Y39" s="343"/>
      <c r="Z39" s="343"/>
      <c r="AA39" s="343"/>
      <c r="AB39" s="343"/>
      <c r="AC39" s="343"/>
      <c r="AD39" s="343"/>
      <c r="AE39" s="343"/>
    </row>
    <row r="40" spans="2:31">
      <c r="B40" s="355"/>
      <c r="C40" s="355"/>
      <c r="D40" s="355"/>
      <c r="E40" s="365">
        <v>1</v>
      </c>
      <c r="F40" s="363"/>
      <c r="G40" s="52">
        <v>1</v>
      </c>
      <c r="H40" s="52">
        <v>2</v>
      </c>
      <c r="I40" s="52">
        <v>3</v>
      </c>
      <c r="J40" s="52">
        <v>4</v>
      </c>
      <c r="K40" s="52">
        <v>5</v>
      </c>
      <c r="L40" s="52">
        <v>6</v>
      </c>
      <c r="M40" s="52">
        <v>7</v>
      </c>
      <c r="N40" s="52">
        <v>8</v>
      </c>
      <c r="O40" s="52">
        <v>9</v>
      </c>
      <c r="P40" s="52">
        <v>10</v>
      </c>
      <c r="Q40" s="52">
        <v>11</v>
      </c>
      <c r="R40" s="52">
        <v>12</v>
      </c>
      <c r="S40" s="52">
        <v>13</v>
      </c>
      <c r="T40" s="52">
        <v>14</v>
      </c>
      <c r="U40" s="52">
        <v>15</v>
      </c>
      <c r="V40" s="52">
        <v>16</v>
      </c>
      <c r="W40" s="52">
        <v>17</v>
      </c>
      <c r="X40" s="52">
        <v>18</v>
      </c>
      <c r="Y40" s="52">
        <v>19</v>
      </c>
      <c r="Z40" s="52">
        <v>20</v>
      </c>
      <c r="AA40" s="52">
        <v>21</v>
      </c>
      <c r="AB40" s="52">
        <v>22</v>
      </c>
      <c r="AC40" s="52">
        <v>23</v>
      </c>
      <c r="AD40" s="52">
        <v>24</v>
      </c>
      <c r="AE40" s="52">
        <v>25</v>
      </c>
    </row>
    <row r="41" spans="2:31">
      <c r="B41" s="76">
        <v>3</v>
      </c>
      <c r="C41" s="77" t="s">
        <v>501</v>
      </c>
      <c r="D41" s="56" t="s">
        <v>111</v>
      </c>
      <c r="E41" s="364">
        <f>F20</f>
        <v>-26700</v>
      </c>
      <c r="F41" s="364"/>
      <c r="G41" s="91">
        <f ca="1">H20</f>
        <v>2576.3414176198344</v>
      </c>
      <c r="H41" s="91">
        <f t="shared" ref="H41:AE41" ca="1" si="33">I20</f>
        <v>2801.1121604998343</v>
      </c>
      <c r="I41" s="91">
        <f t="shared" ca="1" si="33"/>
        <v>2785.9514350368745</v>
      </c>
      <c r="J41" s="91">
        <f t="shared" ca="1" si="33"/>
        <v>2770.8589328384942</v>
      </c>
      <c r="K41" s="91">
        <f t="shared" ca="1" si="33"/>
        <v>2755.8343469000142</v>
      </c>
      <c r="L41" s="91">
        <f t="shared" ca="1" si="33"/>
        <v>2852.8255306885753</v>
      </c>
      <c r="M41" s="91">
        <f t="shared" ca="1" si="33"/>
        <v>2663.2950867772765</v>
      </c>
      <c r="N41" s="91">
        <f t="shared" ca="1" si="33"/>
        <v>2378.2964908303916</v>
      </c>
      <c r="O41" s="91">
        <f t="shared" ca="1" si="33"/>
        <v>2364.8077755003628</v>
      </c>
      <c r="P41" s="91">
        <f t="shared" ca="1" si="33"/>
        <v>2351.3797593893296</v>
      </c>
      <c r="Q41" s="91">
        <f t="shared" ca="1" si="33"/>
        <v>1868.6020946113179</v>
      </c>
      <c r="R41" s="91">
        <f t="shared" ca="1" si="33"/>
        <v>2273.4468711173377</v>
      </c>
      <c r="S41" s="91">
        <f t="shared" ca="1" si="33"/>
        <v>2260.1993186954469</v>
      </c>
      <c r="T41" s="91">
        <f t="shared" ca="1" si="33"/>
        <v>2247.0113802594569</v>
      </c>
      <c r="U41" s="91">
        <f t="shared" ca="1" si="33"/>
        <v>2233.8827875464294</v>
      </c>
      <c r="V41" s="91">
        <f t="shared" ca="1" si="33"/>
        <v>2169.5554111505153</v>
      </c>
      <c r="W41" s="91">
        <f t="shared" ca="1" si="33"/>
        <v>2156.5447099179028</v>
      </c>
      <c r="X41" s="91">
        <f t="shared" ca="1" si="33"/>
        <v>2143.5925568408411</v>
      </c>
      <c r="Y41" s="91">
        <f t="shared" ca="1" si="33"/>
        <v>2130.6986884526182</v>
      </c>
      <c r="Z41" s="91">
        <f t="shared" ca="1" si="33"/>
        <v>2117.8628424721419</v>
      </c>
      <c r="AA41" s="91">
        <f t="shared" ca="1" si="33"/>
        <v>2053.8268954484938</v>
      </c>
      <c r="AB41" s="91">
        <f t="shared" ca="1" si="33"/>
        <v>2041.1063121559641</v>
      </c>
      <c r="AC41" s="91">
        <f t="shared" ca="1" si="33"/>
        <v>2028.442971488249</v>
      </c>
      <c r="AD41" s="91">
        <f t="shared" ca="1" si="33"/>
        <v>2015.8366158535425</v>
      </c>
      <c r="AE41" s="91">
        <f t="shared" ca="1" si="33"/>
        <v>3490.1275274738391</v>
      </c>
    </row>
    <row r="42" spans="2:31">
      <c r="B42" s="76">
        <v>4</v>
      </c>
      <c r="C42" s="85" t="s">
        <v>502</v>
      </c>
      <c r="D42" s="56" t="s">
        <v>111</v>
      </c>
      <c r="E42" s="364">
        <f>F21</f>
        <v>-26700</v>
      </c>
      <c r="F42" s="364"/>
      <c r="G42" s="91">
        <f ca="1">H21</f>
        <v>-24123.658582380165</v>
      </c>
      <c r="H42" s="91">
        <f t="shared" ref="H42:AE42" ca="1" si="34">I21</f>
        <v>-21322.546421880332</v>
      </c>
      <c r="I42" s="91">
        <f t="shared" ca="1" si="34"/>
        <v>-18536.594986843458</v>
      </c>
      <c r="J42" s="91">
        <f t="shared" ca="1" si="34"/>
        <v>-15765.736054004963</v>
      </c>
      <c r="K42" s="91">
        <f t="shared" ca="1" si="34"/>
        <v>-13009.901707104949</v>
      </c>
      <c r="L42" s="91">
        <f t="shared" ca="1" si="34"/>
        <v>-10157.076176416374</v>
      </c>
      <c r="M42" s="91">
        <f t="shared" ca="1" si="34"/>
        <v>-7493.7810896390984</v>
      </c>
      <c r="N42" s="91">
        <f t="shared" ca="1" si="34"/>
        <v>-5115.4845988087072</v>
      </c>
      <c r="O42" s="91">
        <f t="shared" ca="1" si="34"/>
        <v>-2750.6768233083444</v>
      </c>
      <c r="P42" s="91">
        <f t="shared" ca="1" si="34"/>
        <v>-399.29706391901482</v>
      </c>
      <c r="Q42" s="91">
        <f t="shared" ca="1" si="34"/>
        <v>1469.305030692303</v>
      </c>
      <c r="R42" s="91">
        <f t="shared" ca="1" si="34"/>
        <v>3742.7519018096409</v>
      </c>
      <c r="S42" s="91">
        <f t="shared" ca="1" si="34"/>
        <v>6002.9512205050878</v>
      </c>
      <c r="T42" s="91">
        <f t="shared" ca="1" si="34"/>
        <v>8249.9626007645456</v>
      </c>
      <c r="U42" s="91">
        <f t="shared" ca="1" si="34"/>
        <v>10483.845388310976</v>
      </c>
      <c r="V42" s="91">
        <f t="shared" ca="1" si="34"/>
        <v>12653.400799461491</v>
      </c>
      <c r="W42" s="91">
        <f t="shared" ca="1" si="34"/>
        <v>14809.945509379395</v>
      </c>
      <c r="X42" s="91">
        <f t="shared" ca="1" si="34"/>
        <v>16953.538066220237</v>
      </c>
      <c r="Y42" s="91">
        <f t="shared" ca="1" si="34"/>
        <v>19084.236754672856</v>
      </c>
      <c r="Z42" s="91">
        <f t="shared" ca="1" si="34"/>
        <v>21202.099597144999</v>
      </c>
      <c r="AA42" s="91">
        <f t="shared" ca="1" si="34"/>
        <v>23255.926492593491</v>
      </c>
      <c r="AB42" s="91">
        <f t="shared" ca="1" si="34"/>
        <v>25297.032804749455</v>
      </c>
      <c r="AC42" s="91">
        <f t="shared" ca="1" si="34"/>
        <v>27325.475776237705</v>
      </c>
      <c r="AD42" s="91">
        <f t="shared" ca="1" si="34"/>
        <v>29341.312392091248</v>
      </c>
      <c r="AE42" s="91">
        <f t="shared" ca="1" si="34"/>
        <v>32831.439919565084</v>
      </c>
    </row>
    <row r="43" spans="2:31">
      <c r="B43" s="76">
        <v>5</v>
      </c>
      <c r="C43" s="85" t="s">
        <v>517</v>
      </c>
      <c r="D43" s="56" t="s">
        <v>111</v>
      </c>
      <c r="E43" s="364">
        <f>F22</f>
        <v>0</v>
      </c>
      <c r="F43" s="364"/>
      <c r="G43" s="91">
        <f>H22</f>
        <v>0</v>
      </c>
      <c r="H43" s="91">
        <f t="shared" ref="H43:AE43" si="35">I22</f>
        <v>0</v>
      </c>
      <c r="I43" s="91">
        <f t="shared" si="35"/>
        <v>0</v>
      </c>
      <c r="J43" s="91">
        <f t="shared" ca="1" si="35"/>
        <v>152.80350465523395</v>
      </c>
      <c r="K43" s="91">
        <f t="shared" ca="1" si="35"/>
        <v>151.14149293637519</v>
      </c>
      <c r="L43" s="91">
        <f t="shared" ca="1" si="35"/>
        <v>161.13349091016414</v>
      </c>
      <c r="M43" s="91">
        <f t="shared" ca="1" si="35"/>
        <v>314.15211766380042</v>
      </c>
      <c r="N43" s="91">
        <f t="shared" ca="1" si="35"/>
        <v>303.49374256472981</v>
      </c>
      <c r="O43" s="91">
        <f t="shared" ca="1" si="35"/>
        <v>300.12156373222285</v>
      </c>
      <c r="P43" s="91">
        <f t="shared" ca="1" si="35"/>
        <v>296.76455970446352</v>
      </c>
      <c r="Q43" s="91">
        <f t="shared" ca="1" si="35"/>
        <v>272.17633820022803</v>
      </c>
      <c r="R43" s="91">
        <f t="shared" ca="1" si="35"/>
        <v>267.19284206124399</v>
      </c>
      <c r="S43" s="91">
        <f t="shared" ca="1" si="35"/>
        <v>263.88095395577307</v>
      </c>
      <c r="T43" s="91">
        <f t="shared" ca="1" si="35"/>
        <v>260.58396934677569</v>
      </c>
      <c r="U43" s="91">
        <f t="shared" ca="1" si="35"/>
        <v>257.30182116851722</v>
      </c>
      <c r="V43" s="91">
        <f t="shared" ca="1" si="35"/>
        <v>241.21997706954068</v>
      </c>
      <c r="W43" s="91">
        <f t="shared" ca="1" si="35"/>
        <v>237.96730176138641</v>
      </c>
      <c r="X43" s="91">
        <f t="shared" ca="1" si="35"/>
        <v>234.72926349211929</v>
      </c>
      <c r="Y43" s="91">
        <f t="shared" ca="1" si="35"/>
        <v>231.50579639506543</v>
      </c>
      <c r="Z43" s="91">
        <f t="shared" ca="1" si="35"/>
        <v>228.29683489994608</v>
      </c>
      <c r="AA43" s="91">
        <f t="shared" ca="1" si="35"/>
        <v>513.45672386212379</v>
      </c>
      <c r="AB43" s="91">
        <f t="shared" ca="1" si="35"/>
        <v>510.2765780389895</v>
      </c>
      <c r="AC43" s="91">
        <f t="shared" ca="1" si="35"/>
        <v>507.11074287206196</v>
      </c>
      <c r="AD43" s="91">
        <f t="shared" ca="1" si="35"/>
        <v>503.95915396338472</v>
      </c>
      <c r="AE43" s="91">
        <f t="shared" ca="1" si="35"/>
        <v>500.82174720479571</v>
      </c>
    </row>
    <row r="44" spans="2:31">
      <c r="B44" s="86">
        <v>6</v>
      </c>
      <c r="C44" s="77" t="s">
        <v>503</v>
      </c>
      <c r="D44" s="56" t="s">
        <v>111</v>
      </c>
      <c r="E44" s="364">
        <f>F23</f>
        <v>-26700</v>
      </c>
      <c r="F44" s="364"/>
      <c r="G44" s="91">
        <f ca="1">H23</f>
        <v>2576.3414176198344</v>
      </c>
      <c r="H44" s="91">
        <f t="shared" ref="H44:AE44" ca="1" si="36">I23</f>
        <v>2801.1121604998343</v>
      </c>
      <c r="I44" s="91">
        <f t="shared" ca="1" si="36"/>
        <v>2785.9514350368745</v>
      </c>
      <c r="J44" s="91">
        <f t="shared" ca="1" si="36"/>
        <v>2618.0554281832601</v>
      </c>
      <c r="K44" s="91">
        <f t="shared" ca="1" si="36"/>
        <v>2604.6928539636392</v>
      </c>
      <c r="L44" s="91">
        <f t="shared" ca="1" si="36"/>
        <v>2691.6920397784111</v>
      </c>
      <c r="M44" s="91">
        <f t="shared" ca="1" si="36"/>
        <v>2349.1429691134763</v>
      </c>
      <c r="N44" s="91">
        <f t="shared" ca="1" si="36"/>
        <v>2074.8027482656616</v>
      </c>
      <c r="O44" s="91">
        <f t="shared" ca="1" si="36"/>
        <v>2064.6862117681399</v>
      </c>
      <c r="P44" s="91">
        <f t="shared" ca="1" si="36"/>
        <v>2054.6151996848662</v>
      </c>
      <c r="Q44" s="91">
        <f t="shared" ca="1" si="36"/>
        <v>1596.4257564110899</v>
      </c>
      <c r="R44" s="91">
        <f t="shared" ca="1" si="36"/>
        <v>2006.2540290560937</v>
      </c>
      <c r="S44" s="91">
        <f t="shared" ca="1" si="36"/>
        <v>1996.3183647396738</v>
      </c>
      <c r="T44" s="91">
        <f t="shared" ca="1" si="36"/>
        <v>1986.4274109126814</v>
      </c>
      <c r="U44" s="91">
        <f t="shared" ca="1" si="36"/>
        <v>1976.5809663779123</v>
      </c>
      <c r="V44" s="91">
        <f t="shared" ca="1" si="36"/>
        <v>1928.3354340809747</v>
      </c>
      <c r="W44" s="91">
        <f t="shared" ca="1" si="36"/>
        <v>1918.5774081565164</v>
      </c>
      <c r="X44" s="91">
        <f t="shared" ca="1" si="36"/>
        <v>1908.8632933487218</v>
      </c>
      <c r="Y44" s="91">
        <f t="shared" ca="1" si="36"/>
        <v>1899.1928920575529</v>
      </c>
      <c r="Z44" s="91">
        <f t="shared" ca="1" si="36"/>
        <v>1889.5660075721958</v>
      </c>
      <c r="AA44" s="91">
        <f t="shared" ca="1" si="36"/>
        <v>1540.3701715863699</v>
      </c>
      <c r="AB44" s="91">
        <f t="shared" ca="1" si="36"/>
        <v>1530.8297341169746</v>
      </c>
      <c r="AC44" s="91">
        <f t="shared" ca="1" si="36"/>
        <v>1521.332228616187</v>
      </c>
      <c r="AD44" s="91">
        <f t="shared" ca="1" si="36"/>
        <v>1511.8774618901577</v>
      </c>
      <c r="AE44" s="91">
        <f t="shared" ca="1" si="36"/>
        <v>2989.3057802690432</v>
      </c>
    </row>
    <row r="45" spans="2:31">
      <c r="B45" s="86">
        <v>7</v>
      </c>
      <c r="C45" s="85" t="s">
        <v>504</v>
      </c>
      <c r="D45" s="56" t="s">
        <v>111</v>
      </c>
      <c r="E45" s="364">
        <f>F24</f>
        <v>-26700</v>
      </c>
      <c r="F45" s="364"/>
      <c r="G45" s="91">
        <f ca="1">H24</f>
        <v>-24123.658582380165</v>
      </c>
      <c r="H45" s="91">
        <f t="shared" ref="H45:AE45" ca="1" si="37">I24</f>
        <v>-21322.546421880332</v>
      </c>
      <c r="I45" s="91">
        <f t="shared" ca="1" si="37"/>
        <v>-18536.594986843458</v>
      </c>
      <c r="J45" s="91">
        <f t="shared" ca="1" si="37"/>
        <v>-15918.539558660199</v>
      </c>
      <c r="K45" s="91">
        <f t="shared" ca="1" si="37"/>
        <v>-13313.84670469656</v>
      </c>
      <c r="L45" s="91">
        <f t="shared" ca="1" si="37"/>
        <v>-10622.154664918149</v>
      </c>
      <c r="M45" s="91">
        <f t="shared" ca="1" si="37"/>
        <v>-8273.0116958046729</v>
      </c>
      <c r="N45" s="91">
        <f t="shared" ca="1" si="37"/>
        <v>-6198.2089475390112</v>
      </c>
      <c r="O45" s="91">
        <f t="shared" ca="1" si="37"/>
        <v>-4133.5227357708718</v>
      </c>
      <c r="P45" s="91">
        <f t="shared" ca="1" si="37"/>
        <v>-2078.9075360860056</v>
      </c>
      <c r="Q45" s="91">
        <f t="shared" ca="1" si="37"/>
        <v>-482.48177967491574</v>
      </c>
      <c r="R45" s="91">
        <f t="shared" ca="1" si="37"/>
        <v>1523.772249381178</v>
      </c>
      <c r="S45" s="91">
        <f t="shared" ca="1" si="37"/>
        <v>3520.0906141208516</v>
      </c>
      <c r="T45" s="91">
        <f t="shared" ca="1" si="37"/>
        <v>5506.5180250335325</v>
      </c>
      <c r="U45" s="91">
        <f t="shared" ca="1" si="37"/>
        <v>7483.0989914114452</v>
      </c>
      <c r="V45" s="91">
        <f t="shared" ca="1" si="37"/>
        <v>9411.4344254924199</v>
      </c>
      <c r="W45" s="91">
        <f t="shared" ca="1" si="37"/>
        <v>11330.011833648936</v>
      </c>
      <c r="X45" s="91">
        <f t="shared" ca="1" si="37"/>
        <v>13238.875126997658</v>
      </c>
      <c r="Y45" s="91">
        <f t="shared" ca="1" si="37"/>
        <v>15138.068019055212</v>
      </c>
      <c r="Z45" s="91">
        <f t="shared" ca="1" si="37"/>
        <v>17027.634026627409</v>
      </c>
      <c r="AA45" s="91">
        <f t="shared" ca="1" si="37"/>
        <v>18568.004198213777</v>
      </c>
      <c r="AB45" s="91">
        <f t="shared" ca="1" si="37"/>
        <v>20098.833932330752</v>
      </c>
      <c r="AC45" s="91">
        <f t="shared" ca="1" si="37"/>
        <v>21620.166160946937</v>
      </c>
      <c r="AD45" s="91">
        <f t="shared" ca="1" si="37"/>
        <v>23132.043622837096</v>
      </c>
      <c r="AE45" s="91">
        <f t="shared" ca="1" si="37"/>
        <v>26121.349403106138</v>
      </c>
    </row>
    <row r="47" spans="2:31">
      <c r="D47" s="95"/>
    </row>
  </sheetData>
  <mergeCells count="17">
    <mergeCell ref="F3:G3"/>
    <mergeCell ref="H3:AF3"/>
    <mergeCell ref="E39:F39"/>
    <mergeCell ref="G39:AE39"/>
    <mergeCell ref="E40:F40"/>
    <mergeCell ref="E3:E4"/>
    <mergeCell ref="E41:F41"/>
    <mergeCell ref="E42:F42"/>
    <mergeCell ref="E43:F43"/>
    <mergeCell ref="E44:F44"/>
    <mergeCell ref="E45:F45"/>
    <mergeCell ref="B3:B4"/>
    <mergeCell ref="B39:B40"/>
    <mergeCell ref="C3:C4"/>
    <mergeCell ref="C39:C40"/>
    <mergeCell ref="D3:D4"/>
    <mergeCell ref="D39:D40"/>
  </mergeCells>
  <phoneticPr fontId="51"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G42"/>
  <sheetViews>
    <sheetView showGridLines="0" topLeftCell="A17" zoomScale="60" zoomScaleNormal="60" workbookViewId="0">
      <selection activeCell="H28" sqref="H28"/>
    </sheetView>
  </sheetViews>
  <sheetFormatPr defaultColWidth="8.81640625" defaultRowHeight="16.5"/>
  <cols>
    <col min="1" max="1" width="4.6328125" style="49" customWidth="1"/>
    <col min="2" max="2" width="5.6328125" style="49" customWidth="1"/>
    <col min="3" max="3" width="36.36328125" style="49" customWidth="1"/>
    <col min="4" max="4" width="16.54296875" style="49" customWidth="1"/>
    <col min="5" max="5" width="8.81640625" style="49"/>
    <col min="6" max="6" width="14.6328125" style="49" customWidth="1"/>
    <col min="7" max="7" width="16.36328125" style="49" customWidth="1"/>
    <col min="8" max="22" width="14.6328125" style="49" customWidth="1"/>
    <col min="23" max="25" width="13.54296875" style="49" customWidth="1"/>
    <col min="26" max="32" width="13.08984375" style="49" customWidth="1"/>
    <col min="33" max="16384" width="8.81640625" style="49"/>
  </cols>
  <sheetData>
    <row r="1" spans="2:33" ht="9" customHeight="1"/>
    <row r="2" spans="2:33" ht="23.5" customHeight="1">
      <c r="B2" s="50" t="s">
        <v>525</v>
      </c>
    </row>
    <row r="3" spans="2:33">
      <c r="B3" s="354" t="s">
        <v>14</v>
      </c>
      <c r="C3" s="354" t="s">
        <v>323</v>
      </c>
      <c r="D3" s="354" t="s">
        <v>311</v>
      </c>
      <c r="E3" s="354" t="s">
        <v>39</v>
      </c>
      <c r="F3" s="342" t="s">
        <v>43</v>
      </c>
      <c r="G3" s="342"/>
      <c r="H3" s="343" t="s">
        <v>54</v>
      </c>
      <c r="I3" s="343"/>
      <c r="J3" s="343"/>
      <c r="K3" s="343"/>
      <c r="L3" s="343"/>
      <c r="M3" s="343"/>
      <c r="N3" s="343"/>
      <c r="O3" s="343"/>
      <c r="P3" s="343"/>
      <c r="Q3" s="343"/>
      <c r="R3" s="343"/>
      <c r="S3" s="343"/>
      <c r="T3" s="343"/>
      <c r="U3" s="343"/>
      <c r="V3" s="343"/>
      <c r="W3" s="343"/>
      <c r="X3" s="343"/>
      <c r="Y3" s="343"/>
      <c r="Z3" s="343"/>
      <c r="AA3" s="343"/>
      <c r="AB3" s="343"/>
      <c r="AC3" s="343"/>
      <c r="AD3" s="343"/>
      <c r="AE3" s="343"/>
      <c r="AF3" s="343"/>
    </row>
    <row r="4" spans="2:33">
      <c r="B4" s="355"/>
      <c r="C4" s="355"/>
      <c r="D4" s="355"/>
      <c r="E4" s="355"/>
      <c r="F4" s="51">
        <v>1</v>
      </c>
      <c r="G4" s="51">
        <v>2</v>
      </c>
      <c r="H4" s="52">
        <v>1</v>
      </c>
      <c r="I4" s="52">
        <v>2</v>
      </c>
      <c r="J4" s="52">
        <v>3</v>
      </c>
      <c r="K4" s="52">
        <v>4</v>
      </c>
      <c r="L4" s="52">
        <v>5</v>
      </c>
      <c r="M4" s="52">
        <v>6</v>
      </c>
      <c r="N4" s="52">
        <v>7</v>
      </c>
      <c r="O4" s="52">
        <v>8</v>
      </c>
      <c r="P4" s="52">
        <v>9</v>
      </c>
      <c r="Q4" s="52">
        <v>10</v>
      </c>
      <c r="R4" s="52">
        <v>11</v>
      </c>
      <c r="S4" s="52">
        <v>12</v>
      </c>
      <c r="T4" s="52">
        <v>13</v>
      </c>
      <c r="U4" s="52">
        <v>14</v>
      </c>
      <c r="V4" s="52">
        <v>15</v>
      </c>
      <c r="W4" s="52">
        <v>16</v>
      </c>
      <c r="X4" s="52">
        <v>17</v>
      </c>
      <c r="Y4" s="52">
        <v>18</v>
      </c>
      <c r="Z4" s="52">
        <v>19</v>
      </c>
      <c r="AA4" s="52">
        <v>20</v>
      </c>
      <c r="AB4" s="52">
        <v>21</v>
      </c>
      <c r="AC4" s="52">
        <v>22</v>
      </c>
      <c r="AD4" s="52">
        <v>23</v>
      </c>
      <c r="AE4" s="52">
        <v>24</v>
      </c>
      <c r="AF4" s="52">
        <v>25</v>
      </c>
    </row>
    <row r="5" spans="2:33">
      <c r="B5" s="53">
        <v>1</v>
      </c>
      <c r="C5" s="54" t="s">
        <v>526</v>
      </c>
      <c r="D5" s="55">
        <f ca="1">SUM(F5:AF5)</f>
        <v>52880.69300115935</v>
      </c>
      <c r="E5" s="56" t="s">
        <v>111</v>
      </c>
      <c r="F5" s="57">
        <f t="shared" ref="F5:AF5" si="0">F6-F12</f>
        <v>0</v>
      </c>
      <c r="G5" s="57">
        <f t="shared" si="0"/>
        <v>0</v>
      </c>
      <c r="H5" s="57">
        <f t="shared" ca="1" si="0"/>
        <v>2816.3414176198344</v>
      </c>
      <c r="I5" s="57">
        <f t="shared" ca="1" si="0"/>
        <v>2801.1121604998343</v>
      </c>
      <c r="J5" s="57">
        <f t="shared" ca="1" si="0"/>
        <v>2785.9514350368745</v>
      </c>
      <c r="K5" s="57">
        <f t="shared" ca="1" si="0"/>
        <v>2696.7057585937823</v>
      </c>
      <c r="L5" s="57">
        <f t="shared" ca="1" si="0"/>
        <v>2676.8432401732844</v>
      </c>
      <c r="M5" s="57">
        <f t="shared" ca="1" si="0"/>
        <v>2757.3424817871796</v>
      </c>
      <c r="N5" s="57">
        <f t="shared" ca="1" si="0"/>
        <v>2467.4439647292593</v>
      </c>
      <c r="O5" s="57">
        <f t="shared" ca="1" si="0"/>
        <v>2180.1038554796914</v>
      </c>
      <c r="P5" s="57">
        <f t="shared" ca="1" si="0"/>
        <v>2156.987430580416</v>
      </c>
      <c r="Q5" s="57">
        <f t="shared" ca="1" si="0"/>
        <v>2133.9165300953882</v>
      </c>
      <c r="R5" s="57">
        <f t="shared" ca="1" si="0"/>
        <v>2142.7271984198578</v>
      </c>
      <c r="S5" s="57">
        <f t="shared" ca="1" si="0"/>
        <v>2059.5555826631085</v>
      </c>
      <c r="T5" s="57">
        <f t="shared" ca="1" si="0"/>
        <v>2036.6200299449351</v>
      </c>
      <c r="U5" s="57">
        <f t="shared" ca="1" si="0"/>
        <v>2013.7291877161883</v>
      </c>
      <c r="V5" s="57">
        <f t="shared" ca="1" si="0"/>
        <v>1990.8828547796661</v>
      </c>
      <c r="W5" s="57">
        <f t="shared" ca="1" si="0"/>
        <v>1929.6374340809746</v>
      </c>
      <c r="X5" s="57">
        <f t="shared" ca="1" si="0"/>
        <v>1919.8794081565165</v>
      </c>
      <c r="Y5" s="57">
        <f t="shared" ca="1" si="0"/>
        <v>1910.1652933487217</v>
      </c>
      <c r="Z5" s="57">
        <f t="shared" ca="1" si="0"/>
        <v>1900.4948920575528</v>
      </c>
      <c r="AA5" s="57">
        <f t="shared" ca="1" si="0"/>
        <v>1890.8680075721959</v>
      </c>
      <c r="AB5" s="57">
        <f t="shared" ca="1" si="0"/>
        <v>1541.6721715863698</v>
      </c>
      <c r="AC5" s="57">
        <f t="shared" ca="1" si="0"/>
        <v>1532.1317341169745</v>
      </c>
      <c r="AD5" s="57">
        <f t="shared" ca="1" si="0"/>
        <v>1522.6342286161869</v>
      </c>
      <c r="AE5" s="57">
        <f t="shared" ca="1" si="0"/>
        <v>1513.1794618901579</v>
      </c>
      <c r="AF5" s="57">
        <f t="shared" ca="1" si="0"/>
        <v>1503.7672416143955</v>
      </c>
    </row>
    <row r="6" spans="2:33">
      <c r="B6" s="56">
        <v>1.1000000000000001</v>
      </c>
      <c r="C6" s="58" t="s">
        <v>485</v>
      </c>
      <c r="D6" s="59">
        <f ca="1">SUM(F6:AF6)</f>
        <v>83320.27701197112</v>
      </c>
      <c r="E6" s="56" t="s">
        <v>111</v>
      </c>
      <c r="F6" s="60">
        <f t="shared" ref="F6:AF6" si="1">SUM(F7:F11)</f>
        <v>0</v>
      </c>
      <c r="G6" s="59">
        <f t="shared" si="1"/>
        <v>0</v>
      </c>
      <c r="H6" s="59">
        <f t="shared" ca="1" si="1"/>
        <v>3384.27936</v>
      </c>
      <c r="I6" s="59">
        <f t="shared" ca="1" si="1"/>
        <v>3369.0501028799999</v>
      </c>
      <c r="J6" s="59">
        <f t="shared" ca="1" si="1"/>
        <v>3353.8893774170401</v>
      </c>
      <c r="K6" s="59">
        <f t="shared" ca="1" si="1"/>
        <v>3338.7968752186598</v>
      </c>
      <c r="L6" s="59">
        <f t="shared" ca="1" si="1"/>
        <v>3323.7722892801798</v>
      </c>
      <c r="M6" s="59">
        <f t="shared" ca="1" si="1"/>
        <v>3472.0213354188299</v>
      </c>
      <c r="N6" s="59">
        <f t="shared" ca="1" si="1"/>
        <v>3456.3972394094499</v>
      </c>
      <c r="O6" s="59">
        <f t="shared" ca="1" si="1"/>
        <v>3440.8434518321101</v>
      </c>
      <c r="P6" s="59">
        <f t="shared" ca="1" si="1"/>
        <v>3425.35965629886</v>
      </c>
      <c r="Q6" s="59">
        <f t="shared" ca="1" si="1"/>
        <v>3409.94553784552</v>
      </c>
      <c r="R6" s="59">
        <f t="shared" ca="1" si="1"/>
        <v>3394.6007829252098</v>
      </c>
      <c r="S6" s="59">
        <f t="shared" ca="1" si="1"/>
        <v>3379.3250794020501</v>
      </c>
      <c r="T6" s="59">
        <f t="shared" ca="1" si="1"/>
        <v>3364.1181165447401</v>
      </c>
      <c r="U6" s="59">
        <f t="shared" ca="1" si="1"/>
        <v>3348.97958502029</v>
      </c>
      <c r="V6" s="59">
        <f t="shared" ca="1" si="1"/>
        <v>3333.9091768877001</v>
      </c>
      <c r="W6" s="59">
        <f t="shared" ca="1" si="1"/>
        <v>3318.9065855917001</v>
      </c>
      <c r="X6" s="59">
        <f t="shared" ca="1" si="1"/>
        <v>3303.9715059565401</v>
      </c>
      <c r="Y6" s="59">
        <f t="shared" ca="1" si="1"/>
        <v>3289.1036341797399</v>
      </c>
      <c r="Z6" s="59">
        <f t="shared" ca="1" si="1"/>
        <v>3274.3026678259298</v>
      </c>
      <c r="AA6" s="59">
        <f t="shared" ca="1" si="1"/>
        <v>3259.5683058207101</v>
      </c>
      <c r="AB6" s="59">
        <f t="shared" ca="1" si="1"/>
        <v>3244.90024844452</v>
      </c>
      <c r="AC6" s="59">
        <f t="shared" ca="1" si="1"/>
        <v>3230.29819732652</v>
      </c>
      <c r="AD6" s="59">
        <f t="shared" ca="1" si="1"/>
        <v>3215.7618554385499</v>
      </c>
      <c r="AE6" s="59">
        <f t="shared" ca="1" si="1"/>
        <v>3201.29092708908</v>
      </c>
      <c r="AF6" s="59">
        <f t="shared" ca="1" si="1"/>
        <v>3186.8851179171802</v>
      </c>
    </row>
    <row r="7" spans="2:33">
      <c r="B7" s="56"/>
      <c r="C7" s="61" t="s">
        <v>527</v>
      </c>
      <c r="D7" s="59">
        <f t="shared" ref="D7:D33" si="2">SUM(F7:AF7)</f>
        <v>83320.277011971106</v>
      </c>
      <c r="E7" s="56" t="s">
        <v>111</v>
      </c>
      <c r="F7" s="60"/>
      <c r="G7" s="59"/>
      <c r="H7" s="59">
        <f>'表6-现金流量表-资本金'!H7</f>
        <v>3384.27936</v>
      </c>
      <c r="I7" s="59">
        <f>'表6-现金流量表-资本金'!I7</f>
        <v>3369.0501028799999</v>
      </c>
      <c r="J7" s="59">
        <f>'表6-现金流量表-资本金'!J7</f>
        <v>3353.8893774170401</v>
      </c>
      <c r="K7" s="59">
        <f>'表6-现金流量表-资本金'!K7</f>
        <v>3338.7968752186598</v>
      </c>
      <c r="L7" s="59">
        <f>'表6-现金流量表-资本金'!L7</f>
        <v>3323.7722892801798</v>
      </c>
      <c r="M7" s="59">
        <f>'表6-现金流量表-资本金'!M7</f>
        <v>3472.0213354188299</v>
      </c>
      <c r="N7" s="59">
        <f>'表6-现金流量表-资本金'!N7</f>
        <v>3456.3972394094499</v>
      </c>
      <c r="O7" s="59">
        <f>'表6-现金流量表-资本金'!O7</f>
        <v>3440.8434518321101</v>
      </c>
      <c r="P7" s="59">
        <f>'表6-现金流量表-资本金'!P7</f>
        <v>3425.35965629886</v>
      </c>
      <c r="Q7" s="59">
        <f>'表6-现金流量表-资本金'!Q7</f>
        <v>3409.94553784552</v>
      </c>
      <c r="R7" s="59">
        <f>'表6-现金流量表-资本金'!R7</f>
        <v>3394.6007829252098</v>
      </c>
      <c r="S7" s="59">
        <f>'表6-现金流量表-资本金'!S7</f>
        <v>3379.3250794020501</v>
      </c>
      <c r="T7" s="59">
        <f>'表6-现金流量表-资本金'!T7</f>
        <v>3364.1181165447401</v>
      </c>
      <c r="U7" s="59">
        <f>'表6-现金流量表-资本金'!U7</f>
        <v>3348.97958502029</v>
      </c>
      <c r="V7" s="59">
        <f>'表6-现金流量表-资本金'!V7</f>
        <v>3333.9091768877001</v>
      </c>
      <c r="W7" s="59">
        <f>'表6-现金流量表-资本金'!W7</f>
        <v>3318.9065855917001</v>
      </c>
      <c r="X7" s="59">
        <f>'表6-现金流量表-资本金'!X7</f>
        <v>3303.9715059565401</v>
      </c>
      <c r="Y7" s="59">
        <f>'表6-现金流量表-资本金'!Y7</f>
        <v>3289.1036341797399</v>
      </c>
      <c r="Z7" s="59">
        <f>'表6-现金流量表-资本金'!Z7</f>
        <v>3274.3026678259298</v>
      </c>
      <c r="AA7" s="59">
        <f>'表6-现金流量表-资本金'!AA7</f>
        <v>3259.5683058207101</v>
      </c>
      <c r="AB7" s="59">
        <f>'表6-现金流量表-资本金'!AB7</f>
        <v>3244.90024844452</v>
      </c>
      <c r="AC7" s="59">
        <f>'表6-现金流量表-资本金'!AC7</f>
        <v>3230.29819732652</v>
      </c>
      <c r="AD7" s="59">
        <f>'表6-现金流量表-资本金'!AD7</f>
        <v>3215.7618554385499</v>
      </c>
      <c r="AE7" s="59">
        <f>'表6-现金流量表-资本金'!AE7</f>
        <v>3201.29092708908</v>
      </c>
      <c r="AF7" s="59">
        <f>'表6-现金流量表-资本金'!AF7</f>
        <v>3186.8851179171802</v>
      </c>
    </row>
    <row r="8" spans="2:33">
      <c r="B8" s="56"/>
      <c r="C8" s="61" t="s">
        <v>260</v>
      </c>
      <c r="D8" s="59">
        <f t="shared" si="2"/>
        <v>0</v>
      </c>
      <c r="E8" s="56" t="s">
        <v>111</v>
      </c>
      <c r="F8" s="60"/>
      <c r="G8" s="59"/>
      <c r="H8" s="59">
        <f>'表6-现金流量表-资本金'!H8</f>
        <v>0</v>
      </c>
      <c r="I8" s="59">
        <f>'表6-现金流量表-资本金'!I8</f>
        <v>0</v>
      </c>
      <c r="J8" s="59">
        <f>'表6-现金流量表-资本金'!J8</f>
        <v>0</v>
      </c>
      <c r="K8" s="59">
        <f>'表6-现金流量表-资本金'!K8</f>
        <v>0</v>
      </c>
      <c r="L8" s="59">
        <f>'表6-现金流量表-资本金'!L8</f>
        <v>0</v>
      </c>
      <c r="M8" s="59">
        <f>'表6-现金流量表-资本金'!M8</f>
        <v>0</v>
      </c>
      <c r="N8" s="59">
        <f>'表6-现金流量表-资本金'!N8</f>
        <v>0</v>
      </c>
      <c r="O8" s="59">
        <f>'表6-现金流量表-资本金'!O8</f>
        <v>0</v>
      </c>
      <c r="P8" s="59">
        <f>'表6-现金流量表-资本金'!P8</f>
        <v>0</v>
      </c>
      <c r="Q8" s="59">
        <f>'表6-现金流量表-资本金'!Q8</f>
        <v>0</v>
      </c>
      <c r="R8" s="59">
        <f>'表6-现金流量表-资本金'!R8</f>
        <v>0</v>
      </c>
      <c r="S8" s="59">
        <f>'表6-现金流量表-资本金'!S8</f>
        <v>0</v>
      </c>
      <c r="T8" s="59">
        <f>'表6-现金流量表-资本金'!T8</f>
        <v>0</v>
      </c>
      <c r="U8" s="59">
        <f>'表6-现金流量表-资本金'!U8</f>
        <v>0</v>
      </c>
      <c r="V8" s="59">
        <f>'表6-现金流量表-资本金'!V8</f>
        <v>0</v>
      </c>
      <c r="W8" s="59">
        <f>'表6-现金流量表-资本金'!W8</f>
        <v>0</v>
      </c>
      <c r="X8" s="59">
        <f>'表6-现金流量表-资本金'!X8</f>
        <v>0</v>
      </c>
      <c r="Y8" s="59">
        <f>'表6-现金流量表-资本金'!Y8</f>
        <v>0</v>
      </c>
      <c r="Z8" s="59">
        <f>'表6-现金流量表-资本金'!Z8</f>
        <v>0</v>
      </c>
      <c r="AA8" s="59">
        <f>'表6-现金流量表-资本金'!AA8</f>
        <v>0</v>
      </c>
      <c r="AB8" s="59">
        <f>'表6-现金流量表-资本金'!AB8</f>
        <v>0</v>
      </c>
      <c r="AC8" s="59">
        <f>'表6-现金流量表-资本金'!AC8</f>
        <v>0</v>
      </c>
      <c r="AD8" s="59">
        <f>'表6-现金流量表-资本金'!AD8</f>
        <v>0</v>
      </c>
      <c r="AE8" s="59">
        <f>'表6-现金流量表-资本金'!AE8</f>
        <v>0</v>
      </c>
      <c r="AF8" s="59">
        <f>'表6-现金流量表-资本金'!AF8</f>
        <v>0</v>
      </c>
    </row>
    <row r="9" spans="2:33" s="46" customFormat="1">
      <c r="B9" s="62"/>
      <c r="C9" s="63" t="s">
        <v>488</v>
      </c>
      <c r="D9" s="64">
        <f t="shared" si="2"/>
        <v>0</v>
      </c>
      <c r="E9" s="62" t="s">
        <v>111</v>
      </c>
      <c r="F9" s="65"/>
      <c r="G9" s="64"/>
      <c r="H9" s="64"/>
      <c r="I9" s="64"/>
      <c r="J9" s="64"/>
      <c r="K9" s="64"/>
      <c r="L9" s="64"/>
      <c r="M9" s="64"/>
      <c r="N9" s="64"/>
      <c r="O9" s="64"/>
      <c r="P9" s="64"/>
      <c r="Q9" s="64"/>
      <c r="R9" s="64"/>
      <c r="S9" s="64"/>
      <c r="T9" s="64"/>
      <c r="U9" s="64"/>
      <c r="V9" s="64"/>
      <c r="W9" s="64"/>
      <c r="X9" s="64"/>
      <c r="Y9" s="64"/>
      <c r="Z9" s="64"/>
      <c r="AA9" s="64"/>
      <c r="AB9" s="64"/>
      <c r="AC9" s="64"/>
      <c r="AD9" s="64"/>
      <c r="AE9" s="64"/>
      <c r="AF9" s="64">
        <v>0</v>
      </c>
      <c r="AG9" s="46" t="s">
        <v>528</v>
      </c>
    </row>
    <row r="10" spans="2:33">
      <c r="B10" s="56"/>
      <c r="C10" s="61" t="s">
        <v>419</v>
      </c>
      <c r="D10" s="59">
        <f t="shared" si="2"/>
        <v>0</v>
      </c>
      <c r="E10" s="56" t="s">
        <v>111</v>
      </c>
      <c r="F10" s="60"/>
      <c r="G10" s="59"/>
      <c r="H10" s="59">
        <f>参数输入表!H303</f>
        <v>0</v>
      </c>
      <c r="I10" s="59"/>
      <c r="J10" s="59"/>
      <c r="K10" s="59"/>
      <c r="L10" s="59"/>
      <c r="M10" s="59"/>
      <c r="N10" s="59"/>
      <c r="O10" s="59"/>
      <c r="P10" s="59"/>
      <c r="Q10" s="59"/>
      <c r="R10" s="59"/>
      <c r="S10" s="59"/>
      <c r="T10" s="59"/>
      <c r="U10" s="59"/>
      <c r="V10" s="59"/>
      <c r="W10" s="59"/>
      <c r="X10" s="59"/>
      <c r="Y10" s="59"/>
      <c r="Z10" s="59"/>
      <c r="AA10" s="59"/>
      <c r="AB10" s="59"/>
      <c r="AC10" s="59"/>
      <c r="AD10" s="59"/>
      <c r="AE10" s="59"/>
      <c r="AF10" s="59"/>
    </row>
    <row r="11" spans="2:33">
      <c r="B11" s="56"/>
      <c r="C11" s="61" t="s">
        <v>420</v>
      </c>
      <c r="D11" s="59">
        <f t="shared" ca="1" si="2"/>
        <v>0</v>
      </c>
      <c r="E11" s="56" t="s">
        <v>111</v>
      </c>
      <c r="F11" s="60"/>
      <c r="G11" s="59"/>
      <c r="H11" s="59">
        <f ca="1">'表4-收入税金表'!H19</f>
        <v>0</v>
      </c>
      <c r="I11" s="59">
        <f ca="1">'表4-收入税金表'!I19</f>
        <v>0</v>
      </c>
      <c r="J11" s="59">
        <f ca="1">'表4-收入税金表'!J19</f>
        <v>0</v>
      </c>
      <c r="K11" s="59">
        <f ca="1">'表4-收入税金表'!K19</f>
        <v>0</v>
      </c>
      <c r="L11" s="59">
        <f ca="1">'表4-收入税金表'!L19</f>
        <v>0</v>
      </c>
      <c r="M11" s="59">
        <f ca="1">'表4-收入税金表'!M19</f>
        <v>0</v>
      </c>
      <c r="N11" s="59">
        <f ca="1">'表4-收入税金表'!N19</f>
        <v>0</v>
      </c>
      <c r="O11" s="59">
        <f ca="1">'表4-收入税金表'!O19</f>
        <v>0</v>
      </c>
      <c r="P11" s="59">
        <f ca="1">'表4-收入税金表'!P19</f>
        <v>0</v>
      </c>
      <c r="Q11" s="59">
        <f ca="1">'表4-收入税金表'!Q19</f>
        <v>0</v>
      </c>
      <c r="R11" s="59">
        <f ca="1">'表4-收入税金表'!R19</f>
        <v>0</v>
      </c>
      <c r="S11" s="59">
        <f ca="1">'表4-收入税金表'!S19</f>
        <v>0</v>
      </c>
      <c r="T11" s="59">
        <f ca="1">'表4-收入税金表'!T19</f>
        <v>0</v>
      </c>
      <c r="U11" s="59">
        <f ca="1">'表4-收入税金表'!U19</f>
        <v>0</v>
      </c>
      <c r="V11" s="59">
        <f ca="1">'表4-收入税金表'!V19</f>
        <v>0</v>
      </c>
      <c r="W11" s="59">
        <f ca="1">'表4-收入税金表'!W19</f>
        <v>0</v>
      </c>
      <c r="X11" s="59">
        <f ca="1">'表4-收入税金表'!X19</f>
        <v>0</v>
      </c>
      <c r="Y11" s="59">
        <f ca="1">'表4-收入税金表'!Y19</f>
        <v>0</v>
      </c>
      <c r="Z11" s="59">
        <f ca="1">'表4-收入税金表'!Z19</f>
        <v>0</v>
      </c>
      <c r="AA11" s="59">
        <f ca="1">'表4-收入税金表'!AA19</f>
        <v>0</v>
      </c>
      <c r="AB11" s="59">
        <f ca="1">'表4-收入税金表'!AB19</f>
        <v>0</v>
      </c>
      <c r="AC11" s="59">
        <f ca="1">'表4-收入税金表'!AC19</f>
        <v>0</v>
      </c>
      <c r="AD11" s="59">
        <f ca="1">'表4-收入税金表'!AD19</f>
        <v>0</v>
      </c>
      <c r="AE11" s="59">
        <f ca="1">'表4-收入税金表'!AE19</f>
        <v>0</v>
      </c>
      <c r="AF11" s="59">
        <f ca="1">'表4-收入税金表'!AF19</f>
        <v>0</v>
      </c>
    </row>
    <row r="12" spans="2:33">
      <c r="B12" s="56">
        <v>1.2</v>
      </c>
      <c r="C12" s="58" t="s">
        <v>489</v>
      </c>
      <c r="D12" s="59">
        <f t="shared" ca="1" si="2"/>
        <v>30439.58401081177</v>
      </c>
      <c r="E12" s="56" t="s">
        <v>111</v>
      </c>
      <c r="F12" s="60">
        <f>SUM(F13:F16)</f>
        <v>0</v>
      </c>
      <c r="G12" s="60">
        <f t="shared" ref="G12:AF12" si="3">SUM(G13:G16)</f>
        <v>0</v>
      </c>
      <c r="H12" s="60">
        <f t="shared" ca="1" si="3"/>
        <v>567.93794238016551</v>
      </c>
      <c r="I12" s="60">
        <f t="shared" ca="1" si="3"/>
        <v>567.93794238016551</v>
      </c>
      <c r="J12" s="60">
        <f t="shared" ca="1" si="3"/>
        <v>567.93794238016551</v>
      </c>
      <c r="K12" s="60">
        <f t="shared" ca="1" si="3"/>
        <v>642.09111662487737</v>
      </c>
      <c r="L12" s="60">
        <f t="shared" ca="1" si="3"/>
        <v>646.92904910689549</v>
      </c>
      <c r="M12" s="60">
        <f t="shared" ca="1" si="3"/>
        <v>714.67885363165021</v>
      </c>
      <c r="N12" s="60">
        <f t="shared" ca="1" si="3"/>
        <v>988.95327468019048</v>
      </c>
      <c r="O12" s="60">
        <f t="shared" ca="1" si="3"/>
        <v>1260.7395963524189</v>
      </c>
      <c r="P12" s="60">
        <f t="shared" ca="1" si="3"/>
        <v>1268.3722257184443</v>
      </c>
      <c r="Q12" s="60">
        <f t="shared" ca="1" si="3"/>
        <v>1276.0290077501318</v>
      </c>
      <c r="R12" s="60">
        <f t="shared" ca="1" si="3"/>
        <v>1251.8735845053518</v>
      </c>
      <c r="S12" s="60">
        <f t="shared" ca="1" si="3"/>
        <v>1319.7694967389416</v>
      </c>
      <c r="T12" s="60">
        <f t="shared" ca="1" si="3"/>
        <v>1327.498086599805</v>
      </c>
      <c r="U12" s="60">
        <f t="shared" ca="1" si="3"/>
        <v>1335.2503973041016</v>
      </c>
      <c r="V12" s="60">
        <f t="shared" ca="1" si="3"/>
        <v>1343.026322108034</v>
      </c>
      <c r="W12" s="60">
        <f t="shared" ca="1" si="3"/>
        <v>1389.2691515107256</v>
      </c>
      <c r="X12" s="60">
        <f t="shared" ca="1" si="3"/>
        <v>1384.0920978000236</v>
      </c>
      <c r="Y12" s="60">
        <f t="shared" ca="1" si="3"/>
        <v>1378.9383408310182</v>
      </c>
      <c r="Z12" s="60">
        <f t="shared" ca="1" si="3"/>
        <v>1373.807775768377</v>
      </c>
      <c r="AA12" s="60">
        <f t="shared" ca="1" si="3"/>
        <v>1368.7002982485142</v>
      </c>
      <c r="AB12" s="60">
        <f t="shared" ca="1" si="3"/>
        <v>1703.2280768581502</v>
      </c>
      <c r="AC12" s="60">
        <f t="shared" ca="1" si="3"/>
        <v>1698.1664632095456</v>
      </c>
      <c r="AD12" s="60">
        <f t="shared" ca="1" si="3"/>
        <v>1693.127626822363</v>
      </c>
      <c r="AE12" s="60">
        <f t="shared" ca="1" si="3"/>
        <v>1688.1114651989221</v>
      </c>
      <c r="AF12" s="60">
        <f t="shared" ca="1" si="3"/>
        <v>1683.1178763027847</v>
      </c>
    </row>
    <row r="13" spans="2:33" s="47" customFormat="1">
      <c r="B13" s="66"/>
      <c r="C13" s="67" t="s">
        <v>498</v>
      </c>
      <c r="D13" s="68">
        <f t="shared" ca="1" si="2"/>
        <v>16761.341677008568</v>
      </c>
      <c r="E13" s="66" t="s">
        <v>111</v>
      </c>
      <c r="F13" s="69"/>
      <c r="G13" s="68"/>
      <c r="H13" s="68">
        <f ca="1">'表3-成本费用表'!H48+'表4-收入税金表'!H28</f>
        <v>567.93794238016551</v>
      </c>
      <c r="I13" s="68">
        <f ca="1">'表3-成本费用表'!I48+'表4-收入税金表'!I28</f>
        <v>567.93794238016551</v>
      </c>
      <c r="J13" s="68">
        <f ca="1">'表3-成本费用表'!J48+'表4-收入税金表'!J28</f>
        <v>567.93794238016551</v>
      </c>
      <c r="K13" s="68">
        <f ca="1">'表3-成本费用表'!K48+'表4-收入税金表'!K28</f>
        <v>567.93794238016551</v>
      </c>
      <c r="L13" s="68">
        <f ca="1">'表3-成本费用表'!L48+'表4-收入税金表'!L28</f>
        <v>567.93794238016551</v>
      </c>
      <c r="M13" s="68">
        <f ca="1">'表3-成本费用表'!M48+'表4-收入税金表'!M28</f>
        <v>619.19580473025451</v>
      </c>
      <c r="N13" s="68">
        <f ca="1">'表3-成本费用表'!N48+'表4-收入税金表'!N28</f>
        <v>619.19580473025451</v>
      </c>
      <c r="O13" s="68">
        <f ca="1">'表3-成本费用表'!O48+'表4-收入税金表'!O28</f>
        <v>619.19580473025451</v>
      </c>
      <c r="P13" s="68">
        <f ca="1">'表3-成本费用表'!P48+'表4-收入税金表'!P28</f>
        <v>619.19580473025451</v>
      </c>
      <c r="Q13" s="68">
        <f ca="1">'表3-成本费用表'!Q48+'表4-收入税金表'!Q28</f>
        <v>619.19580473025451</v>
      </c>
      <c r="R13" s="68">
        <f ca="1">'表3-成本费用表'!R48+'表4-收入税金表'!R28</f>
        <v>670.4536670803426</v>
      </c>
      <c r="S13" s="68">
        <f ca="1">'表3-成本费用表'!S48+'表4-收入税金表'!S28</f>
        <v>670.4536670803426</v>
      </c>
      <c r="T13" s="68">
        <f ca="1">'表3-成本费用表'!T48+'表4-收入税金表'!T28</f>
        <v>670.4536670803426</v>
      </c>
      <c r="U13" s="68">
        <f ca="1">'表3-成本费用表'!U48+'表4-收入税金表'!U28</f>
        <v>670.4536670803426</v>
      </c>
      <c r="V13" s="68">
        <f ca="1">'表3-成本费用表'!V48+'表4-收入税金表'!V28</f>
        <v>670.4536670803426</v>
      </c>
      <c r="W13" s="68">
        <f ca="1">'表3-成本费用表'!W48+'表4-收入税金表'!W28</f>
        <v>721.71152943043057</v>
      </c>
      <c r="X13" s="68">
        <f ca="1">'表3-成本费用表'!X48+'表4-收入税金表'!X28</f>
        <v>721.71152943043057</v>
      </c>
      <c r="Y13" s="68">
        <f ca="1">'表3-成本费用表'!Y48+'表4-收入税金表'!Y28</f>
        <v>721.71152943043057</v>
      </c>
      <c r="Z13" s="68">
        <f ca="1">'表3-成本费用表'!Z48+'表4-收入税金表'!Z28</f>
        <v>721.71152943043057</v>
      </c>
      <c r="AA13" s="68">
        <f ca="1">'表3-成本费用表'!AA48+'表4-收入税金表'!AA28</f>
        <v>721.71152943043057</v>
      </c>
      <c r="AB13" s="68">
        <f ca="1">'表3-成本费用表'!AB48+'表4-收入税金表'!AB28</f>
        <v>772.96939178051957</v>
      </c>
      <c r="AC13" s="68">
        <f ca="1">'表3-成本费用表'!AC48+'表4-收入税金表'!AC28</f>
        <v>772.96939178051957</v>
      </c>
      <c r="AD13" s="68">
        <f ca="1">'表3-成本费用表'!AD48+'表4-收入税金表'!AD28</f>
        <v>772.96939178051957</v>
      </c>
      <c r="AE13" s="68">
        <f ca="1">'表3-成本费用表'!AE48+'表4-收入税金表'!AE28</f>
        <v>772.96939178051957</v>
      </c>
      <c r="AF13" s="68">
        <f ca="1">'表3-成本费用表'!AF48+'表4-收入税金表'!AF28</f>
        <v>772.96939178051957</v>
      </c>
    </row>
    <row r="14" spans="2:33">
      <c r="B14" s="56"/>
      <c r="C14" s="61" t="s">
        <v>529</v>
      </c>
      <c r="D14" s="59">
        <f t="shared" ca="1" si="2"/>
        <v>6959.2285304036695</v>
      </c>
      <c r="E14" s="56" t="s">
        <v>111</v>
      </c>
      <c r="F14" s="60"/>
      <c r="G14" s="59"/>
      <c r="H14" s="59">
        <f ca="1">'表4-收入税金表'!H22</f>
        <v>0</v>
      </c>
      <c r="I14" s="59">
        <f ca="1">'表4-收入税金表'!I22</f>
        <v>0</v>
      </c>
      <c r="J14" s="59">
        <f ca="1">'表4-收入税金表'!J22</f>
        <v>0</v>
      </c>
      <c r="K14" s="59">
        <f ca="1">'表4-收入税金表'!K22</f>
        <v>0</v>
      </c>
      <c r="L14" s="59">
        <f ca="1">'表4-收入税金表'!L22</f>
        <v>0</v>
      </c>
      <c r="M14" s="59">
        <f ca="1">'表4-收入税金表'!M22</f>
        <v>0</v>
      </c>
      <c r="N14" s="59">
        <f ca="1">'表4-收入税金表'!N22</f>
        <v>155.27352491242738</v>
      </c>
      <c r="O14" s="59">
        <f ca="1">'表4-收入税金表'!O22</f>
        <v>395.84924667094998</v>
      </c>
      <c r="P14" s="59">
        <f ca="1">'表4-收入税金表'!P22</f>
        <v>394.06792506093097</v>
      </c>
      <c r="Q14" s="59">
        <f ca="1">'表4-收入税金表'!Q22</f>
        <v>392.29461939815701</v>
      </c>
      <c r="R14" s="59">
        <f ca="1">'表4-收入税金表'!R22</f>
        <v>335.30805467281192</v>
      </c>
      <c r="S14" s="59">
        <f ca="1">'表4-收入税金表'!S22</f>
        <v>388.77191178961601</v>
      </c>
      <c r="T14" s="59">
        <f ca="1">'表4-收入税金表'!T22</f>
        <v>387.02243818656302</v>
      </c>
      <c r="U14" s="59">
        <f ca="1">'表4-收入税金表'!U22</f>
        <v>385.28083721472399</v>
      </c>
      <c r="V14" s="59">
        <f ca="1">'表4-收入税金表'!V22</f>
        <v>383.54707344725699</v>
      </c>
      <c r="W14" s="59">
        <f ca="1">'表4-收入税金表'!W22</f>
        <v>381.82111161674499</v>
      </c>
      <c r="X14" s="59">
        <f ca="1">'表4-收入税金表'!X22</f>
        <v>380.10291661447002</v>
      </c>
      <c r="Y14" s="59">
        <f ca="1">'表4-收入税金表'!Y22</f>
        <v>378.392453489704</v>
      </c>
      <c r="Z14" s="59">
        <f ca="1">'表4-收入税金表'!Z22</f>
        <v>376.68968744900098</v>
      </c>
      <c r="AA14" s="59">
        <f ca="1">'表4-收入税金表'!AA22</f>
        <v>374.99458385548002</v>
      </c>
      <c r="AB14" s="59">
        <f ca="1">'表4-收入税金表'!AB22</f>
        <v>373.30710822813103</v>
      </c>
      <c r="AC14" s="59">
        <f ca="1">'表4-收入税金表'!AC22</f>
        <v>371.62722624110398</v>
      </c>
      <c r="AD14" s="59">
        <f ca="1">'表4-收入税金表'!AD22</f>
        <v>369.95490372301902</v>
      </c>
      <c r="AE14" s="59">
        <f ca="1">'表4-收入税金表'!AE22</f>
        <v>368.290106656266</v>
      </c>
      <c r="AF14" s="59">
        <f ca="1">'表4-收入税金表'!AF22</f>
        <v>366.632801176312</v>
      </c>
    </row>
    <row r="15" spans="2:33">
      <c r="B15" s="56"/>
      <c r="C15" s="61" t="s">
        <v>530</v>
      </c>
      <c r="D15" s="59">
        <f t="shared" ca="1" si="2"/>
        <v>835.10742364844054</v>
      </c>
      <c r="E15" s="56" t="s">
        <v>111</v>
      </c>
      <c r="F15" s="60"/>
      <c r="G15" s="59"/>
      <c r="H15" s="59">
        <f ca="1">'表4-收入税金表'!H46+'表4-收入税金表'!H50</f>
        <v>0</v>
      </c>
      <c r="I15" s="59">
        <f ca="1">'表4-收入税金表'!I46+'表4-收入税金表'!I50</f>
        <v>0</v>
      </c>
      <c r="J15" s="59">
        <f ca="1">'表4-收入税金表'!J46+'表4-收入税金表'!J50</f>
        <v>0</v>
      </c>
      <c r="K15" s="59">
        <f ca="1">'表4-收入税金表'!K46+'表4-收入税金表'!K50</f>
        <v>0</v>
      </c>
      <c r="L15" s="59">
        <f ca="1">'表4-收入税金表'!L46+'表4-收入税金表'!L50</f>
        <v>0</v>
      </c>
      <c r="M15" s="59">
        <f ca="1">'表4-收入税金表'!M46+'表4-收入税金表'!M50</f>
        <v>0</v>
      </c>
      <c r="N15" s="59">
        <f ca="1">'表4-收入税金表'!N46+'表4-收入税金表'!N50</f>
        <v>18.632822989491284</v>
      </c>
      <c r="O15" s="59">
        <f ca="1">'表4-收入税金表'!O46+'表4-收入税金表'!O50</f>
        <v>47.501909600514004</v>
      </c>
      <c r="P15" s="59">
        <f ca="1">'表4-收入税金表'!P46+'表4-收入税金表'!P50</f>
        <v>47.288151007311718</v>
      </c>
      <c r="Q15" s="59">
        <f ca="1">'表4-收入税金表'!Q46+'表4-收入税金表'!Q50</f>
        <v>47.075354327778847</v>
      </c>
      <c r="R15" s="59">
        <f ca="1">'表4-收入税金表'!R46+'表4-收入税金表'!R50</f>
        <v>40.236966560737436</v>
      </c>
      <c r="S15" s="59">
        <f ca="1">'表4-收入税金表'!S46+'表4-收入税金表'!S50</f>
        <v>46.652629414753925</v>
      </c>
      <c r="T15" s="59">
        <f ca="1">'表4-收入税金表'!T46+'表4-收入税金表'!T50</f>
        <v>46.442692582387565</v>
      </c>
      <c r="U15" s="59">
        <f ca="1">'表4-收入税金表'!U46+'表4-收入税金表'!U50</f>
        <v>46.23370046576688</v>
      </c>
      <c r="V15" s="59">
        <f ca="1">'表4-收入税金表'!V46+'表4-收入税金表'!V50</f>
        <v>46.025648813670841</v>
      </c>
      <c r="W15" s="59">
        <f ca="1">'表4-收入税金表'!W46+'表4-收入税金表'!W50</f>
        <v>45.8185333940094</v>
      </c>
      <c r="X15" s="59">
        <f ca="1">'表4-收入税金表'!X46+'表4-收入税金表'!X50</f>
        <v>45.612349993736402</v>
      </c>
      <c r="Y15" s="59">
        <f ca="1">'表4-收入税金表'!Y46+'表4-收入税金表'!Y50</f>
        <v>45.40709441876448</v>
      </c>
      <c r="Z15" s="59">
        <f ca="1">'表4-收入税金表'!Z46+'表4-收入税金表'!Z50</f>
        <v>45.202762493880115</v>
      </c>
      <c r="AA15" s="59">
        <f ca="1">'表4-收入税金表'!AA46+'表4-收入税金表'!AA50</f>
        <v>44.999350062657605</v>
      </c>
      <c r="AB15" s="59">
        <f ca="1">'表4-收入税金表'!AB46+'表4-收入税金表'!AB50</f>
        <v>44.796852987375722</v>
      </c>
      <c r="AC15" s="59">
        <f ca="1">'表4-收入税金表'!AC46+'表4-收入税金表'!AC50</f>
        <v>44.595267148932479</v>
      </c>
      <c r="AD15" s="59">
        <f ca="1">'表4-收入税金表'!AD46+'表4-收入税金表'!AD50</f>
        <v>44.394588446762285</v>
      </c>
      <c r="AE15" s="59">
        <f ca="1">'表4-收入税金表'!AE46+'表4-收入税金表'!AE50</f>
        <v>44.194812798751926</v>
      </c>
      <c r="AF15" s="59">
        <f ca="1">'表4-收入税金表'!AF46+'表4-收入税金表'!AF50</f>
        <v>43.995936141157443</v>
      </c>
    </row>
    <row r="16" spans="2:33">
      <c r="B16" s="56"/>
      <c r="C16" s="61" t="s">
        <v>468</v>
      </c>
      <c r="D16" s="59">
        <f t="shared" ca="1" si="2"/>
        <v>5883.9063797510908</v>
      </c>
      <c r="E16" s="56" t="s">
        <v>111</v>
      </c>
      <c r="F16" s="60"/>
      <c r="G16" s="59"/>
      <c r="H16" s="59">
        <f>'表5-利润表-资本金'!H22</f>
        <v>0</v>
      </c>
      <c r="I16" s="59">
        <f>'表5-利润表-资本金'!I22</f>
        <v>0</v>
      </c>
      <c r="J16" s="59">
        <f>'表5-利润表-资本金'!J22</f>
        <v>0</v>
      </c>
      <c r="K16" s="59">
        <f ca="1">'表5-利润表-资本金'!K22</f>
        <v>74.153174244711863</v>
      </c>
      <c r="L16" s="59">
        <f ca="1">'表5-利润表-资本金'!L22</f>
        <v>78.991106726729981</v>
      </c>
      <c r="M16" s="59">
        <f ca="1">'表5-利润表-资本金'!M22</f>
        <v>95.483048901395705</v>
      </c>
      <c r="N16" s="59">
        <f ca="1">'表5-利润表-资本金'!N22</f>
        <v>195.85112204801723</v>
      </c>
      <c r="O16" s="59">
        <f ca="1">'表5-利润表-资本金'!O22</f>
        <v>198.19263535070036</v>
      </c>
      <c r="P16" s="59">
        <f ca="1">'表5-利润表-资本金'!P22</f>
        <v>207.82034491994702</v>
      </c>
      <c r="Q16" s="59">
        <f ca="1">'表5-利润表-资本金'!Q22</f>
        <v>217.46322929394134</v>
      </c>
      <c r="R16" s="59">
        <f ca="1">'表5-利润表-资本金'!R22</f>
        <v>205.87489619145973</v>
      </c>
      <c r="S16" s="59">
        <f ca="1">'表5-利润表-资本金'!S22</f>
        <v>213.89128845422928</v>
      </c>
      <c r="T16" s="59">
        <f ca="1">'表5-利润表-资本金'!T22</f>
        <v>223.57928875051203</v>
      </c>
      <c r="U16" s="59">
        <f ca="1">'表5-利润表-资本金'!U22</f>
        <v>233.28219254326834</v>
      </c>
      <c r="V16" s="59">
        <f ca="1">'表5-利润表-资本金'!V22</f>
        <v>242.99993276676361</v>
      </c>
      <c r="W16" s="59">
        <f ca="1">'表5-利润表-资本金'!W22</f>
        <v>239.91797706954065</v>
      </c>
      <c r="X16" s="59">
        <f ca="1">'表5-利润表-资本金'!X22</f>
        <v>236.66530176138639</v>
      </c>
      <c r="Y16" s="59">
        <f ca="1">'表5-利润表-资本金'!Y22</f>
        <v>233.42726349211927</v>
      </c>
      <c r="Z16" s="59">
        <f ca="1">'表5-利润表-资本金'!Z22</f>
        <v>230.20379639506541</v>
      </c>
      <c r="AA16" s="59">
        <f ca="1">'表5-利润表-资本金'!AA22</f>
        <v>226.99483489994606</v>
      </c>
      <c r="AB16" s="59">
        <f ca="1">'表5-利润表-资本金'!AB22</f>
        <v>512.15472386212377</v>
      </c>
      <c r="AC16" s="59">
        <f ca="1">'表5-利润表-资本金'!AC22</f>
        <v>508.97457803898959</v>
      </c>
      <c r="AD16" s="59">
        <f ca="1">'表5-利润表-资本金'!AD22</f>
        <v>505.80874287206206</v>
      </c>
      <c r="AE16" s="59">
        <f ca="1">'表5-利润表-资本金'!AE22</f>
        <v>502.6571539633847</v>
      </c>
      <c r="AF16" s="59">
        <f ca="1">'表5-利润表-资本金'!AF22</f>
        <v>499.51974720479575</v>
      </c>
    </row>
    <row r="17" spans="2:32">
      <c r="B17" s="53">
        <v>2</v>
      </c>
      <c r="C17" s="54" t="s">
        <v>531</v>
      </c>
      <c r="D17" s="55">
        <f t="shared" ca="1" si="2"/>
        <v>-27803.100836986847</v>
      </c>
      <c r="E17" s="56" t="s">
        <v>111</v>
      </c>
      <c r="F17" s="57">
        <f ca="1">F18-F19</f>
        <v>-27083.100836986847</v>
      </c>
      <c r="G17" s="57">
        <f t="shared" ref="G17:AF17" si="4">G18-G19</f>
        <v>0</v>
      </c>
      <c r="H17" s="57">
        <f t="shared" si="4"/>
        <v>-240</v>
      </c>
      <c r="I17" s="57">
        <f t="shared" si="4"/>
        <v>0</v>
      </c>
      <c r="J17" s="57">
        <f t="shared" si="4"/>
        <v>0</v>
      </c>
      <c r="K17" s="57">
        <f t="shared" si="4"/>
        <v>0</v>
      </c>
      <c r="L17" s="57">
        <f t="shared" si="4"/>
        <v>0</v>
      </c>
      <c r="M17" s="57">
        <f t="shared" si="4"/>
        <v>0</v>
      </c>
      <c r="N17" s="57">
        <f t="shared" si="4"/>
        <v>0</v>
      </c>
      <c r="O17" s="57">
        <f t="shared" si="4"/>
        <v>0</v>
      </c>
      <c r="P17" s="57">
        <f t="shared" si="4"/>
        <v>0</v>
      </c>
      <c r="Q17" s="57">
        <f t="shared" si="4"/>
        <v>0</v>
      </c>
      <c r="R17" s="57">
        <f t="shared" si="4"/>
        <v>-480</v>
      </c>
      <c r="S17" s="57">
        <f t="shared" si="4"/>
        <v>0</v>
      </c>
      <c r="T17" s="57">
        <f t="shared" si="4"/>
        <v>0</v>
      </c>
      <c r="U17" s="57">
        <f t="shared" si="4"/>
        <v>0</v>
      </c>
      <c r="V17" s="57">
        <f t="shared" si="4"/>
        <v>0</v>
      </c>
      <c r="W17" s="57">
        <f t="shared" si="4"/>
        <v>0</v>
      </c>
      <c r="X17" s="57">
        <f t="shared" si="4"/>
        <v>0</v>
      </c>
      <c r="Y17" s="57">
        <f t="shared" si="4"/>
        <v>0</v>
      </c>
      <c r="Z17" s="57">
        <f t="shared" si="4"/>
        <v>0</v>
      </c>
      <c r="AA17" s="57">
        <f t="shared" si="4"/>
        <v>0</v>
      </c>
      <c r="AB17" s="57">
        <f t="shared" si="4"/>
        <v>0</v>
      </c>
      <c r="AC17" s="57">
        <f t="shared" si="4"/>
        <v>0</v>
      </c>
      <c r="AD17" s="57">
        <f t="shared" si="4"/>
        <v>0</v>
      </c>
      <c r="AE17" s="57">
        <f t="shared" si="4"/>
        <v>0</v>
      </c>
      <c r="AF17" s="57">
        <f t="shared" si="4"/>
        <v>0</v>
      </c>
    </row>
    <row r="18" spans="2:32">
      <c r="B18" s="56">
        <v>2.1</v>
      </c>
      <c r="C18" s="58" t="s">
        <v>485</v>
      </c>
      <c r="D18" s="59">
        <f t="shared" si="2"/>
        <v>0</v>
      </c>
      <c r="E18" s="56" t="s">
        <v>111</v>
      </c>
      <c r="F18" s="60">
        <v>0</v>
      </c>
      <c r="G18" s="60">
        <v>0</v>
      </c>
      <c r="H18" s="60">
        <v>0</v>
      </c>
      <c r="I18" s="60">
        <v>0</v>
      </c>
      <c r="J18" s="60">
        <v>0</v>
      </c>
      <c r="K18" s="60">
        <v>0</v>
      </c>
      <c r="L18" s="60">
        <v>0</v>
      </c>
      <c r="M18" s="60">
        <v>0</v>
      </c>
      <c r="N18" s="60">
        <v>0</v>
      </c>
      <c r="O18" s="60">
        <v>0</v>
      </c>
      <c r="P18" s="60">
        <v>0</v>
      </c>
      <c r="Q18" s="60">
        <v>0</v>
      </c>
      <c r="R18" s="60">
        <v>0</v>
      </c>
      <c r="S18" s="60">
        <v>0</v>
      </c>
      <c r="T18" s="60">
        <v>0</v>
      </c>
      <c r="U18" s="60">
        <v>0</v>
      </c>
      <c r="V18" s="60">
        <v>0</v>
      </c>
      <c r="W18" s="60">
        <v>0</v>
      </c>
      <c r="X18" s="60">
        <v>0</v>
      </c>
      <c r="Y18" s="60">
        <v>0</v>
      </c>
      <c r="Z18" s="60">
        <v>0</v>
      </c>
      <c r="AA18" s="60">
        <v>0</v>
      </c>
      <c r="AB18" s="60">
        <v>0</v>
      </c>
      <c r="AC18" s="60">
        <v>0</v>
      </c>
      <c r="AD18" s="60">
        <v>0</v>
      </c>
      <c r="AE18" s="60">
        <v>0</v>
      </c>
      <c r="AF18" s="60">
        <v>0</v>
      </c>
    </row>
    <row r="19" spans="2:32">
      <c r="B19" s="56">
        <v>2.2000000000000002</v>
      </c>
      <c r="C19" s="58" t="s">
        <v>489</v>
      </c>
      <c r="D19" s="59">
        <f t="shared" ca="1" si="2"/>
        <v>27803.100836986847</v>
      </c>
      <c r="E19" s="56" t="s">
        <v>111</v>
      </c>
      <c r="F19" s="60">
        <f ca="1">SUM(F20:F22)</f>
        <v>27083.100836986847</v>
      </c>
      <c r="G19" s="60">
        <f t="shared" ref="G19:AF19" si="5">SUM(G20:G22)</f>
        <v>0</v>
      </c>
      <c r="H19" s="60">
        <f t="shared" si="5"/>
        <v>240</v>
      </c>
      <c r="I19" s="60">
        <f t="shared" si="5"/>
        <v>0</v>
      </c>
      <c r="J19" s="60">
        <f t="shared" si="5"/>
        <v>0</v>
      </c>
      <c r="K19" s="60">
        <f t="shared" si="5"/>
        <v>0</v>
      </c>
      <c r="L19" s="60">
        <f t="shared" si="5"/>
        <v>0</v>
      </c>
      <c r="M19" s="60">
        <f t="shared" si="5"/>
        <v>0</v>
      </c>
      <c r="N19" s="60">
        <f t="shared" si="5"/>
        <v>0</v>
      </c>
      <c r="O19" s="60">
        <f t="shared" si="5"/>
        <v>0</v>
      </c>
      <c r="P19" s="60">
        <f t="shared" si="5"/>
        <v>0</v>
      </c>
      <c r="Q19" s="60">
        <f t="shared" si="5"/>
        <v>0</v>
      </c>
      <c r="R19" s="60">
        <f t="shared" si="5"/>
        <v>480</v>
      </c>
      <c r="S19" s="60">
        <f t="shared" si="5"/>
        <v>0</v>
      </c>
      <c r="T19" s="60">
        <f t="shared" si="5"/>
        <v>0</v>
      </c>
      <c r="U19" s="60">
        <f t="shared" si="5"/>
        <v>0</v>
      </c>
      <c r="V19" s="60">
        <f t="shared" si="5"/>
        <v>0</v>
      </c>
      <c r="W19" s="60">
        <f t="shared" si="5"/>
        <v>0</v>
      </c>
      <c r="X19" s="60">
        <f t="shared" si="5"/>
        <v>0</v>
      </c>
      <c r="Y19" s="60">
        <f t="shared" si="5"/>
        <v>0</v>
      </c>
      <c r="Z19" s="60">
        <f t="shared" si="5"/>
        <v>0</v>
      </c>
      <c r="AA19" s="60">
        <f t="shared" si="5"/>
        <v>0</v>
      </c>
      <c r="AB19" s="60">
        <f t="shared" si="5"/>
        <v>0</v>
      </c>
      <c r="AC19" s="60">
        <f t="shared" si="5"/>
        <v>0</v>
      </c>
      <c r="AD19" s="60">
        <f t="shared" si="5"/>
        <v>0</v>
      </c>
      <c r="AE19" s="60">
        <f t="shared" si="5"/>
        <v>0</v>
      </c>
      <c r="AF19" s="60">
        <f t="shared" si="5"/>
        <v>0</v>
      </c>
    </row>
    <row r="20" spans="2:32">
      <c r="B20" s="56"/>
      <c r="C20" s="61" t="s">
        <v>519</v>
      </c>
      <c r="D20" s="59">
        <f t="shared" ca="1" si="2"/>
        <v>27083.100836986847</v>
      </c>
      <c r="E20" s="56" t="s">
        <v>111</v>
      </c>
      <c r="F20" s="60">
        <f ca="1">'表1-资金筹措及还本付息表'!F6</f>
        <v>27083.100836986847</v>
      </c>
      <c r="G20" s="60">
        <f>'表1-资金筹措及还本付息表'!G6</f>
        <v>0</v>
      </c>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row>
    <row r="21" spans="2:32">
      <c r="B21" s="56"/>
      <c r="C21" s="61" t="s">
        <v>29</v>
      </c>
      <c r="D21" s="59">
        <f t="shared" si="2"/>
        <v>240</v>
      </c>
      <c r="E21" s="56" t="s">
        <v>111</v>
      </c>
      <c r="F21" s="60"/>
      <c r="G21" s="60"/>
      <c r="H21" s="59">
        <f>参数输入表!$H$118</f>
        <v>240</v>
      </c>
      <c r="I21" s="59"/>
      <c r="J21" s="59"/>
      <c r="K21" s="59"/>
      <c r="L21" s="59"/>
      <c r="M21" s="59"/>
      <c r="N21" s="59"/>
      <c r="O21" s="59"/>
      <c r="P21" s="59"/>
      <c r="Q21" s="59"/>
      <c r="R21" s="59"/>
      <c r="S21" s="59"/>
      <c r="T21" s="59"/>
      <c r="U21" s="59"/>
      <c r="V21" s="59"/>
      <c r="W21" s="59"/>
      <c r="X21" s="59"/>
      <c r="Y21" s="59"/>
      <c r="Z21" s="59"/>
      <c r="AA21" s="59"/>
      <c r="AB21" s="59"/>
      <c r="AC21" s="59"/>
      <c r="AD21" s="59"/>
      <c r="AE21" s="59"/>
      <c r="AF21" s="59"/>
    </row>
    <row r="22" spans="2:32">
      <c r="B22" s="56"/>
      <c r="C22" s="61" t="s">
        <v>500</v>
      </c>
      <c r="D22" s="59">
        <f t="shared" si="2"/>
        <v>480</v>
      </c>
      <c r="E22" s="56" t="s">
        <v>111</v>
      </c>
      <c r="F22" s="60"/>
      <c r="G22" s="60"/>
      <c r="H22" s="60">
        <f>'表6-现金流量表-资本金'!H26</f>
        <v>0</v>
      </c>
      <c r="I22" s="60">
        <f>'表6-现金流量表-资本金'!I26</f>
        <v>0</v>
      </c>
      <c r="J22" s="60">
        <f>'表6-现金流量表-资本金'!J26</f>
        <v>0</v>
      </c>
      <c r="K22" s="60">
        <f>'表6-现金流量表-资本金'!K26</f>
        <v>0</v>
      </c>
      <c r="L22" s="60">
        <f>'表6-现金流量表-资本金'!L26</f>
        <v>0</v>
      </c>
      <c r="M22" s="60">
        <f>'表6-现金流量表-资本金'!M26</f>
        <v>0</v>
      </c>
      <c r="N22" s="60">
        <f>'表6-现金流量表-资本金'!N26</f>
        <v>0</v>
      </c>
      <c r="O22" s="60">
        <f>'表6-现金流量表-资本金'!O26</f>
        <v>0</v>
      </c>
      <c r="P22" s="60">
        <f>'表6-现金流量表-资本金'!P26</f>
        <v>0</v>
      </c>
      <c r="Q22" s="60">
        <f>'表6-现金流量表-资本金'!Q26</f>
        <v>0</v>
      </c>
      <c r="R22" s="60">
        <f>'表6-现金流量表-资本金'!R26</f>
        <v>480</v>
      </c>
      <c r="S22" s="60">
        <f>'表6-现金流量表-资本金'!S26</f>
        <v>0</v>
      </c>
      <c r="T22" s="60">
        <f>'表6-现金流量表-资本金'!T26</f>
        <v>0</v>
      </c>
      <c r="U22" s="60">
        <f>'表6-现金流量表-资本金'!U26</f>
        <v>0</v>
      </c>
      <c r="V22" s="60">
        <f>'表6-现金流量表-资本金'!V26</f>
        <v>0</v>
      </c>
      <c r="W22" s="60">
        <f>'表6-现金流量表-资本金'!W26</f>
        <v>0</v>
      </c>
      <c r="X22" s="60">
        <f>'表6-现金流量表-资本金'!X26</f>
        <v>0</v>
      </c>
      <c r="Y22" s="60">
        <f>'表6-现金流量表-资本金'!Y26</f>
        <v>0</v>
      </c>
      <c r="Z22" s="60">
        <f>'表6-现金流量表-资本金'!Z26</f>
        <v>0</v>
      </c>
      <c r="AA22" s="60">
        <f>'表6-现金流量表-资本金'!AA26</f>
        <v>0</v>
      </c>
      <c r="AB22" s="60">
        <f>'表6-现金流量表-资本金'!AB26</f>
        <v>0</v>
      </c>
      <c r="AC22" s="60">
        <f>'表6-现金流量表-资本金'!AC26</f>
        <v>0</v>
      </c>
      <c r="AD22" s="60">
        <f>'表6-现金流量表-资本金'!AD26</f>
        <v>0</v>
      </c>
      <c r="AE22" s="60">
        <f>'表6-现金流量表-资本金'!AE26</f>
        <v>0</v>
      </c>
      <c r="AF22" s="60">
        <f>'表6-现金流量表-资本金'!AF26</f>
        <v>0</v>
      </c>
    </row>
    <row r="23" spans="2:32">
      <c r="B23" s="53">
        <v>3</v>
      </c>
      <c r="C23" s="54" t="s">
        <v>532</v>
      </c>
      <c r="D23" s="55">
        <f t="shared" ca="1" si="2"/>
        <v>-8729.6953444269366</v>
      </c>
      <c r="E23" s="56" t="s">
        <v>111</v>
      </c>
      <c r="F23" s="57">
        <f ca="1">F24-F29</f>
        <v>27083.100836986847</v>
      </c>
      <c r="G23" s="57">
        <f t="shared" ref="G23:AF23" si="6">G24-G29</f>
        <v>0</v>
      </c>
      <c r="H23" s="57">
        <f t="shared" ca="1" si="6"/>
        <v>-2032.6062535147116</v>
      </c>
      <c r="I23" s="57">
        <f t="shared" ca="1" si="6"/>
        <v>-2258.8817629140603</v>
      </c>
      <c r="J23" s="57">
        <f t="shared" ca="1" si="6"/>
        <v>-2241.3574787582766</v>
      </c>
      <c r="K23" s="57">
        <f t="shared" ca="1" si="6"/>
        <v>-2214.0870098521509</v>
      </c>
      <c r="L23" s="57">
        <f t="shared" ca="1" si="6"/>
        <v>-2185.1659123165282</v>
      </c>
      <c r="M23" s="57">
        <f t="shared" ca="1" si="6"/>
        <v>-2162.2498316973792</v>
      </c>
      <c r="N23" s="57">
        <f t="shared" ca="1" si="6"/>
        <v>-2126.5333733556222</v>
      </c>
      <c r="O23" s="57">
        <f t="shared" ca="1" si="6"/>
        <v>-2088.3553355051904</v>
      </c>
      <c r="P23" s="57">
        <f t="shared" ca="1" si="6"/>
        <v>-2050.1506912447039</v>
      </c>
      <c r="Q23" s="57">
        <f t="shared" ca="1" si="6"/>
        <v>-2011.9285929893558</v>
      </c>
      <c r="R23" s="57">
        <f t="shared" ca="1" si="6"/>
        <v>-1967.9599282795211</v>
      </c>
      <c r="S23" s="57">
        <f t="shared" ca="1" si="6"/>
        <v>-1924.6298205901701</v>
      </c>
      <c r="T23" s="57">
        <f t="shared" ca="1" si="6"/>
        <v>-1882.2682782564591</v>
      </c>
      <c r="U23" s="57">
        <f t="shared" ca="1" si="6"/>
        <v>-1840.6952978048644</v>
      </c>
      <c r="V23" s="57">
        <f t="shared" ca="1" si="6"/>
        <v>-1799.7650583140839</v>
      </c>
      <c r="W23" s="57">
        <f t="shared" ca="1" si="6"/>
        <v>-311.46747646367055</v>
      </c>
      <c r="X23" s="57">
        <f t="shared" ca="1" si="6"/>
        <v>-317.17780741114746</v>
      </c>
      <c r="Y23" s="57">
        <f t="shared" ca="1" si="6"/>
        <v>-320.92890514590164</v>
      </c>
      <c r="Z23" s="57">
        <f t="shared" ca="1" si="6"/>
        <v>-323.09695819484801</v>
      </c>
      <c r="AA23" s="57">
        <f t="shared" ca="1" si="6"/>
        <v>-336.50947619839178</v>
      </c>
      <c r="AB23" s="57">
        <f t="shared" ca="1" si="6"/>
        <v>-457.02574573718971</v>
      </c>
      <c r="AC23" s="57">
        <f t="shared" ca="1" si="6"/>
        <v>-564.5363445751675</v>
      </c>
      <c r="AD23" s="57">
        <f t="shared" ca="1" si="6"/>
        <v>-660.34613297926933</v>
      </c>
      <c r="AE23" s="57">
        <f t="shared" ca="1" si="6"/>
        <v>-745.62946587035788</v>
      </c>
      <c r="AF23" s="57">
        <f t="shared" ca="1" si="6"/>
        <v>-989.44324344476081</v>
      </c>
    </row>
    <row r="24" spans="2:32">
      <c r="B24" s="56">
        <v>3.1</v>
      </c>
      <c r="C24" s="58" t="s">
        <v>485</v>
      </c>
      <c r="D24" s="59">
        <f t="shared" ca="1" si="2"/>
        <v>27323.100836986847</v>
      </c>
      <c r="E24" s="56" t="s">
        <v>111</v>
      </c>
      <c r="F24" s="60">
        <f ca="1">SUM(F25:F28)</f>
        <v>27083.100836986847</v>
      </c>
      <c r="G24" s="60">
        <f t="shared" ref="G24:AF24" si="7">SUM(G25:G28)</f>
        <v>0</v>
      </c>
      <c r="H24" s="60">
        <f t="shared" ca="1" si="7"/>
        <v>240</v>
      </c>
      <c r="I24" s="60">
        <f t="shared" ca="1" si="7"/>
        <v>0</v>
      </c>
      <c r="J24" s="60">
        <f t="shared" ca="1" si="7"/>
        <v>0</v>
      </c>
      <c r="K24" s="60">
        <f t="shared" ca="1" si="7"/>
        <v>0</v>
      </c>
      <c r="L24" s="60">
        <f t="shared" ca="1" si="7"/>
        <v>0</v>
      </c>
      <c r="M24" s="60">
        <f t="shared" ca="1" si="7"/>
        <v>0</v>
      </c>
      <c r="N24" s="60">
        <f t="shared" ca="1" si="7"/>
        <v>0</v>
      </c>
      <c r="O24" s="60">
        <f t="shared" ca="1" si="7"/>
        <v>0</v>
      </c>
      <c r="P24" s="60">
        <f t="shared" ca="1" si="7"/>
        <v>0</v>
      </c>
      <c r="Q24" s="60">
        <f t="shared" ca="1" si="7"/>
        <v>0</v>
      </c>
      <c r="R24" s="60">
        <f t="shared" ca="1" si="7"/>
        <v>0</v>
      </c>
      <c r="S24" s="60">
        <f t="shared" ca="1" si="7"/>
        <v>0</v>
      </c>
      <c r="T24" s="60">
        <f t="shared" ca="1" si="7"/>
        <v>0</v>
      </c>
      <c r="U24" s="60">
        <f t="shared" ca="1" si="7"/>
        <v>0</v>
      </c>
      <c r="V24" s="60">
        <f t="shared" ca="1" si="7"/>
        <v>0</v>
      </c>
      <c r="W24" s="60">
        <f t="shared" ca="1" si="7"/>
        <v>0</v>
      </c>
      <c r="X24" s="60">
        <f t="shared" ca="1" si="7"/>
        <v>0</v>
      </c>
      <c r="Y24" s="60">
        <f t="shared" ca="1" si="7"/>
        <v>0</v>
      </c>
      <c r="Z24" s="60">
        <f t="shared" ca="1" si="7"/>
        <v>0</v>
      </c>
      <c r="AA24" s="60">
        <f t="shared" ca="1" si="7"/>
        <v>0</v>
      </c>
      <c r="AB24" s="60">
        <f t="shared" ca="1" si="7"/>
        <v>0</v>
      </c>
      <c r="AC24" s="60">
        <f t="shared" ca="1" si="7"/>
        <v>0</v>
      </c>
      <c r="AD24" s="60">
        <f t="shared" ca="1" si="7"/>
        <v>0</v>
      </c>
      <c r="AE24" s="60">
        <f t="shared" ca="1" si="7"/>
        <v>0</v>
      </c>
      <c r="AF24" s="60">
        <f t="shared" ca="1" si="7"/>
        <v>0</v>
      </c>
    </row>
    <row r="25" spans="2:32">
      <c r="B25" s="56"/>
      <c r="C25" s="61" t="s">
        <v>533</v>
      </c>
      <c r="D25" s="59">
        <f t="shared" ca="1" si="2"/>
        <v>5488.6201673973701</v>
      </c>
      <c r="E25" s="56" t="s">
        <v>111</v>
      </c>
      <c r="F25" s="60">
        <f ca="1">'表1-资金筹措及还本付息表'!F11</f>
        <v>5416.6201673973701</v>
      </c>
      <c r="G25" s="60">
        <f>'表1-资金筹措及还本付息表'!G11</f>
        <v>0</v>
      </c>
      <c r="H25" s="60">
        <f>'表1-资金筹措及还本付息表'!H11</f>
        <v>72</v>
      </c>
      <c r="I25" s="59"/>
      <c r="J25" s="59"/>
      <c r="K25" s="59"/>
      <c r="L25" s="59"/>
      <c r="M25" s="59"/>
      <c r="N25" s="59"/>
      <c r="O25" s="59"/>
      <c r="P25" s="59"/>
      <c r="Q25" s="59"/>
      <c r="R25" s="59"/>
      <c r="S25" s="59"/>
      <c r="T25" s="59"/>
      <c r="U25" s="59"/>
      <c r="V25" s="59"/>
      <c r="W25" s="59"/>
      <c r="X25" s="59"/>
      <c r="Y25" s="59"/>
      <c r="Z25" s="59"/>
      <c r="AA25" s="59"/>
      <c r="AB25" s="59"/>
      <c r="AC25" s="59"/>
      <c r="AD25" s="59"/>
      <c r="AE25" s="59"/>
      <c r="AF25" s="59"/>
    </row>
    <row r="26" spans="2:32">
      <c r="B26" s="56"/>
      <c r="C26" s="61" t="s">
        <v>492</v>
      </c>
      <c r="D26" s="59">
        <f t="shared" ca="1" si="2"/>
        <v>21666.480669589477</v>
      </c>
      <c r="E26" s="56" t="s">
        <v>111</v>
      </c>
      <c r="F26" s="60">
        <f ca="1">'表1-资金筹措及还本付息表'!F40</f>
        <v>21666.480669589477</v>
      </c>
      <c r="G26" s="60">
        <f>'表1-资金筹措及还本付息表'!G40</f>
        <v>0</v>
      </c>
      <c r="H26" s="60">
        <f>'表1-资金筹措及还本付息表'!H40</f>
        <v>0</v>
      </c>
      <c r="I26" s="60">
        <f>'表1-资金筹措及还本付息表'!I40</f>
        <v>0</v>
      </c>
      <c r="J26" s="60">
        <f>'表1-资金筹措及还本付息表'!J40</f>
        <v>0</v>
      </c>
      <c r="K26" s="60">
        <f>'表1-资金筹措及还本付息表'!K40</f>
        <v>0</v>
      </c>
      <c r="L26" s="60">
        <f>'表1-资金筹措及还本付息表'!L40</f>
        <v>0</v>
      </c>
      <c r="M26" s="60">
        <f>'表1-资金筹措及还本付息表'!M40</f>
        <v>0</v>
      </c>
      <c r="N26" s="60">
        <f>'表1-资金筹措及还本付息表'!N40</f>
        <v>0</v>
      </c>
      <c r="O26" s="60">
        <f>'表1-资金筹措及还本付息表'!O40</f>
        <v>0</v>
      </c>
      <c r="P26" s="60">
        <f>'表1-资金筹措及还本付息表'!P40</f>
        <v>0</v>
      </c>
      <c r="Q26" s="60">
        <f>'表1-资金筹措及还本付息表'!Q40</f>
        <v>0</v>
      </c>
      <c r="R26" s="60">
        <f>'表1-资金筹措及还本付息表'!R40</f>
        <v>0</v>
      </c>
      <c r="S26" s="60">
        <f>'表1-资金筹措及还本付息表'!S40</f>
        <v>0</v>
      </c>
      <c r="T26" s="60">
        <f>'表1-资金筹措及还本付息表'!T40</f>
        <v>0</v>
      </c>
      <c r="U26" s="60">
        <f>'表1-资金筹措及还本付息表'!U40</f>
        <v>0</v>
      </c>
      <c r="V26" s="60">
        <f>'表1-资金筹措及还本付息表'!V40</f>
        <v>0</v>
      </c>
      <c r="W26" s="60">
        <f>'表1-资金筹措及还本付息表'!W40</f>
        <v>0</v>
      </c>
      <c r="X26" s="60">
        <f>'表1-资金筹措及还本付息表'!X40</f>
        <v>0</v>
      </c>
      <c r="Y26" s="60">
        <f>'表1-资金筹措及还本付息表'!Y40</f>
        <v>0</v>
      </c>
      <c r="Z26" s="60">
        <f>'表1-资金筹措及还本付息表'!Z40</f>
        <v>0</v>
      </c>
      <c r="AA26" s="60">
        <f>'表1-资金筹措及还本付息表'!AA40</f>
        <v>0</v>
      </c>
      <c r="AB26" s="60">
        <f>'表1-资金筹措及还本付息表'!AB40</f>
        <v>0</v>
      </c>
      <c r="AC26" s="60">
        <f>'表1-资金筹措及还本付息表'!AC40</f>
        <v>0</v>
      </c>
      <c r="AD26" s="60">
        <f>'表1-资金筹措及还本付息表'!AD40</f>
        <v>0</v>
      </c>
      <c r="AE26" s="60">
        <f>'表1-资金筹措及还本付息表'!AE40</f>
        <v>0</v>
      </c>
      <c r="AF26" s="60">
        <f>'表1-资金筹措及还本付息表'!AF40</f>
        <v>0</v>
      </c>
    </row>
    <row r="27" spans="2:32">
      <c r="B27" s="56"/>
      <c r="C27" s="61" t="s">
        <v>534</v>
      </c>
      <c r="D27" s="59">
        <f t="shared" si="2"/>
        <v>168</v>
      </c>
      <c r="E27" s="56" t="s">
        <v>111</v>
      </c>
      <c r="F27" s="60">
        <f>'表1-资金筹措及还本付息表'!F60</f>
        <v>0</v>
      </c>
      <c r="G27" s="60">
        <f>'表1-资金筹措及还本付息表'!G60</f>
        <v>0</v>
      </c>
      <c r="H27" s="60">
        <f>'表1-资金筹措及还本付息表'!H60</f>
        <v>168</v>
      </c>
      <c r="I27" s="60">
        <f>'表1-资金筹措及还本付息表'!I60</f>
        <v>0</v>
      </c>
      <c r="J27" s="60">
        <f>'表1-资金筹措及还本付息表'!J60</f>
        <v>0</v>
      </c>
      <c r="K27" s="60">
        <f>'表1-资金筹措及还本付息表'!K60</f>
        <v>0</v>
      </c>
      <c r="L27" s="60">
        <f>'表1-资金筹措及还本付息表'!L60</f>
        <v>0</v>
      </c>
      <c r="M27" s="60">
        <f>'表1-资金筹措及还本付息表'!M60</f>
        <v>0</v>
      </c>
      <c r="N27" s="60">
        <f>'表1-资金筹措及还本付息表'!N60</f>
        <v>0</v>
      </c>
      <c r="O27" s="60">
        <f>'表1-资金筹措及还本付息表'!O60</f>
        <v>0</v>
      </c>
      <c r="P27" s="60">
        <f>'表1-资金筹措及还本付息表'!P60</f>
        <v>0</v>
      </c>
      <c r="Q27" s="60">
        <f>'表1-资金筹措及还本付息表'!Q60</f>
        <v>0</v>
      </c>
      <c r="R27" s="60">
        <f>'表1-资金筹措及还本付息表'!R60</f>
        <v>0</v>
      </c>
      <c r="S27" s="60">
        <f>'表1-资金筹措及还本付息表'!S60</f>
        <v>0</v>
      </c>
      <c r="T27" s="60">
        <f>'表1-资金筹措及还本付息表'!T60</f>
        <v>0</v>
      </c>
      <c r="U27" s="60">
        <f>'表1-资金筹措及还本付息表'!U60</f>
        <v>0</v>
      </c>
      <c r="V27" s="60">
        <f>'表1-资金筹措及还本付息表'!V60</f>
        <v>0</v>
      </c>
      <c r="W27" s="60">
        <f>'表1-资金筹措及还本付息表'!W60</f>
        <v>0</v>
      </c>
      <c r="X27" s="60">
        <f>'表1-资金筹措及还本付息表'!X60</f>
        <v>0</v>
      </c>
      <c r="Y27" s="60">
        <f>'表1-资金筹措及还本付息表'!Y60</f>
        <v>0</v>
      </c>
      <c r="Z27" s="60">
        <f>'表1-资金筹措及还本付息表'!Z60</f>
        <v>0</v>
      </c>
      <c r="AA27" s="60">
        <f>'表1-资金筹措及还本付息表'!AA60</f>
        <v>0</v>
      </c>
      <c r="AB27" s="60">
        <f>'表1-资金筹措及还本付息表'!AB60</f>
        <v>0</v>
      </c>
      <c r="AC27" s="60">
        <f>'表1-资金筹措及还本付息表'!AC60</f>
        <v>0</v>
      </c>
      <c r="AD27" s="60">
        <f>'表1-资金筹措及还本付息表'!AD60</f>
        <v>0</v>
      </c>
      <c r="AE27" s="60">
        <f>'表1-资金筹措及还本付息表'!AE60</f>
        <v>0</v>
      </c>
      <c r="AF27" s="60">
        <f>'表1-资金筹措及还本付息表'!AF60</f>
        <v>0</v>
      </c>
    </row>
    <row r="28" spans="2:32">
      <c r="B28" s="56"/>
      <c r="C28" s="61" t="s">
        <v>154</v>
      </c>
      <c r="D28" s="59">
        <f t="shared" ca="1" si="2"/>
        <v>0</v>
      </c>
      <c r="E28" s="56" t="s">
        <v>111</v>
      </c>
      <c r="F28" s="60">
        <f>'表1-资金筹措及还本付息表'!F70</f>
        <v>0</v>
      </c>
      <c r="G28" s="60">
        <f>'表1-资金筹措及还本付息表'!G70</f>
        <v>0</v>
      </c>
      <c r="H28" s="60">
        <f ca="1">'表1-资金筹措及还本付息表'!H70</f>
        <v>0</v>
      </c>
      <c r="I28" s="60">
        <f ca="1">'表1-资金筹措及还本付息表'!I70</f>
        <v>0</v>
      </c>
      <c r="J28" s="60">
        <f ca="1">'表1-资金筹措及还本付息表'!J70</f>
        <v>0</v>
      </c>
      <c r="K28" s="60">
        <f ca="1">'表1-资金筹措及还本付息表'!K70</f>
        <v>0</v>
      </c>
      <c r="L28" s="60">
        <f ca="1">'表1-资金筹措及还本付息表'!L70</f>
        <v>0</v>
      </c>
      <c r="M28" s="60">
        <f ca="1">'表1-资金筹措及还本付息表'!M70</f>
        <v>0</v>
      </c>
      <c r="N28" s="60">
        <f ca="1">'表1-资金筹措及还本付息表'!N70</f>
        <v>0</v>
      </c>
      <c r="O28" s="60">
        <f ca="1">'表1-资金筹措及还本付息表'!O70</f>
        <v>0</v>
      </c>
      <c r="P28" s="60">
        <f ca="1">'表1-资金筹措及还本付息表'!P70</f>
        <v>0</v>
      </c>
      <c r="Q28" s="60">
        <f ca="1">'表1-资金筹措及还本付息表'!Q70</f>
        <v>0</v>
      </c>
      <c r="R28" s="60">
        <f ca="1">'表1-资金筹措及还本付息表'!R70</f>
        <v>0</v>
      </c>
      <c r="S28" s="60">
        <f ca="1">'表1-资金筹措及还本付息表'!S70</f>
        <v>0</v>
      </c>
      <c r="T28" s="60">
        <f ca="1">'表1-资金筹措及还本付息表'!T70</f>
        <v>0</v>
      </c>
      <c r="U28" s="60">
        <f ca="1">'表1-资金筹措及还本付息表'!U70</f>
        <v>0</v>
      </c>
      <c r="V28" s="60">
        <f ca="1">'表1-资金筹措及还本付息表'!V70</f>
        <v>0</v>
      </c>
      <c r="W28" s="60">
        <f ca="1">'表1-资金筹措及还本付息表'!W70</f>
        <v>0</v>
      </c>
      <c r="X28" s="60">
        <f ca="1">'表1-资金筹措及还本付息表'!X70</f>
        <v>0</v>
      </c>
      <c r="Y28" s="60">
        <f ca="1">'表1-资金筹措及还本付息表'!Y70</f>
        <v>0</v>
      </c>
      <c r="Z28" s="60">
        <f ca="1">'表1-资金筹措及还本付息表'!Z70</f>
        <v>0</v>
      </c>
      <c r="AA28" s="60">
        <f ca="1">'表1-资金筹措及还本付息表'!AA70</f>
        <v>0</v>
      </c>
      <c r="AB28" s="60">
        <f ca="1">'表1-资金筹措及还本付息表'!AB70</f>
        <v>0</v>
      </c>
      <c r="AC28" s="60">
        <f ca="1">'表1-资金筹措及还本付息表'!AC70</f>
        <v>0</v>
      </c>
      <c r="AD28" s="60">
        <f ca="1">'表1-资金筹措及还本付息表'!AD70</f>
        <v>0</v>
      </c>
      <c r="AE28" s="60">
        <f ca="1">'表1-资金筹措及还本付息表'!AE70</f>
        <v>0</v>
      </c>
      <c r="AF28" s="60">
        <f ca="1">'表1-资金筹措及还本付息表'!AF70</f>
        <v>0</v>
      </c>
    </row>
    <row r="29" spans="2:32">
      <c r="B29" s="56">
        <v>3.2</v>
      </c>
      <c r="C29" s="58" t="s">
        <v>489</v>
      </c>
      <c r="D29" s="59">
        <f t="shared" ca="1" si="2"/>
        <v>36052.796181413774</v>
      </c>
      <c r="E29" s="56" t="s">
        <v>111</v>
      </c>
      <c r="F29" s="60">
        <f>SUM(F30:F32)</f>
        <v>0</v>
      </c>
      <c r="G29" s="60">
        <f t="shared" ref="G29:AF29" si="8">SUM(G30:G32)</f>
        <v>0</v>
      </c>
      <c r="H29" s="60">
        <f t="shared" ca="1" si="8"/>
        <v>2272.6062535147116</v>
      </c>
      <c r="I29" s="60">
        <f t="shared" ca="1" si="8"/>
        <v>2258.8817629140603</v>
      </c>
      <c r="J29" s="60">
        <f t="shared" ca="1" si="8"/>
        <v>2241.3574787582766</v>
      </c>
      <c r="K29" s="60">
        <f t="shared" ca="1" si="8"/>
        <v>2214.0870098521509</v>
      </c>
      <c r="L29" s="60">
        <f t="shared" ca="1" si="8"/>
        <v>2185.1659123165282</v>
      </c>
      <c r="M29" s="60">
        <f t="shared" ca="1" si="8"/>
        <v>2162.2498316973792</v>
      </c>
      <c r="N29" s="60">
        <f t="shared" ca="1" si="8"/>
        <v>2126.5333733556222</v>
      </c>
      <c r="O29" s="60">
        <f t="shared" ca="1" si="8"/>
        <v>2088.3553355051904</v>
      </c>
      <c r="P29" s="60">
        <f t="shared" ca="1" si="8"/>
        <v>2050.1506912447039</v>
      </c>
      <c r="Q29" s="60">
        <f t="shared" ca="1" si="8"/>
        <v>2011.9285929893558</v>
      </c>
      <c r="R29" s="60">
        <f t="shared" ca="1" si="8"/>
        <v>1967.9599282795211</v>
      </c>
      <c r="S29" s="60">
        <f t="shared" ca="1" si="8"/>
        <v>1924.6298205901701</v>
      </c>
      <c r="T29" s="60">
        <f t="shared" ca="1" si="8"/>
        <v>1882.2682782564591</v>
      </c>
      <c r="U29" s="60">
        <f t="shared" ca="1" si="8"/>
        <v>1840.6952978048644</v>
      </c>
      <c r="V29" s="60">
        <f t="shared" ca="1" si="8"/>
        <v>1799.7650583140839</v>
      </c>
      <c r="W29" s="60">
        <f t="shared" ca="1" si="8"/>
        <v>311.46747646367055</v>
      </c>
      <c r="X29" s="60">
        <f t="shared" ca="1" si="8"/>
        <v>317.17780741114746</v>
      </c>
      <c r="Y29" s="60">
        <f t="shared" ca="1" si="8"/>
        <v>320.92890514590164</v>
      </c>
      <c r="Z29" s="60">
        <f t="shared" ca="1" si="8"/>
        <v>323.09695819484801</v>
      </c>
      <c r="AA29" s="60">
        <f t="shared" ca="1" si="8"/>
        <v>336.50947619839178</v>
      </c>
      <c r="AB29" s="60">
        <f t="shared" ca="1" si="8"/>
        <v>457.02574573718971</v>
      </c>
      <c r="AC29" s="60">
        <f t="shared" ca="1" si="8"/>
        <v>564.5363445751675</v>
      </c>
      <c r="AD29" s="60">
        <f t="shared" ca="1" si="8"/>
        <v>660.34613297926933</v>
      </c>
      <c r="AE29" s="60">
        <f t="shared" ca="1" si="8"/>
        <v>745.62946587035788</v>
      </c>
      <c r="AF29" s="60">
        <f t="shared" ca="1" si="8"/>
        <v>989.44324344476081</v>
      </c>
    </row>
    <row r="30" spans="2:32">
      <c r="B30" s="56"/>
      <c r="C30" s="61" t="s">
        <v>535</v>
      </c>
      <c r="D30" s="59">
        <f t="shared" ca="1" si="2"/>
        <v>21834.480669589484</v>
      </c>
      <c r="E30" s="56" t="s">
        <v>111</v>
      </c>
      <c r="F30" s="60"/>
      <c r="G30" s="59"/>
      <c r="H30" s="59">
        <f ca="1">'表1-资金筹措及还本付息表'!H92</f>
        <v>1444.4320446392985</v>
      </c>
      <c r="I30" s="59">
        <f ca="1">'表1-资金筹措及还本付息表'!I92</f>
        <v>1444.4320446392985</v>
      </c>
      <c r="J30" s="59">
        <f ca="1">'表1-资金筹措及还本付息表'!J92</f>
        <v>1444.4320446392985</v>
      </c>
      <c r="K30" s="59">
        <f ca="1">'表1-资金筹措及还本付息表'!K92</f>
        <v>1444.4320446392985</v>
      </c>
      <c r="L30" s="59">
        <f ca="1">'表1-资金筹措及还本付息表'!L92</f>
        <v>1444.4320446392985</v>
      </c>
      <c r="M30" s="59">
        <f ca="1">'表1-资金筹措及还本付息表'!M92</f>
        <v>1444.4320446392985</v>
      </c>
      <c r="N30" s="59">
        <f ca="1">'表1-资金筹措及还本付息表'!N92</f>
        <v>1444.4320446392985</v>
      </c>
      <c r="O30" s="59">
        <f ca="1">'表1-资金筹措及还本付息表'!O92</f>
        <v>1444.4320446392985</v>
      </c>
      <c r="P30" s="59">
        <f ca="1">'表1-资金筹措及还本付息表'!P92</f>
        <v>1444.4320446392985</v>
      </c>
      <c r="Q30" s="59">
        <f ca="1">'表1-资金筹措及还本付息表'!Q92</f>
        <v>1444.4320446392985</v>
      </c>
      <c r="R30" s="59">
        <f ca="1">'表1-资金筹措及还本付息表'!R92</f>
        <v>1444.4320446392985</v>
      </c>
      <c r="S30" s="59">
        <f ca="1">'表1-资金筹措及还本付息表'!S92</f>
        <v>1444.4320446392985</v>
      </c>
      <c r="T30" s="59">
        <f ca="1">'表1-资金筹措及还本付息表'!T92</f>
        <v>1444.4320446392985</v>
      </c>
      <c r="U30" s="59">
        <f ca="1">'表1-资金筹措及还本付息表'!U92</f>
        <v>1444.4320446392985</v>
      </c>
      <c r="V30" s="59">
        <f ca="1">'表1-资金筹措及还本付息表'!V92</f>
        <v>1444.4320446392985</v>
      </c>
      <c r="W30" s="59">
        <f ca="1">'表1-资金筹措及还本付息表'!W92</f>
        <v>0</v>
      </c>
      <c r="X30" s="59">
        <f ca="1">'表1-资金筹措及还本付息表'!X92</f>
        <v>0</v>
      </c>
      <c r="Y30" s="59">
        <f ca="1">'表1-资金筹措及还本付息表'!Y92</f>
        <v>0</v>
      </c>
      <c r="Z30" s="59">
        <f ca="1">'表1-资金筹措及还本付息表'!Z92</f>
        <v>0</v>
      </c>
      <c r="AA30" s="59">
        <f ca="1">'表1-资金筹措及还本付息表'!AA92</f>
        <v>0</v>
      </c>
      <c r="AB30" s="59">
        <f ca="1">'表1-资金筹措及还本付息表'!AB92</f>
        <v>0</v>
      </c>
      <c r="AC30" s="59">
        <f ca="1">'表1-资金筹措及还本付息表'!AC92</f>
        <v>0</v>
      </c>
      <c r="AD30" s="59">
        <f ca="1">'表1-资金筹措及还本付息表'!AD92</f>
        <v>0</v>
      </c>
      <c r="AE30" s="59">
        <f ca="1">'表1-资金筹措及还本付息表'!AE92</f>
        <v>0</v>
      </c>
      <c r="AF30" s="59">
        <f ca="1">'表1-资金筹措及还本付息表'!AF92</f>
        <v>168</v>
      </c>
    </row>
    <row r="31" spans="2:32">
      <c r="B31" s="56"/>
      <c r="C31" s="61" t="s">
        <v>536</v>
      </c>
      <c r="D31" s="59">
        <f t="shared" ca="1" si="2"/>
        <v>6370.1464328417605</v>
      </c>
      <c r="E31" s="56" t="s">
        <v>111</v>
      </c>
      <c r="F31" s="60"/>
      <c r="G31" s="59"/>
      <c r="H31" s="59">
        <f ca="1">'表1-资金筹措及还本付息表'!H93</f>
        <v>785.20130410522108</v>
      </c>
      <c r="I31" s="59">
        <f ca="1">'表1-资金筹措及还本付息表'!I93</f>
        <v>733.20175049820625</v>
      </c>
      <c r="J31" s="59">
        <f ca="1">'表1-资金筹措及还本付息表'!J93</f>
        <v>681.20219689119153</v>
      </c>
      <c r="K31" s="59">
        <f ca="1">'表1-资金筹措及还本付息表'!K93</f>
        <v>629.2026432841767</v>
      </c>
      <c r="L31" s="59">
        <f ca="1">'表1-资金筹措及还本付息表'!L93</f>
        <v>577.20308967716198</v>
      </c>
      <c r="M31" s="59">
        <f ca="1">'表1-资金筹措及还本付息表'!M93</f>
        <v>525.20353607014715</v>
      </c>
      <c r="N31" s="59">
        <f ca="1">'表1-资金筹措及还本付息表'!N93</f>
        <v>473.20398246313249</v>
      </c>
      <c r="O31" s="59">
        <f ca="1">'表1-资金筹措及还本付息表'!O93</f>
        <v>421.20442885611772</v>
      </c>
      <c r="P31" s="59">
        <f ca="1">'表1-资金筹措及还本付息表'!P93</f>
        <v>369.20487524910294</v>
      </c>
      <c r="Q31" s="59">
        <f ca="1">'表1-资金筹措及还本付息表'!Q93</f>
        <v>317.20532164208817</v>
      </c>
      <c r="R31" s="59">
        <f ca="1">'表1-资金筹措及还本付息表'!R93</f>
        <v>265.20576803507339</v>
      </c>
      <c r="S31" s="59">
        <f ca="1">'表1-资金筹措及还本付息表'!S93</f>
        <v>213.20621442805864</v>
      </c>
      <c r="T31" s="59">
        <f ca="1">'表1-资金筹措及还本付息表'!T93</f>
        <v>161.2066608210439</v>
      </c>
      <c r="U31" s="59">
        <f ca="1">'表1-资金筹措及还本付息表'!U93</f>
        <v>109.20710721402915</v>
      </c>
      <c r="V31" s="59">
        <f ca="1">'表1-资金筹措及还本付息表'!V93</f>
        <v>57.207553607014411</v>
      </c>
      <c r="W31" s="59">
        <f ca="1">'表1-资金筹措及还本付息表'!W93</f>
        <v>5.2080000000000002</v>
      </c>
      <c r="X31" s="59">
        <f ca="1">'表1-资金筹措及还本付息表'!X93</f>
        <v>5.2080000000000002</v>
      </c>
      <c r="Y31" s="59">
        <f ca="1">'表1-资金筹措及还本付息表'!Y93</f>
        <v>5.2080000000000002</v>
      </c>
      <c r="Z31" s="59">
        <f ca="1">'表1-资金筹措及还本付息表'!Z93</f>
        <v>5.2080000000000002</v>
      </c>
      <c r="AA31" s="59">
        <f ca="1">'表1-资金筹措及还本付息表'!AA93</f>
        <v>5.2080000000000002</v>
      </c>
      <c r="AB31" s="59">
        <f ca="1">'表1-资金筹措及还本付息表'!AB93</f>
        <v>5.2080000000000002</v>
      </c>
      <c r="AC31" s="59">
        <f ca="1">'表1-资金筹措及还本付息表'!AC93</f>
        <v>5.2080000000000002</v>
      </c>
      <c r="AD31" s="59">
        <f ca="1">'表1-资金筹措及还本付息表'!AD93</f>
        <v>5.2080000000000002</v>
      </c>
      <c r="AE31" s="59">
        <f ca="1">'表1-资金筹措及还本付息表'!AE93</f>
        <v>5.2080000000000002</v>
      </c>
      <c r="AF31" s="59">
        <f ca="1">'表1-资金筹措及还本付息表'!AF93</f>
        <v>5.2080000000000002</v>
      </c>
    </row>
    <row r="32" spans="2:32">
      <c r="B32" s="56"/>
      <c r="C32" s="61" t="s">
        <v>537</v>
      </c>
      <c r="D32" s="59">
        <f t="shared" ca="1" si="2"/>
        <v>7848.1690789825398</v>
      </c>
      <c r="E32" s="56" t="s">
        <v>111</v>
      </c>
      <c r="F32" s="60"/>
      <c r="G32" s="59"/>
      <c r="H32" s="59">
        <f ca="1">'表5-利润表-资本金'!H31</f>
        <v>42.972904770192073</v>
      </c>
      <c r="I32" s="59">
        <f ca="1">'表5-利润表-资本金'!I31</f>
        <v>81.247967776555555</v>
      </c>
      <c r="J32" s="59">
        <f ca="1">'表5-利润表-资本金'!J31</f>
        <v>115.72323722778692</v>
      </c>
      <c r="K32" s="59">
        <f ca="1">'表5-利润表-资本金'!K31</f>
        <v>140.4523219286759</v>
      </c>
      <c r="L32" s="59">
        <f ca="1">'表5-利润表-资本金'!L31</f>
        <v>163.53077800006736</v>
      </c>
      <c r="M32" s="59">
        <f ca="1">'表5-利润表-资本金'!M31</f>
        <v>192.61425098793384</v>
      </c>
      <c r="N32" s="59">
        <f ca="1">'表5-利润表-资本金'!N31</f>
        <v>208.89734625319107</v>
      </c>
      <c r="O32" s="59">
        <f ca="1">'表5-利润表-资本金'!O31</f>
        <v>222.71886200977389</v>
      </c>
      <c r="P32" s="59">
        <f ca="1">'表5-利润表-资本金'!P31</f>
        <v>236.51377135630256</v>
      </c>
      <c r="Q32" s="59">
        <f ca="1">'表5-利润表-资本金'!Q31</f>
        <v>250.29122670796926</v>
      </c>
      <c r="R32" s="59">
        <f ca="1">'表5-利润表-资本金'!R31</f>
        <v>258.32211560514924</v>
      </c>
      <c r="S32" s="59">
        <f ca="1">'表5-利润表-资本金'!S31</f>
        <v>266.99156152281279</v>
      </c>
      <c r="T32" s="59">
        <f ca="1">'表5-利润表-资本金'!T31</f>
        <v>276.62957279611663</v>
      </c>
      <c r="U32" s="59">
        <f ca="1">'表5-利润表-资本金'!U31</f>
        <v>287.05614595153691</v>
      </c>
      <c r="V32" s="59">
        <f ca="1">'表5-利润表-资本金'!V31</f>
        <v>298.12546006777103</v>
      </c>
      <c r="W32" s="59">
        <f ca="1">'表5-利润表-资本金'!W31</f>
        <v>306.25947646367052</v>
      </c>
      <c r="X32" s="59">
        <f ca="1">'表5-利润表-资本金'!X31</f>
        <v>311.96980741114743</v>
      </c>
      <c r="Y32" s="59">
        <f ca="1">'表5-利润表-资本金'!Y31</f>
        <v>315.72090514590161</v>
      </c>
      <c r="Z32" s="59">
        <f ca="1">'表5-利润表-资本金'!Z31</f>
        <v>317.88895819484799</v>
      </c>
      <c r="AA32" s="59">
        <f ca="1">'表5-利润表-资本金'!AA31</f>
        <v>331.30147619839175</v>
      </c>
      <c r="AB32" s="59">
        <f ca="1">'表5-利润表-资本金'!AB31</f>
        <v>451.81774573718968</v>
      </c>
      <c r="AC32" s="59">
        <f ca="1">'表5-利润表-资本金'!AC31</f>
        <v>559.32834457516753</v>
      </c>
      <c r="AD32" s="59">
        <f ca="1">'表5-利润表-资本金'!AD31</f>
        <v>655.13813297926936</v>
      </c>
      <c r="AE32" s="59">
        <f ca="1">'表5-利润表-资本金'!AE31</f>
        <v>740.42146587035791</v>
      </c>
      <c r="AF32" s="59">
        <f ca="1">'表5-利润表-资本金'!AF31</f>
        <v>816.23524344476084</v>
      </c>
    </row>
    <row r="33" spans="2:32">
      <c r="B33" s="53" t="s">
        <v>348</v>
      </c>
      <c r="C33" s="54" t="s">
        <v>538</v>
      </c>
      <c r="D33" s="59">
        <f t="shared" ca="1" si="2"/>
        <v>16347.896819745563</v>
      </c>
      <c r="E33" s="56" t="s">
        <v>111</v>
      </c>
      <c r="F33" s="60">
        <f t="shared" ref="F33:AF33" ca="1" si="9">F5+F17+F23</f>
        <v>0</v>
      </c>
      <c r="G33" s="60">
        <f t="shared" si="9"/>
        <v>0</v>
      </c>
      <c r="H33" s="60">
        <f t="shared" ca="1" si="9"/>
        <v>543.73516410512275</v>
      </c>
      <c r="I33" s="60">
        <f t="shared" ca="1" si="9"/>
        <v>542.23039758577397</v>
      </c>
      <c r="J33" s="60">
        <f t="shared" ca="1" si="9"/>
        <v>544.59395627859794</v>
      </c>
      <c r="K33" s="60">
        <f t="shared" ca="1" si="9"/>
        <v>482.61874874163141</v>
      </c>
      <c r="L33" s="60">
        <f t="shared" ca="1" si="9"/>
        <v>491.67732785675616</v>
      </c>
      <c r="M33" s="60">
        <f t="shared" ca="1" si="9"/>
        <v>595.09265008980037</v>
      </c>
      <c r="N33" s="60">
        <f t="shared" ca="1" si="9"/>
        <v>340.91059137363709</v>
      </c>
      <c r="O33" s="60">
        <f t="shared" ca="1" si="9"/>
        <v>91.74851997450105</v>
      </c>
      <c r="P33" s="60">
        <f t="shared" ca="1" si="9"/>
        <v>106.83673933571208</v>
      </c>
      <c r="Q33" s="60">
        <f t="shared" ca="1" si="9"/>
        <v>121.9879371060324</v>
      </c>
      <c r="R33" s="60">
        <f t="shared" ca="1" si="9"/>
        <v>-305.23272985966332</v>
      </c>
      <c r="S33" s="60">
        <f t="shared" ca="1" si="9"/>
        <v>134.92576207293837</v>
      </c>
      <c r="T33" s="60">
        <f t="shared" ca="1" si="9"/>
        <v>154.35175168847604</v>
      </c>
      <c r="U33" s="60">
        <f t="shared" ca="1" si="9"/>
        <v>173.03388991132397</v>
      </c>
      <c r="V33" s="60">
        <f t="shared" ca="1" si="9"/>
        <v>191.11779646558216</v>
      </c>
      <c r="W33" s="60">
        <f t="shared" ca="1" si="9"/>
        <v>1618.1699576173041</v>
      </c>
      <c r="X33" s="60">
        <f t="shared" ca="1" si="9"/>
        <v>1602.701600745369</v>
      </c>
      <c r="Y33" s="60">
        <f t="shared" ca="1" si="9"/>
        <v>1589.2363882028201</v>
      </c>
      <c r="Z33" s="60">
        <f t="shared" ca="1" si="9"/>
        <v>1577.3979338627048</v>
      </c>
      <c r="AA33" s="60">
        <f t="shared" ca="1" si="9"/>
        <v>1554.358531373804</v>
      </c>
      <c r="AB33" s="60">
        <f t="shared" ca="1" si="9"/>
        <v>1084.6464258491801</v>
      </c>
      <c r="AC33" s="60">
        <f t="shared" ca="1" si="9"/>
        <v>967.59538954180698</v>
      </c>
      <c r="AD33" s="60">
        <f t="shared" ca="1" si="9"/>
        <v>862.28809563691755</v>
      </c>
      <c r="AE33" s="60">
        <f t="shared" ca="1" si="9"/>
        <v>767.54999601980001</v>
      </c>
      <c r="AF33" s="60">
        <f t="shared" ca="1" si="9"/>
        <v>514.32399816963471</v>
      </c>
    </row>
    <row r="34" spans="2:32">
      <c r="B34" s="53" t="s">
        <v>539</v>
      </c>
      <c r="C34" s="70" t="s">
        <v>540</v>
      </c>
      <c r="D34" s="59"/>
      <c r="E34" s="56" t="s">
        <v>111</v>
      </c>
      <c r="F34" s="60">
        <f ca="1">F33</f>
        <v>0</v>
      </c>
      <c r="G34" s="60">
        <f ca="1">F34+G33</f>
        <v>0</v>
      </c>
      <c r="H34" s="60">
        <f t="shared" ref="H34:AF34" ca="1" si="10">G34+H33</f>
        <v>543.73516410512275</v>
      </c>
      <c r="I34" s="60">
        <f t="shared" ca="1" si="10"/>
        <v>1085.9655616908967</v>
      </c>
      <c r="J34" s="60">
        <f t="shared" ca="1" si="10"/>
        <v>1630.5595179694947</v>
      </c>
      <c r="K34" s="60">
        <f t="shared" ca="1" si="10"/>
        <v>2113.1782667111261</v>
      </c>
      <c r="L34" s="60">
        <f t="shared" ca="1" si="10"/>
        <v>2604.8555945678822</v>
      </c>
      <c r="M34" s="60">
        <f t="shared" ca="1" si="10"/>
        <v>3199.9482446576826</v>
      </c>
      <c r="N34" s="60">
        <f t="shared" ca="1" si="10"/>
        <v>3540.8588360313197</v>
      </c>
      <c r="O34" s="60">
        <f t="shared" ca="1" si="10"/>
        <v>3632.6073560058207</v>
      </c>
      <c r="P34" s="60">
        <f t="shared" ca="1" si="10"/>
        <v>3739.4440953415328</v>
      </c>
      <c r="Q34" s="60">
        <f t="shared" ca="1" si="10"/>
        <v>3861.4320324475652</v>
      </c>
      <c r="R34" s="60">
        <f t="shared" ca="1" si="10"/>
        <v>3556.1993025879019</v>
      </c>
      <c r="S34" s="60">
        <f t="shared" ca="1" si="10"/>
        <v>3691.1250646608405</v>
      </c>
      <c r="T34" s="60">
        <f t="shared" ca="1" si="10"/>
        <v>3845.4768163493163</v>
      </c>
      <c r="U34" s="60">
        <f t="shared" ca="1" si="10"/>
        <v>4018.5107062606403</v>
      </c>
      <c r="V34" s="60">
        <f t="shared" ca="1" si="10"/>
        <v>4209.628502726222</v>
      </c>
      <c r="W34" s="60">
        <f t="shared" ca="1" si="10"/>
        <v>5827.7984603435261</v>
      </c>
      <c r="X34" s="60">
        <f t="shared" ca="1" si="10"/>
        <v>7430.5000610888947</v>
      </c>
      <c r="Y34" s="60">
        <f t="shared" ca="1" si="10"/>
        <v>9019.736449291715</v>
      </c>
      <c r="Z34" s="60">
        <f t="shared" ca="1" si="10"/>
        <v>10597.13438315442</v>
      </c>
      <c r="AA34" s="60">
        <f t="shared" ca="1" si="10"/>
        <v>12151.492914528224</v>
      </c>
      <c r="AB34" s="60">
        <f t="shared" ca="1" si="10"/>
        <v>13236.139340377404</v>
      </c>
      <c r="AC34" s="60">
        <f t="shared" ca="1" si="10"/>
        <v>14203.734729919212</v>
      </c>
      <c r="AD34" s="60">
        <f t="shared" ca="1" si="10"/>
        <v>15066.022825556129</v>
      </c>
      <c r="AE34" s="60">
        <f t="shared" ca="1" si="10"/>
        <v>15833.572821575928</v>
      </c>
      <c r="AF34" s="60">
        <f t="shared" ca="1" si="10"/>
        <v>16347.896819745563</v>
      </c>
    </row>
    <row r="37" spans="2:32" ht="21.5">
      <c r="C37" s="71" t="s">
        <v>541</v>
      </c>
    </row>
    <row r="42" spans="2:32" s="48" customFormat="1" ht="26" customHeight="1">
      <c r="C42" s="48" t="s">
        <v>542</v>
      </c>
      <c r="H42" s="72">
        <f ca="1">H5+H17+(H25+H27-H31-H32-H30)</f>
        <v>543.73516410512275</v>
      </c>
      <c r="I42" s="72">
        <f ca="1">I5+I17+(I25+I27-I31-I32-I30+'表3-成本费用表'!H23)+H34</f>
        <v>1085.9655616908967</v>
      </c>
      <c r="J42" s="72">
        <f ca="1">J5+J17+(J25+J27-J31-J32-J30+'表3-成本费用表'!I23)+I34</f>
        <v>1630.5595179694942</v>
      </c>
      <c r="K42" s="72">
        <f ca="1">K5+K17+(K25+K27-K31-K32-K30+'表3-成本费用表'!J23)+J34</f>
        <v>2113.1782667111261</v>
      </c>
      <c r="L42" s="72">
        <f ca="1">L5+L17+(L25+L27-L31-L32-L30+'表3-成本费用表'!K23)+K34</f>
        <v>2604.8555945678827</v>
      </c>
      <c r="M42" s="72">
        <f ca="1">M5+M17+(M25+M27-M31-M32-M30+'表3-成本费用表'!L23)+L34</f>
        <v>3199.9482446576822</v>
      </c>
      <c r="N42" s="72">
        <f ca="1">N5+N17+(N25+N27-N31-N32-N30+'表3-成本费用表'!M23)+M34</f>
        <v>3540.8588360313197</v>
      </c>
      <c r="O42" s="72">
        <f ca="1">O5+O17+(O25+O27-O31-O32-O30+'表3-成本费用表'!N23)+N34</f>
        <v>3632.6073560058212</v>
      </c>
      <c r="P42" s="72">
        <f ca="1">P5+P17+(P25+P27-P31-P32-P30+'表3-成本费用表'!O23)+O34</f>
        <v>3739.4440953415328</v>
      </c>
      <c r="Q42" s="72">
        <f ca="1">Q5+Q17+(Q25+Q27-Q31-Q32-Q30+'表3-成本费用表'!P23)+P34</f>
        <v>3861.4320324475652</v>
      </c>
      <c r="R42" s="72">
        <f ca="1">R5+R17+(R25+R27-R31-R32-R30+'表3-成本费用表'!Q23)+Q34</f>
        <v>3556.1993025879019</v>
      </c>
      <c r="S42" s="72">
        <f ca="1">S5+S17+(S25+S27-S31-S32-S30+'表3-成本费用表'!R23)+R34</f>
        <v>3691.1250646608405</v>
      </c>
      <c r="T42" s="72">
        <f ca="1">T5+T17+(T25+T27-T31-T32-T30+'表3-成本费用表'!S23)+S34</f>
        <v>3845.4768163493163</v>
      </c>
      <c r="U42" s="72">
        <f ca="1">U5+U17+(U25+U27-U31-U32-U30+'表3-成本费用表'!T23)+T34</f>
        <v>4018.5107062606403</v>
      </c>
      <c r="V42" s="72">
        <f ca="1">V5+V17+(V25+V27-V31-V32-V30+'表3-成本费用表'!U23)+U34</f>
        <v>4209.628502726222</v>
      </c>
      <c r="W42" s="72">
        <f ca="1">W5+W17+(W25+W27-W31-W32-W30+'表3-成本费用表'!V23)+V34</f>
        <v>5827.7984603435261</v>
      </c>
      <c r="X42" s="72">
        <f ca="1">X5+X17+(X25+X27-X31-X32-X30+'表3-成本费用表'!W23)+W34</f>
        <v>7430.5000610888947</v>
      </c>
      <c r="Y42" s="72">
        <f ca="1">Y5+Y17+(Y25+Y27-Y31-Y32-Y30+'表3-成本费用表'!X23)+X34</f>
        <v>9019.736449291715</v>
      </c>
      <c r="Z42" s="72">
        <f ca="1">Z5+Z17+(Z25+Z27-Z31-Z32-Z30+'表3-成本费用表'!Y23)+Y34</f>
        <v>10597.13438315442</v>
      </c>
      <c r="AA42" s="72">
        <f ca="1">AA5+AA17+(AA25+AA27-AA31-AA32-AA30+'表3-成本费用表'!Z23)+Z34</f>
        <v>12151.492914528224</v>
      </c>
      <c r="AB42" s="72">
        <f ca="1">AB5+AB17+(AB25+AB27-AB31-AB32-AB30+'表3-成本费用表'!AA23)+AA34</f>
        <v>13236.139340377404</v>
      </c>
      <c r="AC42" s="72">
        <f ca="1">AC5+AC17+(AC25+AC27-AC31-AC32-AC30+'表3-成本费用表'!AB23)+AB34</f>
        <v>14203.734729919212</v>
      </c>
      <c r="AD42" s="72">
        <f ca="1">AD5+AD17+(AD25+AD27-AD31-AD32-AD30+'表3-成本费用表'!AC23)+AC34</f>
        <v>15066.022825556129</v>
      </c>
      <c r="AE42" s="72">
        <f ca="1">AE5+AE17+(AE25+AE27-AE31-AE32-AE30+'表3-成本费用表'!AD23)+AD34</f>
        <v>15833.572821575928</v>
      </c>
      <c r="AF42" s="72">
        <f ca="1">AF5+AF17+(AF25+AF27-AF31-AF32-AF30+'表3-成本费用表'!AE23)+AE34</f>
        <v>16347.896819745563</v>
      </c>
    </row>
  </sheetData>
  <mergeCells count="6">
    <mergeCell ref="F3:G3"/>
    <mergeCell ref="H3:AF3"/>
    <mergeCell ref="B3:B4"/>
    <mergeCell ref="C3:C4"/>
    <mergeCell ref="D3:D4"/>
    <mergeCell ref="E3:E4"/>
  </mergeCells>
  <phoneticPr fontId="51"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132"/>
  <sheetViews>
    <sheetView showGridLines="0" zoomScale="60" zoomScaleNormal="60" workbookViewId="0">
      <pane xSplit="3" ySplit="4" topLeftCell="D113" activePane="bottomRight" state="frozen"/>
      <selection pane="topRight"/>
      <selection pane="bottomLeft"/>
      <selection pane="bottomRight" activeCell="C127" sqref="C127"/>
    </sheetView>
  </sheetViews>
  <sheetFormatPr defaultColWidth="8.81640625" defaultRowHeight="15"/>
  <cols>
    <col min="1" max="1" width="3.453125" style="17" customWidth="1"/>
    <col min="2" max="2" width="8.54296875" style="18" customWidth="1"/>
    <col min="3" max="3" width="60.81640625" style="17" customWidth="1"/>
    <col min="4" max="4" width="8.81640625" style="18"/>
    <col min="5" max="5" width="15.81640625" style="17" customWidth="1"/>
    <col min="6" max="6" width="17.453125" style="17" customWidth="1"/>
    <col min="7" max="7" width="15.1796875" style="17" customWidth="1"/>
    <col min="8" max="13" width="17.453125" style="17" customWidth="1"/>
    <col min="14" max="17" width="15.81640625" style="17" customWidth="1"/>
    <col min="18" max="18" width="15.81640625" style="15" customWidth="1"/>
    <col min="19" max="31" width="15.81640625" style="17" customWidth="1"/>
    <col min="32" max="16384" width="8.81640625" style="17"/>
  </cols>
  <sheetData>
    <row r="1" spans="2:31" ht="5.5" customHeight="1"/>
    <row r="2" spans="2:31" ht="7.25" customHeight="1"/>
    <row r="3" spans="2:31">
      <c r="B3" s="369" t="s">
        <v>14</v>
      </c>
      <c r="C3" s="369" t="s">
        <v>323</v>
      </c>
      <c r="D3" s="370" t="s">
        <v>39</v>
      </c>
      <c r="E3" s="366" t="s">
        <v>43</v>
      </c>
      <c r="F3" s="366"/>
      <c r="G3" s="367" t="s">
        <v>54</v>
      </c>
      <c r="H3" s="367"/>
      <c r="I3" s="367"/>
      <c r="J3" s="367"/>
      <c r="K3" s="367"/>
      <c r="L3" s="367"/>
      <c r="M3" s="367"/>
      <c r="N3" s="367"/>
      <c r="O3" s="367"/>
      <c r="P3" s="367"/>
      <c r="Q3" s="367"/>
      <c r="R3" s="368"/>
      <c r="S3" s="367"/>
      <c r="T3" s="367"/>
      <c r="U3" s="367"/>
      <c r="V3" s="367"/>
      <c r="W3" s="367"/>
      <c r="X3" s="367"/>
      <c r="Y3" s="367"/>
      <c r="Z3" s="367"/>
      <c r="AA3" s="367"/>
      <c r="AB3" s="367"/>
      <c r="AC3" s="367"/>
      <c r="AD3" s="367"/>
      <c r="AE3" s="367"/>
    </row>
    <row r="4" spans="2:31">
      <c r="B4" s="369"/>
      <c r="C4" s="369"/>
      <c r="D4" s="371"/>
      <c r="E4" s="19">
        <v>1</v>
      </c>
      <c r="F4" s="19">
        <v>2</v>
      </c>
      <c r="G4" s="20">
        <v>1</v>
      </c>
      <c r="H4" s="20">
        <v>2</v>
      </c>
      <c r="I4" s="20">
        <v>3</v>
      </c>
      <c r="J4" s="20">
        <v>4</v>
      </c>
      <c r="K4" s="20">
        <v>5</v>
      </c>
      <c r="L4" s="20">
        <v>6</v>
      </c>
      <c r="M4" s="20">
        <v>7</v>
      </c>
      <c r="N4" s="20">
        <v>8</v>
      </c>
      <c r="O4" s="20">
        <v>9</v>
      </c>
      <c r="P4" s="20">
        <v>10</v>
      </c>
      <c r="Q4" s="20">
        <v>11</v>
      </c>
      <c r="R4" s="21">
        <v>12</v>
      </c>
      <c r="S4" s="20">
        <v>13</v>
      </c>
      <c r="T4" s="20">
        <v>14</v>
      </c>
      <c r="U4" s="20">
        <v>15</v>
      </c>
      <c r="V4" s="20">
        <v>16</v>
      </c>
      <c r="W4" s="20">
        <v>17</v>
      </c>
      <c r="X4" s="20">
        <v>18</v>
      </c>
      <c r="Y4" s="20">
        <v>19</v>
      </c>
      <c r="Z4" s="20">
        <v>20</v>
      </c>
      <c r="AA4" s="20">
        <v>21</v>
      </c>
      <c r="AB4" s="20">
        <v>22</v>
      </c>
      <c r="AC4" s="20">
        <v>23</v>
      </c>
      <c r="AD4" s="20">
        <v>24</v>
      </c>
      <c r="AE4" s="20">
        <v>25</v>
      </c>
    </row>
    <row r="5" spans="2:31" ht="22.75" customHeight="1">
      <c r="B5" s="22">
        <v>1</v>
      </c>
      <c r="C5" s="23" t="s">
        <v>543</v>
      </c>
      <c r="D5" s="24" t="s">
        <v>111</v>
      </c>
      <c r="E5" s="25">
        <f ca="1">E6+E31</f>
        <v>27083.100836986847</v>
      </c>
      <c r="F5" s="25">
        <f t="shared" ref="F5:AE5" ca="1" si="0">F6+F31</f>
        <v>0</v>
      </c>
      <c r="G5" s="25">
        <f t="shared" ca="1" si="0"/>
        <v>24131.445655564654</v>
      </c>
      <c r="H5" s="25">
        <f t="shared" ca="1" si="0"/>
        <v>23509.354532578956</v>
      </c>
      <c r="I5" s="25">
        <f t="shared" ca="1" si="0"/>
        <v>22889.62696828608</v>
      </c>
      <c r="J5" s="25">
        <f t="shared" ca="1" si="0"/>
        <v>22207.924196456239</v>
      </c>
      <c r="K5" s="25">
        <f t="shared" ca="1" si="0"/>
        <v>21535.280003741522</v>
      </c>
      <c r="L5" s="25">
        <f t="shared" ca="1" si="0"/>
        <v>20966.051133259851</v>
      </c>
      <c r="M5" s="25">
        <f t="shared" ca="1" si="0"/>
        <v>20142.640204062016</v>
      </c>
      <c r="N5" s="25">
        <f t="shared" ca="1" si="0"/>
        <v>19070.067203465042</v>
      </c>
      <c r="O5" s="25">
        <f t="shared" ca="1" si="0"/>
        <v>18012.582422229283</v>
      </c>
      <c r="P5" s="25">
        <f t="shared" ca="1" si="0"/>
        <v>16970.24883876384</v>
      </c>
      <c r="Q5" s="25">
        <f t="shared" ca="1" si="0"/>
        <v>15885.119367093765</v>
      </c>
      <c r="R5" s="25">
        <f t="shared" ca="1" si="0"/>
        <v>14815.369626294345</v>
      </c>
      <c r="S5" s="25">
        <f t="shared" ca="1" si="0"/>
        <v>13765.045875110463</v>
      </c>
      <c r="T5" s="25">
        <f t="shared" ca="1" si="0"/>
        <v>12733.40426214943</v>
      </c>
      <c r="U5" s="25">
        <f t="shared" ca="1" si="0"/>
        <v>11719.846555742655</v>
      </c>
      <c r="V5" s="25">
        <f t="shared" ca="1" si="0"/>
        <v>12133.341010487602</v>
      </c>
      <c r="W5" s="25">
        <f t="shared" ca="1" si="0"/>
        <v>12531.367108360615</v>
      </c>
      <c r="X5" s="25">
        <f t="shared" ca="1" si="0"/>
        <v>12915.927993691079</v>
      </c>
      <c r="Y5" s="25">
        <f t="shared" ca="1" si="0"/>
        <v>13288.650424681427</v>
      </c>
      <c r="Z5" s="25">
        <f t="shared" ca="1" si="0"/>
        <v>13638.333453182875</v>
      </c>
      <c r="AA5" s="25">
        <f t="shared" ca="1" si="0"/>
        <v>14722.979879032055</v>
      </c>
      <c r="AB5" s="25">
        <f t="shared" ca="1" si="0"/>
        <v>15690.575268573863</v>
      </c>
      <c r="AC5" s="25">
        <f t="shared" ca="1" si="0"/>
        <v>16552.863364210782</v>
      </c>
      <c r="AD5" s="25">
        <f t="shared" ca="1" si="0"/>
        <v>17320.413360230581</v>
      </c>
      <c r="AE5" s="25">
        <f t="shared" ca="1" si="0"/>
        <v>17834.737358400213</v>
      </c>
    </row>
    <row r="6" spans="2:31">
      <c r="B6" s="26">
        <v>1.1000000000000001</v>
      </c>
      <c r="C6" s="27" t="s">
        <v>324</v>
      </c>
      <c r="D6" s="28" t="s">
        <v>111</v>
      </c>
      <c r="E6" s="29">
        <f ca="1">SUM(E7:E21)+E23+E24+SUM(E27:E30)</f>
        <v>0</v>
      </c>
      <c r="F6" s="29">
        <f t="shared" ref="F6:AE6" ca="1" si="1">SUM(F7:F21)+F23+F24+SUM(F27:F30)</f>
        <v>0</v>
      </c>
      <c r="G6" s="29">
        <f t="shared" ca="1" si="1"/>
        <v>783.73516410512275</v>
      </c>
      <c r="H6" s="29">
        <f t="shared" ca="1" si="1"/>
        <v>1325.9655616908967</v>
      </c>
      <c r="I6" s="29">
        <f t="shared" ca="1" si="1"/>
        <v>1870.5595179694947</v>
      </c>
      <c r="J6" s="29">
        <f t="shared" ca="1" si="1"/>
        <v>2353.1782667111261</v>
      </c>
      <c r="K6" s="29">
        <f t="shared" ca="1" si="1"/>
        <v>2844.8555945678822</v>
      </c>
      <c r="L6" s="29">
        <f t="shared" ca="1" si="1"/>
        <v>3439.9482446576826</v>
      </c>
      <c r="M6" s="29">
        <f t="shared" ca="1" si="1"/>
        <v>3780.8588360313197</v>
      </c>
      <c r="N6" s="29">
        <f t="shared" ca="1" si="1"/>
        <v>3872.6073560058207</v>
      </c>
      <c r="O6" s="29">
        <f t="shared" ca="1" si="1"/>
        <v>3979.4440953415328</v>
      </c>
      <c r="P6" s="29">
        <f t="shared" ca="1" si="1"/>
        <v>4101.4320324475648</v>
      </c>
      <c r="Q6" s="29">
        <f t="shared" ca="1" si="1"/>
        <v>3796.1993025879019</v>
      </c>
      <c r="R6" s="30">
        <f t="shared" ca="1" si="1"/>
        <v>3931.1250646608405</v>
      </c>
      <c r="S6" s="29">
        <f t="shared" ca="1" si="1"/>
        <v>4085.4768163493163</v>
      </c>
      <c r="T6" s="29">
        <f t="shared" ca="1" si="1"/>
        <v>4258.5107062606403</v>
      </c>
      <c r="U6" s="29">
        <f t="shared" ca="1" si="1"/>
        <v>4449.628502726222</v>
      </c>
      <c r="V6" s="29">
        <f t="shared" ca="1" si="1"/>
        <v>6067.7984603435261</v>
      </c>
      <c r="W6" s="29">
        <f t="shared" ca="1" si="1"/>
        <v>7670.5000610888947</v>
      </c>
      <c r="X6" s="29">
        <f t="shared" ca="1" si="1"/>
        <v>9259.736449291715</v>
      </c>
      <c r="Y6" s="29">
        <f t="shared" ca="1" si="1"/>
        <v>10837.13438315442</v>
      </c>
      <c r="Z6" s="29">
        <f t="shared" ca="1" si="1"/>
        <v>12391.492914528224</v>
      </c>
      <c r="AA6" s="29">
        <f t="shared" ca="1" si="1"/>
        <v>13476.139340377404</v>
      </c>
      <c r="AB6" s="29">
        <f t="shared" ca="1" si="1"/>
        <v>14443.734729919212</v>
      </c>
      <c r="AC6" s="29">
        <f t="shared" ca="1" si="1"/>
        <v>15306.022825556129</v>
      </c>
      <c r="AD6" s="29">
        <f t="shared" ca="1" si="1"/>
        <v>16073.572821575928</v>
      </c>
      <c r="AE6" s="29">
        <f t="shared" ca="1" si="1"/>
        <v>16587.896819745562</v>
      </c>
    </row>
    <row r="7" spans="2:31">
      <c r="B7" s="28"/>
      <c r="C7" s="31" t="s">
        <v>544</v>
      </c>
      <c r="D7" s="28" t="s">
        <v>111</v>
      </c>
      <c r="E7" s="32">
        <f ca="1">'表9-现金流量表-财务计划'!F34</f>
        <v>0</v>
      </c>
      <c r="F7" s="32">
        <f ca="1">'表9-现金流量表-财务计划'!G34</f>
        <v>0</v>
      </c>
      <c r="G7" s="32">
        <f ca="1">'表9-现金流量表-财务计划'!H34+'表1-资金筹措及还本付息表'!$H$6</f>
        <v>783.73516410512275</v>
      </c>
      <c r="H7" s="32">
        <f ca="1">'表9-现金流量表-财务计划'!I34+'表1-资金筹措及还本付息表'!$H$6</f>
        <v>1325.9655616908967</v>
      </c>
      <c r="I7" s="32">
        <f ca="1">'表9-现金流量表-财务计划'!J34+'表1-资金筹措及还本付息表'!$H$6</f>
        <v>1870.5595179694947</v>
      </c>
      <c r="J7" s="32">
        <f ca="1">'表9-现金流量表-财务计划'!K34+'表1-资金筹措及还本付息表'!$H$6</f>
        <v>2353.1782667111261</v>
      </c>
      <c r="K7" s="32">
        <f ca="1">'表9-现金流量表-财务计划'!L34+'表1-资金筹措及还本付息表'!$H$6</f>
        <v>2844.8555945678822</v>
      </c>
      <c r="L7" s="32">
        <f ca="1">'表9-现金流量表-财务计划'!M34+'表1-资金筹措及还本付息表'!$H$6</f>
        <v>3439.9482446576826</v>
      </c>
      <c r="M7" s="32">
        <f ca="1">'表9-现金流量表-财务计划'!N34+'表1-资金筹措及还本付息表'!$H$6</f>
        <v>3780.8588360313197</v>
      </c>
      <c r="N7" s="32">
        <f ca="1">'表9-现金流量表-财务计划'!O34+'表1-资金筹措及还本付息表'!$H$6</f>
        <v>3872.6073560058207</v>
      </c>
      <c r="O7" s="32">
        <f ca="1">'表9-现金流量表-财务计划'!P34+'表1-资金筹措及还本付息表'!$H$6</f>
        <v>3979.4440953415328</v>
      </c>
      <c r="P7" s="32">
        <f ca="1">'表9-现金流量表-财务计划'!Q34+'表1-资金筹措及还本付息表'!$H$6</f>
        <v>4101.4320324475648</v>
      </c>
      <c r="Q7" s="32">
        <f ca="1">'表9-现金流量表-财务计划'!R34+'表1-资金筹措及还本付息表'!$H$6</f>
        <v>3796.1993025879019</v>
      </c>
      <c r="R7" s="33">
        <f ca="1">'表9-现金流量表-财务计划'!S34+'表1-资金筹措及还本付息表'!$H$6</f>
        <v>3931.1250646608405</v>
      </c>
      <c r="S7" s="32">
        <f ca="1">'表9-现金流量表-财务计划'!T34+'表1-资金筹措及还本付息表'!$H$6</f>
        <v>4085.4768163493163</v>
      </c>
      <c r="T7" s="32">
        <f ca="1">'表9-现金流量表-财务计划'!U34+'表1-资金筹措及还本付息表'!$H$6</f>
        <v>4258.5107062606403</v>
      </c>
      <c r="U7" s="32">
        <f ca="1">'表9-现金流量表-财务计划'!V34+'表1-资金筹措及还本付息表'!$H$6</f>
        <v>4449.628502726222</v>
      </c>
      <c r="V7" s="32">
        <f ca="1">'表9-现金流量表-财务计划'!W34+'表1-资金筹措及还本付息表'!$H$6</f>
        <v>6067.7984603435261</v>
      </c>
      <c r="W7" s="32">
        <f ca="1">'表9-现金流量表-财务计划'!X34+'表1-资金筹措及还本付息表'!$H$6</f>
        <v>7670.5000610888947</v>
      </c>
      <c r="X7" s="32">
        <f ca="1">'表9-现金流量表-财务计划'!Y34+'表1-资金筹措及还本付息表'!$H$6</f>
        <v>9259.736449291715</v>
      </c>
      <c r="Y7" s="32">
        <f ca="1">'表9-现金流量表-财务计划'!Z34+'表1-资金筹措及还本付息表'!$H$6</f>
        <v>10837.13438315442</v>
      </c>
      <c r="Z7" s="32">
        <f ca="1">'表9-现金流量表-财务计划'!AA34+'表1-资金筹措及还本付息表'!$H$6</f>
        <v>12391.492914528224</v>
      </c>
      <c r="AA7" s="32">
        <f ca="1">'表9-现金流量表-财务计划'!AB34+'表1-资金筹措及还本付息表'!$H$6</f>
        <v>13476.139340377404</v>
      </c>
      <c r="AB7" s="32">
        <f ca="1">'表9-现金流量表-财务计划'!AC34+'表1-资金筹措及还本付息表'!$H$6</f>
        <v>14443.734729919212</v>
      </c>
      <c r="AC7" s="32">
        <f ca="1">'表9-现金流量表-财务计划'!AD34+'表1-资金筹措及还本付息表'!$H$6</f>
        <v>15306.022825556129</v>
      </c>
      <c r="AD7" s="32">
        <f ca="1">'表9-现金流量表-财务计划'!AE34+'表1-资金筹措及还本付息表'!$H$6</f>
        <v>16073.572821575928</v>
      </c>
      <c r="AE7" s="32">
        <f ca="1">'表9-现金流量表-财务计划'!AF34+'表1-资金筹措及还本付息表'!$H$6</f>
        <v>16587.896819745562</v>
      </c>
    </row>
    <row r="8" spans="2:31">
      <c r="B8" s="28"/>
      <c r="C8" s="31" t="s">
        <v>545</v>
      </c>
      <c r="D8" s="28" t="s">
        <v>111</v>
      </c>
      <c r="E8" s="32"/>
      <c r="F8" s="32"/>
      <c r="G8" s="32"/>
      <c r="H8" s="32"/>
      <c r="I8" s="32"/>
      <c r="J8" s="32"/>
      <c r="K8" s="32"/>
      <c r="L8" s="32"/>
      <c r="M8" s="32"/>
      <c r="N8" s="32"/>
      <c r="O8" s="32"/>
      <c r="P8" s="32"/>
      <c r="Q8" s="32"/>
      <c r="R8" s="33"/>
      <c r="S8" s="32"/>
      <c r="T8" s="32"/>
      <c r="U8" s="32"/>
      <c r="V8" s="32"/>
      <c r="W8" s="32"/>
      <c r="X8" s="32"/>
      <c r="Y8" s="32"/>
      <c r="Z8" s="32"/>
      <c r="AA8" s="32"/>
      <c r="AB8" s="32"/>
      <c r="AC8" s="32"/>
      <c r="AD8" s="32"/>
      <c r="AE8" s="32"/>
    </row>
    <row r="9" spans="2:31">
      <c r="B9" s="28"/>
      <c r="C9" s="31" t="s">
        <v>546</v>
      </c>
      <c r="D9" s="28" t="s">
        <v>111</v>
      </c>
      <c r="E9" s="32"/>
      <c r="F9" s="32"/>
      <c r="G9" s="32"/>
      <c r="H9" s="32"/>
      <c r="I9" s="32"/>
      <c r="J9" s="32"/>
      <c r="K9" s="32"/>
      <c r="L9" s="32"/>
      <c r="M9" s="32"/>
      <c r="N9" s="32"/>
      <c r="O9" s="32"/>
      <c r="P9" s="32"/>
      <c r="Q9" s="32"/>
      <c r="R9" s="33"/>
      <c r="S9" s="32"/>
      <c r="T9" s="32"/>
      <c r="U9" s="32"/>
      <c r="V9" s="32"/>
      <c r="W9" s="32"/>
      <c r="X9" s="32"/>
      <c r="Y9" s="32"/>
      <c r="Z9" s="32"/>
      <c r="AA9" s="32"/>
      <c r="AB9" s="32"/>
      <c r="AC9" s="32"/>
      <c r="AD9" s="32"/>
      <c r="AE9" s="32"/>
    </row>
    <row r="10" spans="2:31">
      <c r="B10" s="28"/>
      <c r="C10" s="31" t="s">
        <v>547</v>
      </c>
      <c r="D10" s="28" t="s">
        <v>111</v>
      </c>
      <c r="E10" s="32"/>
      <c r="F10" s="32"/>
      <c r="G10" s="32"/>
      <c r="H10" s="32"/>
      <c r="I10" s="32"/>
      <c r="J10" s="32"/>
      <c r="K10" s="32"/>
      <c r="L10" s="32"/>
      <c r="M10" s="32"/>
      <c r="N10" s="32"/>
      <c r="O10" s="32"/>
      <c r="P10" s="32"/>
      <c r="Q10" s="32"/>
      <c r="R10" s="33"/>
      <c r="S10" s="32"/>
      <c r="T10" s="32"/>
      <c r="U10" s="32"/>
      <c r="V10" s="32"/>
      <c r="W10" s="32"/>
      <c r="X10" s="32"/>
      <c r="Y10" s="32"/>
      <c r="Z10" s="32"/>
      <c r="AA10" s="32"/>
      <c r="AB10" s="32"/>
      <c r="AC10" s="32"/>
      <c r="AD10" s="32"/>
      <c r="AE10" s="32"/>
    </row>
    <row r="11" spans="2:31">
      <c r="B11" s="28"/>
      <c r="C11" s="31" t="s">
        <v>548</v>
      </c>
      <c r="D11" s="28" t="s">
        <v>111</v>
      </c>
      <c r="E11" s="32"/>
      <c r="F11" s="32"/>
      <c r="G11" s="32"/>
      <c r="H11" s="32"/>
      <c r="I11" s="32"/>
      <c r="J11" s="32"/>
      <c r="K11" s="32"/>
      <c r="L11" s="32"/>
      <c r="M11" s="32"/>
      <c r="N11" s="32"/>
      <c r="O11" s="32"/>
      <c r="P11" s="32"/>
      <c r="Q11" s="32"/>
      <c r="R11" s="33"/>
      <c r="S11" s="32"/>
      <c r="T11" s="32"/>
      <c r="U11" s="32"/>
      <c r="V11" s="32"/>
      <c r="W11" s="32"/>
      <c r="X11" s="32"/>
      <c r="Y11" s="32"/>
      <c r="Z11" s="32"/>
      <c r="AA11" s="32"/>
      <c r="AB11" s="32"/>
      <c r="AC11" s="32"/>
      <c r="AD11" s="32"/>
      <c r="AE11" s="32"/>
    </row>
    <row r="12" spans="2:31">
      <c r="B12" s="28"/>
      <c r="C12" s="31" t="s">
        <v>549</v>
      </c>
      <c r="D12" s="28" t="s">
        <v>111</v>
      </c>
      <c r="E12" s="32"/>
      <c r="F12" s="32"/>
      <c r="G12" s="32"/>
      <c r="H12" s="32"/>
      <c r="I12" s="32"/>
      <c r="J12" s="32"/>
      <c r="K12" s="32"/>
      <c r="L12" s="32"/>
      <c r="M12" s="32"/>
      <c r="N12" s="32"/>
      <c r="O12" s="32"/>
      <c r="P12" s="32"/>
      <c r="Q12" s="32"/>
      <c r="R12" s="33"/>
      <c r="S12" s="32"/>
      <c r="T12" s="32"/>
      <c r="U12" s="32"/>
      <c r="V12" s="32"/>
      <c r="W12" s="32"/>
      <c r="X12" s="32"/>
      <c r="Y12" s="32"/>
      <c r="Z12" s="32"/>
      <c r="AA12" s="32"/>
      <c r="AB12" s="32"/>
      <c r="AC12" s="32"/>
      <c r="AD12" s="32"/>
      <c r="AE12" s="32"/>
    </row>
    <row r="13" spans="2:31">
      <c r="B13" s="28"/>
      <c r="C13" s="31" t="s">
        <v>550</v>
      </c>
      <c r="D13" s="28" t="s">
        <v>111</v>
      </c>
      <c r="E13" s="32"/>
      <c r="F13" s="32"/>
      <c r="G13" s="32"/>
      <c r="H13" s="32"/>
      <c r="I13" s="32"/>
      <c r="J13" s="32"/>
      <c r="K13" s="32"/>
      <c r="L13" s="32"/>
      <c r="M13" s="32"/>
      <c r="N13" s="32"/>
      <c r="O13" s="32"/>
      <c r="P13" s="32"/>
      <c r="Q13" s="32"/>
      <c r="R13" s="33"/>
      <c r="S13" s="32"/>
      <c r="T13" s="32"/>
      <c r="U13" s="32"/>
      <c r="V13" s="32"/>
      <c r="W13" s="32"/>
      <c r="X13" s="32"/>
      <c r="Y13" s="32"/>
      <c r="Z13" s="32"/>
      <c r="AA13" s="32"/>
      <c r="AB13" s="32"/>
      <c r="AC13" s="32"/>
      <c r="AD13" s="32"/>
      <c r="AE13" s="32"/>
    </row>
    <row r="14" spans="2:31">
      <c r="B14" s="28"/>
      <c r="C14" s="31" t="s">
        <v>551</v>
      </c>
      <c r="D14" s="28" t="s">
        <v>111</v>
      </c>
      <c r="E14" s="32"/>
      <c r="F14" s="32"/>
      <c r="G14" s="32">
        <f>'表4-收入税金表'!H60</f>
        <v>0</v>
      </c>
      <c r="H14" s="32">
        <f>'表4-收入税金表'!I60</f>
        <v>0</v>
      </c>
      <c r="I14" s="32">
        <f>'表4-收入税金表'!J60</f>
        <v>0</v>
      </c>
      <c r="J14" s="32">
        <f>'表4-收入税金表'!K60</f>
        <v>0</v>
      </c>
      <c r="K14" s="32">
        <f>'表4-收入税金表'!L60</f>
        <v>0</v>
      </c>
      <c r="L14" s="32">
        <f>'表4-收入税金表'!M60</f>
        <v>0</v>
      </c>
      <c r="M14" s="32">
        <f>'表4-收入税金表'!N60</f>
        <v>0</v>
      </c>
      <c r="N14" s="32">
        <f>'表4-收入税金表'!O60</f>
        <v>0</v>
      </c>
      <c r="O14" s="32">
        <f>'表4-收入税金表'!P60</f>
        <v>0</v>
      </c>
      <c r="P14" s="32">
        <f>'表4-收入税金表'!Q60</f>
        <v>0</v>
      </c>
      <c r="Q14" s="32">
        <f>'表4-收入税金表'!R60</f>
        <v>0</v>
      </c>
      <c r="R14" s="33">
        <f>'表4-收入税金表'!S60</f>
        <v>0</v>
      </c>
      <c r="S14" s="32">
        <f>'表4-收入税金表'!T60</f>
        <v>0</v>
      </c>
      <c r="T14" s="32">
        <f>'表4-收入税金表'!U60</f>
        <v>0</v>
      </c>
      <c r="U14" s="32">
        <f>'表4-收入税金表'!V60</f>
        <v>0</v>
      </c>
      <c r="V14" s="32">
        <f>'表4-收入税金表'!W60</f>
        <v>0</v>
      </c>
      <c r="W14" s="32">
        <f>'表4-收入税金表'!X60</f>
        <v>0</v>
      </c>
      <c r="X14" s="32">
        <f>'表4-收入税金表'!Y60</f>
        <v>0</v>
      </c>
      <c r="Y14" s="32">
        <f>'表4-收入税金表'!Z60</f>
        <v>0</v>
      </c>
      <c r="Z14" s="32">
        <f>'表4-收入税金表'!AA60</f>
        <v>0</v>
      </c>
      <c r="AA14" s="32">
        <f>'表4-收入税金表'!AB60</f>
        <v>0</v>
      </c>
      <c r="AB14" s="32">
        <f>'表4-收入税金表'!AC60</f>
        <v>0</v>
      </c>
      <c r="AC14" s="32">
        <f>'表4-收入税金表'!AD60</f>
        <v>0</v>
      </c>
      <c r="AD14" s="32">
        <f>'表4-收入税金表'!AE60</f>
        <v>0</v>
      </c>
      <c r="AE14" s="32">
        <f>'表4-收入税金表'!AF60</f>
        <v>0</v>
      </c>
    </row>
    <row r="15" spans="2:31">
      <c r="B15" s="28"/>
      <c r="C15" s="31" t="s">
        <v>552</v>
      </c>
      <c r="D15" s="28" t="s">
        <v>111</v>
      </c>
      <c r="E15" s="32"/>
      <c r="F15" s="32"/>
      <c r="G15" s="32"/>
      <c r="H15" s="32"/>
      <c r="I15" s="32"/>
      <c r="J15" s="32"/>
      <c r="K15" s="32"/>
      <c r="L15" s="32"/>
      <c r="M15" s="32"/>
      <c r="N15" s="32"/>
      <c r="O15" s="32"/>
      <c r="P15" s="32"/>
      <c r="Q15" s="32"/>
      <c r="R15" s="33"/>
      <c r="S15" s="32"/>
      <c r="T15" s="32"/>
      <c r="U15" s="32"/>
      <c r="V15" s="32"/>
      <c r="W15" s="32"/>
      <c r="X15" s="32"/>
      <c r="Y15" s="32"/>
      <c r="Z15" s="32"/>
      <c r="AA15" s="32"/>
      <c r="AB15" s="32"/>
      <c r="AC15" s="32"/>
      <c r="AD15" s="32"/>
      <c r="AE15" s="32"/>
    </row>
    <row r="16" spans="2:31">
      <c r="B16" s="28"/>
      <c r="C16" s="31" t="s">
        <v>553</v>
      </c>
      <c r="D16" s="28" t="s">
        <v>111</v>
      </c>
      <c r="E16" s="32"/>
      <c r="F16" s="32"/>
      <c r="G16" s="32"/>
      <c r="H16" s="32"/>
      <c r="I16" s="32"/>
      <c r="J16" s="32"/>
      <c r="K16" s="32"/>
      <c r="L16" s="32"/>
      <c r="M16" s="32"/>
      <c r="N16" s="32"/>
      <c r="O16" s="32"/>
      <c r="P16" s="32"/>
      <c r="Q16" s="32"/>
      <c r="R16" s="33"/>
      <c r="S16" s="32"/>
      <c r="T16" s="32"/>
      <c r="U16" s="32"/>
      <c r="V16" s="32"/>
      <c r="W16" s="32"/>
      <c r="X16" s="32"/>
      <c r="Y16" s="32"/>
      <c r="Z16" s="32"/>
      <c r="AA16" s="32"/>
      <c r="AB16" s="32"/>
      <c r="AC16" s="32"/>
      <c r="AD16" s="32"/>
      <c r="AE16" s="32"/>
    </row>
    <row r="17" spans="2:31">
      <c r="B17" s="28"/>
      <c r="C17" s="31" t="s">
        <v>554</v>
      </c>
      <c r="D17" s="28" t="s">
        <v>111</v>
      </c>
      <c r="E17" s="32"/>
      <c r="F17" s="32"/>
      <c r="G17" s="32"/>
      <c r="H17" s="32"/>
      <c r="I17" s="32"/>
      <c r="J17" s="32"/>
      <c r="K17" s="32"/>
      <c r="L17" s="32"/>
      <c r="M17" s="32"/>
      <c r="N17" s="32"/>
      <c r="O17" s="32"/>
      <c r="P17" s="32"/>
      <c r="Q17" s="32"/>
      <c r="R17" s="33"/>
      <c r="S17" s="32"/>
      <c r="T17" s="32"/>
      <c r="U17" s="32"/>
      <c r="V17" s="32"/>
      <c r="W17" s="32"/>
      <c r="X17" s="32"/>
      <c r="Y17" s="32"/>
      <c r="Z17" s="32"/>
      <c r="AA17" s="32"/>
      <c r="AB17" s="32"/>
      <c r="AC17" s="32"/>
      <c r="AD17" s="32"/>
      <c r="AE17" s="32"/>
    </row>
    <row r="18" spans="2:31">
      <c r="B18" s="28"/>
      <c r="C18" s="31" t="s">
        <v>555</v>
      </c>
      <c r="D18" s="28" t="s">
        <v>111</v>
      </c>
      <c r="E18" s="32"/>
      <c r="F18" s="32"/>
      <c r="G18" s="32"/>
      <c r="H18" s="32"/>
      <c r="I18" s="32"/>
      <c r="J18" s="32"/>
      <c r="K18" s="32"/>
      <c r="L18" s="32"/>
      <c r="M18" s="32"/>
      <c r="N18" s="32"/>
      <c r="O18" s="32"/>
      <c r="P18" s="32"/>
      <c r="Q18" s="32"/>
      <c r="R18" s="33"/>
      <c r="S18" s="32"/>
      <c r="T18" s="32"/>
      <c r="U18" s="32"/>
      <c r="V18" s="32"/>
      <c r="W18" s="32"/>
      <c r="X18" s="32"/>
      <c r="Y18" s="32"/>
      <c r="Z18" s="32"/>
      <c r="AA18" s="32"/>
      <c r="AB18" s="32"/>
      <c r="AC18" s="32"/>
      <c r="AD18" s="32"/>
      <c r="AE18" s="32"/>
    </row>
    <row r="19" spans="2:31">
      <c r="B19" s="28"/>
      <c r="C19" s="31" t="s">
        <v>556</v>
      </c>
      <c r="D19" s="28" t="s">
        <v>111</v>
      </c>
      <c r="E19" s="32"/>
      <c r="F19" s="32"/>
      <c r="G19" s="32"/>
      <c r="H19" s="32"/>
      <c r="I19" s="32"/>
      <c r="J19" s="32"/>
      <c r="K19" s="32"/>
      <c r="L19" s="32"/>
      <c r="M19" s="32"/>
      <c r="N19" s="32"/>
      <c r="O19" s="32"/>
      <c r="P19" s="32"/>
      <c r="Q19" s="32"/>
      <c r="R19" s="33"/>
      <c r="S19" s="32"/>
      <c r="T19" s="32"/>
      <c r="U19" s="32"/>
      <c r="V19" s="32"/>
      <c r="W19" s="32"/>
      <c r="X19" s="32"/>
      <c r="Y19" s="32"/>
      <c r="Z19" s="32"/>
      <c r="AA19" s="32"/>
      <c r="AB19" s="32"/>
      <c r="AC19" s="32"/>
      <c r="AD19" s="32"/>
      <c r="AE19" s="32"/>
    </row>
    <row r="20" spans="2:31">
      <c r="B20" s="28"/>
      <c r="C20" s="31" t="s">
        <v>557</v>
      </c>
      <c r="D20" s="28" t="s">
        <v>111</v>
      </c>
      <c r="E20" s="32"/>
      <c r="F20" s="32"/>
      <c r="G20" s="32"/>
      <c r="H20" s="32"/>
      <c r="I20" s="32"/>
      <c r="J20" s="32"/>
      <c r="K20" s="32"/>
      <c r="L20" s="32"/>
      <c r="M20" s="32"/>
      <c r="N20" s="32"/>
      <c r="O20" s="32"/>
      <c r="P20" s="32"/>
      <c r="Q20" s="32"/>
      <c r="R20" s="33"/>
      <c r="S20" s="32"/>
      <c r="T20" s="32"/>
      <c r="U20" s="32"/>
      <c r="V20" s="32"/>
      <c r="W20" s="32"/>
      <c r="X20" s="32"/>
      <c r="Y20" s="32"/>
      <c r="Z20" s="32"/>
      <c r="AA20" s="32"/>
      <c r="AB20" s="32"/>
      <c r="AC20" s="32"/>
      <c r="AD20" s="32"/>
      <c r="AE20" s="32"/>
    </row>
    <row r="21" spans="2:31">
      <c r="B21" s="28"/>
      <c r="C21" s="31" t="s">
        <v>558</v>
      </c>
      <c r="D21" s="28" t="s">
        <v>111</v>
      </c>
      <c r="E21" s="32">
        <v>0</v>
      </c>
      <c r="F21" s="32">
        <f>IF('表1-资金筹措及还本付息表'!G5=0,0,'表4-收入税金表'!G45)</f>
        <v>0</v>
      </c>
      <c r="G21" s="32">
        <f>0</f>
        <v>0</v>
      </c>
      <c r="H21" s="32">
        <f t="shared" ref="H21:Q21" si="2">0</f>
        <v>0</v>
      </c>
      <c r="I21" s="32">
        <f t="shared" si="2"/>
        <v>0</v>
      </c>
      <c r="J21" s="32">
        <f t="shared" si="2"/>
        <v>0</v>
      </c>
      <c r="K21" s="32">
        <f t="shared" si="2"/>
        <v>0</v>
      </c>
      <c r="L21" s="32">
        <f t="shared" si="2"/>
        <v>0</v>
      </c>
      <c r="M21" s="32">
        <f t="shared" si="2"/>
        <v>0</v>
      </c>
      <c r="N21" s="32">
        <f t="shared" si="2"/>
        <v>0</v>
      </c>
      <c r="O21" s="32">
        <f t="shared" si="2"/>
        <v>0</v>
      </c>
      <c r="P21" s="32">
        <f t="shared" si="2"/>
        <v>0</v>
      </c>
      <c r="Q21" s="32">
        <f t="shared" si="2"/>
        <v>0</v>
      </c>
      <c r="R21" s="33">
        <f t="shared" ref="R21:AE21" si="3">0</f>
        <v>0</v>
      </c>
      <c r="S21" s="32">
        <f t="shared" si="3"/>
        <v>0</v>
      </c>
      <c r="T21" s="32">
        <f t="shared" si="3"/>
        <v>0</v>
      </c>
      <c r="U21" s="32">
        <f t="shared" si="3"/>
        <v>0</v>
      </c>
      <c r="V21" s="32">
        <f t="shared" si="3"/>
        <v>0</v>
      </c>
      <c r="W21" s="32">
        <f t="shared" si="3"/>
        <v>0</v>
      </c>
      <c r="X21" s="32">
        <f t="shared" si="3"/>
        <v>0</v>
      </c>
      <c r="Y21" s="32">
        <f t="shared" si="3"/>
        <v>0</v>
      </c>
      <c r="Z21" s="32">
        <f t="shared" si="3"/>
        <v>0</v>
      </c>
      <c r="AA21" s="32">
        <f t="shared" si="3"/>
        <v>0</v>
      </c>
      <c r="AB21" s="32">
        <f t="shared" si="3"/>
        <v>0</v>
      </c>
      <c r="AC21" s="32">
        <f t="shared" si="3"/>
        <v>0</v>
      </c>
      <c r="AD21" s="32">
        <f t="shared" si="3"/>
        <v>0</v>
      </c>
      <c r="AE21" s="32">
        <f t="shared" si="3"/>
        <v>0</v>
      </c>
    </row>
    <row r="22" spans="2:31">
      <c r="B22" s="28"/>
      <c r="C22" s="34" t="s">
        <v>559</v>
      </c>
      <c r="D22" s="28" t="s">
        <v>111</v>
      </c>
      <c r="E22" s="32"/>
      <c r="F22" s="32"/>
      <c r="G22" s="32"/>
      <c r="H22" s="32"/>
      <c r="I22" s="32"/>
      <c r="J22" s="32"/>
      <c r="K22" s="32"/>
      <c r="L22" s="32"/>
      <c r="M22" s="32"/>
      <c r="N22" s="32"/>
      <c r="O22" s="32"/>
      <c r="P22" s="32"/>
      <c r="Q22" s="32"/>
      <c r="R22" s="33"/>
      <c r="S22" s="32"/>
      <c r="T22" s="32"/>
      <c r="U22" s="32"/>
      <c r="V22" s="32"/>
      <c r="W22" s="32"/>
      <c r="X22" s="32"/>
      <c r="Y22" s="32"/>
      <c r="Z22" s="32"/>
      <c r="AA22" s="32"/>
      <c r="AB22" s="32"/>
      <c r="AC22" s="32"/>
      <c r="AD22" s="32"/>
      <c r="AE22" s="32"/>
    </row>
    <row r="23" spans="2:31">
      <c r="B23" s="28"/>
      <c r="C23" s="31" t="s">
        <v>560</v>
      </c>
      <c r="D23" s="28" t="s">
        <v>111</v>
      </c>
      <c r="E23" s="32"/>
      <c r="F23" s="32"/>
      <c r="G23" s="32"/>
      <c r="H23" s="32"/>
      <c r="I23" s="32"/>
      <c r="J23" s="32"/>
      <c r="K23" s="32"/>
      <c r="L23" s="32"/>
      <c r="M23" s="32"/>
      <c r="N23" s="32"/>
      <c r="O23" s="32"/>
      <c r="P23" s="32"/>
      <c r="Q23" s="32"/>
      <c r="R23" s="33"/>
      <c r="S23" s="32"/>
      <c r="T23" s="32"/>
      <c r="U23" s="32"/>
      <c r="V23" s="32"/>
      <c r="W23" s="32"/>
      <c r="X23" s="32"/>
      <c r="Y23" s="32"/>
      <c r="Z23" s="32"/>
      <c r="AA23" s="32"/>
      <c r="AB23" s="32"/>
      <c r="AC23" s="32"/>
      <c r="AD23" s="32"/>
      <c r="AE23" s="32"/>
    </row>
    <row r="24" spans="2:31">
      <c r="B24" s="28"/>
      <c r="C24" s="31" t="s">
        <v>561</v>
      </c>
      <c r="D24" s="28" t="s">
        <v>111</v>
      </c>
      <c r="E24" s="32">
        <f>SUM(E25:E26)</f>
        <v>0</v>
      </c>
      <c r="F24" s="32">
        <f t="shared" ref="F24:AE24" si="4">SUM(F25:F26)</f>
        <v>0</v>
      </c>
      <c r="G24" s="32">
        <f t="shared" si="4"/>
        <v>0</v>
      </c>
      <c r="H24" s="32">
        <f t="shared" si="4"/>
        <v>0</v>
      </c>
      <c r="I24" s="32">
        <f t="shared" si="4"/>
        <v>0</v>
      </c>
      <c r="J24" s="32">
        <f t="shared" si="4"/>
        <v>0</v>
      </c>
      <c r="K24" s="32">
        <f t="shared" si="4"/>
        <v>0</v>
      </c>
      <c r="L24" s="32">
        <f t="shared" si="4"/>
        <v>0</v>
      </c>
      <c r="M24" s="32">
        <f t="shared" si="4"/>
        <v>0</v>
      </c>
      <c r="N24" s="32">
        <f t="shared" si="4"/>
        <v>0</v>
      </c>
      <c r="O24" s="32">
        <f t="shared" si="4"/>
        <v>0</v>
      </c>
      <c r="P24" s="32">
        <f t="shared" si="4"/>
        <v>0</v>
      </c>
      <c r="Q24" s="32">
        <f t="shared" si="4"/>
        <v>0</v>
      </c>
      <c r="R24" s="33">
        <f t="shared" si="4"/>
        <v>0</v>
      </c>
      <c r="S24" s="32">
        <f t="shared" si="4"/>
        <v>0</v>
      </c>
      <c r="T24" s="32">
        <f t="shared" si="4"/>
        <v>0</v>
      </c>
      <c r="U24" s="32">
        <f t="shared" si="4"/>
        <v>0</v>
      </c>
      <c r="V24" s="32">
        <f t="shared" si="4"/>
        <v>0</v>
      </c>
      <c r="W24" s="32">
        <f t="shared" si="4"/>
        <v>0</v>
      </c>
      <c r="X24" s="32">
        <f t="shared" si="4"/>
        <v>0</v>
      </c>
      <c r="Y24" s="32">
        <f t="shared" si="4"/>
        <v>0</v>
      </c>
      <c r="Z24" s="32">
        <f t="shared" si="4"/>
        <v>0</v>
      </c>
      <c r="AA24" s="32">
        <f t="shared" si="4"/>
        <v>0</v>
      </c>
      <c r="AB24" s="32">
        <f t="shared" si="4"/>
        <v>0</v>
      </c>
      <c r="AC24" s="32">
        <f t="shared" si="4"/>
        <v>0</v>
      </c>
      <c r="AD24" s="32">
        <f t="shared" si="4"/>
        <v>0</v>
      </c>
      <c r="AE24" s="32">
        <f t="shared" si="4"/>
        <v>0</v>
      </c>
    </row>
    <row r="25" spans="2:31">
      <c r="B25" s="28"/>
      <c r="C25" s="34" t="s">
        <v>562</v>
      </c>
      <c r="D25" s="28" t="s">
        <v>111</v>
      </c>
      <c r="E25" s="32"/>
      <c r="F25" s="32"/>
      <c r="G25" s="32"/>
      <c r="H25" s="32"/>
      <c r="I25" s="32"/>
      <c r="J25" s="32"/>
      <c r="K25" s="32"/>
      <c r="L25" s="32"/>
      <c r="M25" s="32"/>
      <c r="N25" s="32"/>
      <c r="O25" s="32"/>
      <c r="P25" s="32"/>
      <c r="Q25" s="32"/>
      <c r="R25" s="33"/>
      <c r="S25" s="32"/>
      <c r="T25" s="32"/>
      <c r="U25" s="32"/>
      <c r="V25" s="32"/>
      <c r="W25" s="32"/>
      <c r="X25" s="32"/>
      <c r="Y25" s="32"/>
      <c r="Z25" s="32"/>
      <c r="AA25" s="32"/>
      <c r="AB25" s="32"/>
      <c r="AC25" s="32"/>
      <c r="AD25" s="32"/>
      <c r="AE25" s="32"/>
    </row>
    <row r="26" spans="2:31">
      <c r="B26" s="28"/>
      <c r="C26" s="35" t="s">
        <v>563</v>
      </c>
      <c r="D26" s="28" t="s">
        <v>111</v>
      </c>
      <c r="E26" s="32"/>
      <c r="F26" s="32"/>
      <c r="G26" s="32"/>
      <c r="H26" s="32"/>
      <c r="I26" s="32"/>
      <c r="J26" s="32"/>
      <c r="K26" s="32"/>
      <c r="L26" s="32"/>
      <c r="M26" s="32"/>
      <c r="N26" s="32"/>
      <c r="O26" s="32"/>
      <c r="P26" s="32"/>
      <c r="Q26" s="32"/>
      <c r="R26" s="33"/>
      <c r="S26" s="32"/>
      <c r="T26" s="32"/>
      <c r="U26" s="32"/>
      <c r="V26" s="32"/>
      <c r="W26" s="32"/>
      <c r="X26" s="32"/>
      <c r="Y26" s="32"/>
      <c r="Z26" s="32"/>
      <c r="AA26" s="32"/>
      <c r="AB26" s="32"/>
      <c r="AC26" s="32"/>
      <c r="AD26" s="32"/>
      <c r="AE26" s="32"/>
    </row>
    <row r="27" spans="2:31">
      <c r="B27" s="28"/>
      <c r="C27" s="31" t="s">
        <v>564</v>
      </c>
      <c r="D27" s="28" t="s">
        <v>111</v>
      </c>
      <c r="E27" s="32"/>
      <c r="F27" s="32"/>
      <c r="G27" s="32"/>
      <c r="H27" s="32"/>
      <c r="I27" s="32"/>
      <c r="J27" s="32"/>
      <c r="K27" s="32"/>
      <c r="L27" s="32"/>
      <c r="M27" s="32"/>
      <c r="N27" s="32"/>
      <c r="O27" s="32"/>
      <c r="P27" s="32"/>
      <c r="Q27" s="32"/>
      <c r="R27" s="33"/>
      <c r="S27" s="32"/>
      <c r="T27" s="32"/>
      <c r="U27" s="32"/>
      <c r="V27" s="32"/>
      <c r="W27" s="32"/>
      <c r="X27" s="32"/>
      <c r="Y27" s="32"/>
      <c r="Z27" s="32"/>
      <c r="AA27" s="32"/>
      <c r="AB27" s="32"/>
      <c r="AC27" s="32"/>
      <c r="AD27" s="32"/>
      <c r="AE27" s="32"/>
    </row>
    <row r="28" spans="2:31">
      <c r="B28" s="28"/>
      <c r="C28" s="31" t="s">
        <v>565</v>
      </c>
      <c r="D28" s="28" t="s">
        <v>111</v>
      </c>
      <c r="E28" s="32"/>
      <c r="F28" s="32"/>
      <c r="G28" s="32"/>
      <c r="H28" s="32"/>
      <c r="I28" s="32"/>
      <c r="J28" s="32"/>
      <c r="K28" s="32"/>
      <c r="L28" s="32"/>
      <c r="M28" s="32"/>
      <c r="N28" s="32"/>
      <c r="O28" s="32"/>
      <c r="P28" s="32"/>
      <c r="Q28" s="32"/>
      <c r="R28" s="33"/>
      <c r="S28" s="32"/>
      <c r="T28" s="32"/>
      <c r="U28" s="32"/>
      <c r="V28" s="32"/>
      <c r="W28" s="32"/>
      <c r="X28" s="32"/>
      <c r="Y28" s="32"/>
      <c r="Z28" s="32"/>
      <c r="AA28" s="32"/>
      <c r="AB28" s="32"/>
      <c r="AC28" s="32"/>
      <c r="AD28" s="32"/>
      <c r="AE28" s="32"/>
    </row>
    <row r="29" spans="2:31">
      <c r="B29" s="28"/>
      <c r="C29" s="31" t="s">
        <v>566</v>
      </c>
      <c r="D29" s="28" t="s">
        <v>111</v>
      </c>
      <c r="E29" s="32"/>
      <c r="F29" s="32"/>
      <c r="G29" s="32"/>
      <c r="H29" s="32"/>
      <c r="I29" s="32"/>
      <c r="J29" s="32"/>
      <c r="K29" s="32"/>
      <c r="L29" s="32"/>
      <c r="M29" s="32"/>
      <c r="N29" s="32"/>
      <c r="O29" s="32"/>
      <c r="P29" s="32"/>
      <c r="Q29" s="32"/>
      <c r="R29" s="33"/>
      <c r="S29" s="32"/>
      <c r="T29" s="32"/>
      <c r="U29" s="32"/>
      <c r="V29" s="32"/>
      <c r="W29" s="32"/>
      <c r="X29" s="32"/>
      <c r="Y29" s="32"/>
      <c r="Z29" s="32"/>
      <c r="AA29" s="32"/>
      <c r="AB29" s="32"/>
      <c r="AC29" s="32"/>
      <c r="AD29" s="32"/>
      <c r="AE29" s="32"/>
    </row>
    <row r="30" spans="2:31">
      <c r="B30" s="28"/>
      <c r="C30" s="31" t="s">
        <v>567</v>
      </c>
      <c r="D30" s="28" t="s">
        <v>111</v>
      </c>
      <c r="E30" s="32"/>
      <c r="F30" s="32"/>
      <c r="G30" s="32"/>
      <c r="H30" s="32"/>
      <c r="I30" s="32"/>
      <c r="J30" s="32"/>
      <c r="K30" s="32"/>
      <c r="L30" s="32"/>
      <c r="M30" s="32"/>
      <c r="N30" s="32"/>
      <c r="O30" s="32"/>
      <c r="P30" s="32"/>
      <c r="Q30" s="32"/>
      <c r="R30" s="33"/>
      <c r="S30" s="32"/>
      <c r="T30" s="32"/>
      <c r="U30" s="32"/>
      <c r="V30" s="32"/>
      <c r="W30" s="32"/>
      <c r="X30" s="32"/>
      <c r="Y30" s="32"/>
      <c r="Z30" s="32"/>
      <c r="AA30" s="32"/>
      <c r="AB30" s="32"/>
      <c r="AC30" s="32"/>
      <c r="AD30" s="32"/>
      <c r="AE30" s="32"/>
    </row>
    <row r="31" spans="2:31">
      <c r="B31" s="26">
        <v>1.2</v>
      </c>
      <c r="C31" s="27" t="s">
        <v>568</v>
      </c>
      <c r="D31" s="28" t="s">
        <v>111</v>
      </c>
      <c r="E31" s="29">
        <f ca="1">SUM(E32:E42)+SUM(E46:E55)</f>
        <v>27083.100836986847</v>
      </c>
      <c r="F31" s="29">
        <f>SUM(F32:F42)+SUM(F46:F55)</f>
        <v>0</v>
      </c>
      <c r="G31" s="29">
        <f t="shared" ref="G31:AE31" ca="1" si="5">SUM(G32:G42)+SUM(G46:G55)</f>
        <v>23347.710491459533</v>
      </c>
      <c r="H31" s="29">
        <f t="shared" ca="1" si="5"/>
        <v>22183.38897088806</v>
      </c>
      <c r="I31" s="29">
        <f t="shared" ca="1" si="5"/>
        <v>21019.067450316586</v>
      </c>
      <c r="J31" s="29">
        <f t="shared" ca="1" si="5"/>
        <v>19854.745929745113</v>
      </c>
      <c r="K31" s="29">
        <f t="shared" ca="1" si="5"/>
        <v>18690.42440917364</v>
      </c>
      <c r="L31" s="29">
        <f t="shared" ca="1" si="5"/>
        <v>17526.102888602167</v>
      </c>
      <c r="M31" s="29">
        <f t="shared" ca="1" si="5"/>
        <v>16361.781368030695</v>
      </c>
      <c r="N31" s="29">
        <f t="shared" ca="1" si="5"/>
        <v>15197.459847459222</v>
      </c>
      <c r="O31" s="29">
        <f t="shared" ca="1" si="5"/>
        <v>14033.138326887749</v>
      </c>
      <c r="P31" s="29">
        <f t="shared" ca="1" si="5"/>
        <v>12868.816806316276</v>
      </c>
      <c r="Q31" s="29">
        <f t="shared" ca="1" si="5"/>
        <v>12088.920064505863</v>
      </c>
      <c r="R31" s="30">
        <f t="shared" ca="1" si="5"/>
        <v>10884.244561633504</v>
      </c>
      <c r="S31" s="29">
        <f t="shared" ca="1" si="5"/>
        <v>9679.5690587611462</v>
      </c>
      <c r="T31" s="29">
        <f t="shared" ca="1" si="5"/>
        <v>8474.8935558887897</v>
      </c>
      <c r="U31" s="29">
        <f t="shared" ca="1" si="5"/>
        <v>7270.2180530164333</v>
      </c>
      <c r="V31" s="29">
        <f t="shared" ca="1" si="5"/>
        <v>6065.5425501440768</v>
      </c>
      <c r="W31" s="29">
        <f t="shared" ca="1" si="5"/>
        <v>4860.8670472717204</v>
      </c>
      <c r="X31" s="29">
        <f t="shared" ca="1" si="5"/>
        <v>3656.1915443993639</v>
      </c>
      <c r="Y31" s="29">
        <f t="shared" ca="1" si="5"/>
        <v>2451.5160415270075</v>
      </c>
      <c r="Z31" s="29">
        <f t="shared" ca="1" si="5"/>
        <v>1246.840538654651</v>
      </c>
      <c r="AA31" s="29">
        <f t="shared" ca="1" si="5"/>
        <v>1246.840538654651</v>
      </c>
      <c r="AB31" s="29">
        <f t="shared" ca="1" si="5"/>
        <v>1246.840538654651</v>
      </c>
      <c r="AC31" s="29">
        <f t="shared" ca="1" si="5"/>
        <v>1246.840538654651</v>
      </c>
      <c r="AD31" s="29">
        <f t="shared" ca="1" si="5"/>
        <v>1246.840538654651</v>
      </c>
      <c r="AE31" s="29">
        <f t="shared" ca="1" si="5"/>
        <v>1246.840538654651</v>
      </c>
    </row>
    <row r="32" spans="2:31">
      <c r="B32" s="28"/>
      <c r="C32" s="31" t="s">
        <v>569</v>
      </c>
      <c r="D32" s="28" t="s">
        <v>111</v>
      </c>
      <c r="E32" s="32"/>
      <c r="F32" s="32"/>
      <c r="G32" s="32"/>
      <c r="H32" s="32"/>
      <c r="I32" s="32"/>
      <c r="J32" s="32"/>
      <c r="K32" s="32"/>
      <c r="L32" s="32"/>
      <c r="M32" s="32"/>
      <c r="N32" s="32"/>
      <c r="O32" s="32"/>
      <c r="P32" s="32"/>
      <c r="Q32" s="32"/>
      <c r="R32" s="33"/>
      <c r="S32" s="32"/>
      <c r="T32" s="32"/>
      <c r="U32" s="32"/>
      <c r="V32" s="32"/>
      <c r="W32" s="32"/>
      <c r="X32" s="32"/>
      <c r="Y32" s="32"/>
      <c r="Z32" s="32"/>
      <c r="AA32" s="32"/>
      <c r="AB32" s="32"/>
      <c r="AC32" s="32"/>
      <c r="AD32" s="32"/>
      <c r="AE32" s="32"/>
    </row>
    <row r="33" spans="2:31">
      <c r="B33" s="28"/>
      <c r="C33" s="31" t="s">
        <v>570</v>
      </c>
      <c r="D33" s="28" t="s">
        <v>111</v>
      </c>
      <c r="E33" s="32"/>
      <c r="F33" s="32"/>
      <c r="G33" s="32"/>
      <c r="H33" s="32"/>
      <c r="I33" s="32"/>
      <c r="J33" s="32"/>
      <c r="K33" s="32"/>
      <c r="L33" s="32"/>
      <c r="M33" s="32"/>
      <c r="N33" s="32"/>
      <c r="O33" s="32"/>
      <c r="P33" s="32"/>
      <c r="Q33" s="32"/>
      <c r="R33" s="33"/>
      <c r="S33" s="32"/>
      <c r="T33" s="32"/>
      <c r="U33" s="32"/>
      <c r="V33" s="32"/>
      <c r="W33" s="32"/>
      <c r="X33" s="32"/>
      <c r="Y33" s="32"/>
      <c r="Z33" s="32"/>
      <c r="AA33" s="32"/>
      <c r="AB33" s="32"/>
      <c r="AC33" s="32"/>
      <c r="AD33" s="32"/>
      <c r="AE33" s="32"/>
    </row>
    <row r="34" spans="2:31">
      <c r="B34" s="28"/>
      <c r="C34" s="31" t="s">
        <v>571</v>
      </c>
      <c r="D34" s="28" t="s">
        <v>111</v>
      </c>
      <c r="E34" s="32"/>
      <c r="F34" s="32"/>
      <c r="G34" s="32"/>
      <c r="H34" s="32"/>
      <c r="I34" s="32"/>
      <c r="J34" s="32"/>
      <c r="K34" s="32"/>
      <c r="L34" s="32"/>
      <c r="M34" s="32"/>
      <c r="N34" s="32"/>
      <c r="O34" s="32"/>
      <c r="P34" s="32"/>
      <c r="Q34" s="32"/>
      <c r="R34" s="33"/>
      <c r="S34" s="32"/>
      <c r="T34" s="32"/>
      <c r="U34" s="32"/>
      <c r="V34" s="32"/>
      <c r="W34" s="32"/>
      <c r="X34" s="32"/>
      <c r="Y34" s="32"/>
      <c r="Z34" s="32"/>
      <c r="AA34" s="32"/>
      <c r="AB34" s="32"/>
      <c r="AC34" s="32"/>
      <c r="AD34" s="32"/>
      <c r="AE34" s="32"/>
    </row>
    <row r="35" spans="2:31">
      <c r="B35" s="28"/>
      <c r="C35" s="31" t="s">
        <v>572</v>
      </c>
      <c r="D35" s="28" t="s">
        <v>111</v>
      </c>
      <c r="E35" s="32"/>
      <c r="F35" s="32"/>
      <c r="G35" s="32"/>
      <c r="H35" s="32"/>
      <c r="I35" s="32"/>
      <c r="J35" s="32"/>
      <c r="K35" s="32"/>
      <c r="L35" s="32"/>
      <c r="M35" s="32"/>
      <c r="N35" s="32"/>
      <c r="O35" s="32"/>
      <c r="P35" s="32"/>
      <c r="Q35" s="32"/>
      <c r="R35" s="33"/>
      <c r="S35" s="32"/>
      <c r="T35" s="32"/>
      <c r="U35" s="32"/>
      <c r="V35" s="32"/>
      <c r="W35" s="32"/>
      <c r="X35" s="32"/>
      <c r="Y35" s="32"/>
      <c r="Z35" s="32"/>
      <c r="AA35" s="32"/>
      <c r="AB35" s="32"/>
      <c r="AC35" s="32"/>
      <c r="AD35" s="32"/>
      <c r="AE35" s="32"/>
    </row>
    <row r="36" spans="2:31">
      <c r="B36" s="28"/>
      <c r="C36" s="31" t="s">
        <v>573</v>
      </c>
      <c r="D36" s="28" t="s">
        <v>111</v>
      </c>
      <c r="E36" s="32"/>
      <c r="F36" s="32"/>
      <c r="G36" s="32"/>
      <c r="H36" s="32"/>
      <c r="I36" s="32"/>
      <c r="J36" s="32"/>
      <c r="K36" s="32"/>
      <c r="L36" s="32"/>
      <c r="M36" s="32"/>
      <c r="N36" s="32"/>
      <c r="O36" s="32"/>
      <c r="P36" s="32"/>
      <c r="Q36" s="32"/>
      <c r="R36" s="33"/>
      <c r="S36" s="32"/>
      <c r="T36" s="32"/>
      <c r="U36" s="32"/>
      <c r="V36" s="32"/>
      <c r="W36" s="32"/>
      <c r="X36" s="32"/>
      <c r="Y36" s="32"/>
      <c r="Z36" s="32"/>
      <c r="AA36" s="32"/>
      <c r="AB36" s="32"/>
      <c r="AC36" s="32"/>
      <c r="AD36" s="32"/>
      <c r="AE36" s="32"/>
    </row>
    <row r="37" spans="2:31">
      <c r="B37" s="28"/>
      <c r="C37" s="31" t="s">
        <v>574</v>
      </c>
      <c r="D37" s="28" t="s">
        <v>111</v>
      </c>
      <c r="E37" s="32"/>
      <c r="F37" s="32"/>
      <c r="G37" s="32"/>
      <c r="H37" s="32"/>
      <c r="I37" s="32"/>
      <c r="J37" s="32"/>
      <c r="K37" s="32"/>
      <c r="L37" s="32"/>
      <c r="M37" s="32"/>
      <c r="N37" s="32"/>
      <c r="O37" s="32"/>
      <c r="P37" s="32"/>
      <c r="Q37" s="32"/>
      <c r="R37" s="33"/>
      <c r="S37" s="32"/>
      <c r="T37" s="32"/>
      <c r="U37" s="32"/>
      <c r="V37" s="32"/>
      <c r="W37" s="32"/>
      <c r="X37" s="32"/>
      <c r="Y37" s="32"/>
      <c r="Z37" s="32"/>
      <c r="AA37" s="32"/>
      <c r="AB37" s="32"/>
      <c r="AC37" s="32"/>
      <c r="AD37" s="32"/>
      <c r="AE37" s="32"/>
    </row>
    <row r="38" spans="2:31">
      <c r="B38" s="28"/>
      <c r="C38" s="31" t="s">
        <v>575</v>
      </c>
      <c r="D38" s="28" t="s">
        <v>111</v>
      </c>
      <c r="E38" s="32"/>
      <c r="F38" s="32"/>
      <c r="G38" s="32"/>
      <c r="H38" s="32"/>
      <c r="I38" s="32"/>
      <c r="J38" s="32"/>
      <c r="K38" s="32"/>
      <c r="L38" s="32"/>
      <c r="M38" s="32"/>
      <c r="N38" s="32"/>
      <c r="O38" s="32"/>
      <c r="P38" s="32"/>
      <c r="Q38" s="32"/>
      <c r="R38" s="33"/>
      <c r="S38" s="32"/>
      <c r="T38" s="32"/>
      <c r="U38" s="32"/>
      <c r="V38" s="32"/>
      <c r="W38" s="32"/>
      <c r="X38" s="32"/>
      <c r="Y38" s="32"/>
      <c r="Z38" s="32"/>
      <c r="AA38" s="32"/>
      <c r="AB38" s="32"/>
      <c r="AC38" s="32"/>
      <c r="AD38" s="32"/>
      <c r="AE38" s="32"/>
    </row>
    <row r="39" spans="2:31">
      <c r="B39" s="28"/>
      <c r="C39" s="31" t="s">
        <v>576</v>
      </c>
      <c r="D39" s="28" t="s">
        <v>111</v>
      </c>
      <c r="E39" s="32"/>
      <c r="F39" s="32"/>
      <c r="G39" s="32"/>
      <c r="H39" s="32"/>
      <c r="I39" s="32"/>
      <c r="J39" s="32"/>
      <c r="K39" s="32"/>
      <c r="L39" s="32"/>
      <c r="M39" s="32"/>
      <c r="N39" s="32"/>
      <c r="O39" s="32"/>
      <c r="P39" s="32"/>
      <c r="Q39" s="32"/>
      <c r="R39" s="33"/>
      <c r="S39" s="32"/>
      <c r="T39" s="32"/>
      <c r="U39" s="32"/>
      <c r="V39" s="32"/>
      <c r="W39" s="32"/>
      <c r="X39" s="32"/>
      <c r="Y39" s="32"/>
      <c r="Z39" s="32"/>
      <c r="AA39" s="32"/>
      <c r="AB39" s="32"/>
      <c r="AC39" s="32"/>
      <c r="AD39" s="32"/>
      <c r="AE39" s="32"/>
    </row>
    <row r="40" spans="2:31">
      <c r="B40" s="28"/>
      <c r="C40" s="31" t="s">
        <v>577</v>
      </c>
      <c r="D40" s="28" t="s">
        <v>111</v>
      </c>
      <c r="E40" s="32"/>
      <c r="F40" s="32"/>
      <c r="G40" s="32"/>
      <c r="H40" s="32"/>
      <c r="I40" s="32"/>
      <c r="J40" s="32"/>
      <c r="K40" s="32"/>
      <c r="L40" s="32"/>
      <c r="M40" s="32"/>
      <c r="N40" s="32"/>
      <c r="O40" s="32"/>
      <c r="P40" s="32"/>
      <c r="Q40" s="32"/>
      <c r="R40" s="33"/>
      <c r="S40" s="32"/>
      <c r="T40" s="32"/>
      <c r="U40" s="32"/>
      <c r="V40" s="32"/>
      <c r="W40" s="32"/>
      <c r="X40" s="32"/>
      <c r="Y40" s="32"/>
      <c r="Z40" s="32"/>
      <c r="AA40" s="32"/>
      <c r="AB40" s="32"/>
      <c r="AC40" s="32"/>
      <c r="AD40" s="32"/>
      <c r="AE40" s="32"/>
    </row>
    <row r="41" spans="2:31">
      <c r="B41" s="28"/>
      <c r="C41" s="31" t="s">
        <v>578</v>
      </c>
      <c r="D41" s="28" t="s">
        <v>111</v>
      </c>
      <c r="E41" s="32"/>
      <c r="F41" s="32"/>
      <c r="G41" s="32"/>
      <c r="H41" s="32"/>
      <c r="I41" s="32"/>
      <c r="J41" s="32"/>
      <c r="K41" s="32"/>
      <c r="L41" s="32"/>
      <c r="M41" s="32"/>
      <c r="N41" s="32"/>
      <c r="O41" s="32"/>
      <c r="P41" s="32"/>
      <c r="Q41" s="32"/>
      <c r="R41" s="33"/>
      <c r="S41" s="32"/>
      <c r="T41" s="32"/>
      <c r="U41" s="32"/>
      <c r="V41" s="32"/>
      <c r="W41" s="32"/>
      <c r="X41" s="32"/>
      <c r="Y41" s="32"/>
      <c r="Z41" s="32"/>
      <c r="AA41" s="32"/>
      <c r="AB41" s="32"/>
      <c r="AC41" s="32"/>
      <c r="AD41" s="32"/>
      <c r="AE41" s="32"/>
    </row>
    <row r="42" spans="2:31">
      <c r="B42" s="28"/>
      <c r="C42" s="31" t="s">
        <v>579</v>
      </c>
      <c r="D42" s="28" t="s">
        <v>111</v>
      </c>
      <c r="E42" s="32"/>
      <c r="F42" s="32">
        <f>F43-F44</f>
        <v>0</v>
      </c>
      <c r="G42" s="32">
        <f ca="1">G43-G44</f>
        <v>23347.710491459533</v>
      </c>
      <c r="H42" s="32">
        <f t="shared" ref="H42:AE42" ca="1" si="6">H43-H44</f>
        <v>22183.38897088806</v>
      </c>
      <c r="I42" s="32">
        <f t="shared" ca="1" si="6"/>
        <v>21019.067450316586</v>
      </c>
      <c r="J42" s="32">
        <f t="shared" ca="1" si="6"/>
        <v>19854.745929745113</v>
      </c>
      <c r="K42" s="32">
        <f t="shared" ca="1" si="6"/>
        <v>18690.42440917364</v>
      </c>
      <c r="L42" s="32">
        <f t="shared" ca="1" si="6"/>
        <v>17526.102888602167</v>
      </c>
      <c r="M42" s="32">
        <f t="shared" ca="1" si="6"/>
        <v>16361.781368030695</v>
      </c>
      <c r="N42" s="32">
        <f t="shared" ca="1" si="6"/>
        <v>15197.459847459222</v>
      </c>
      <c r="O42" s="32">
        <f t="shared" ca="1" si="6"/>
        <v>14033.138326887749</v>
      </c>
      <c r="P42" s="32">
        <f t="shared" ca="1" si="6"/>
        <v>12868.816806316276</v>
      </c>
      <c r="Q42" s="32">
        <f t="shared" ca="1" si="6"/>
        <v>12088.920064505863</v>
      </c>
      <c r="R42" s="33">
        <f t="shared" ca="1" si="6"/>
        <v>10884.244561633504</v>
      </c>
      <c r="S42" s="32">
        <f t="shared" ca="1" si="6"/>
        <v>9679.5690587611462</v>
      </c>
      <c r="T42" s="32">
        <f t="shared" ca="1" si="6"/>
        <v>8474.8935558887897</v>
      </c>
      <c r="U42" s="32">
        <f t="shared" ca="1" si="6"/>
        <v>7270.2180530164333</v>
      </c>
      <c r="V42" s="32">
        <f t="shared" ca="1" si="6"/>
        <v>6065.5425501440768</v>
      </c>
      <c r="W42" s="32">
        <f t="shared" ca="1" si="6"/>
        <v>4860.8670472717204</v>
      </c>
      <c r="X42" s="32">
        <f t="shared" ca="1" si="6"/>
        <v>3656.1915443993639</v>
      </c>
      <c r="Y42" s="32">
        <f t="shared" ca="1" si="6"/>
        <v>2451.5160415270075</v>
      </c>
      <c r="Z42" s="32">
        <f t="shared" ca="1" si="6"/>
        <v>1246.840538654651</v>
      </c>
      <c r="AA42" s="32">
        <f t="shared" ca="1" si="6"/>
        <v>1246.840538654651</v>
      </c>
      <c r="AB42" s="32">
        <f t="shared" ca="1" si="6"/>
        <v>1246.840538654651</v>
      </c>
      <c r="AC42" s="32">
        <f t="shared" ca="1" si="6"/>
        <v>1246.840538654651</v>
      </c>
      <c r="AD42" s="32">
        <f t="shared" ca="1" si="6"/>
        <v>1246.840538654651</v>
      </c>
      <c r="AE42" s="32">
        <f t="shared" ca="1" si="6"/>
        <v>1246.840538654651</v>
      </c>
    </row>
    <row r="43" spans="2:31">
      <c r="B43" s="28"/>
      <c r="C43" s="34" t="s">
        <v>580</v>
      </c>
      <c r="D43" s="28" t="s">
        <v>111</v>
      </c>
      <c r="E43" s="32"/>
      <c r="F43" s="32">
        <f>IF('表1-资金筹措及还本付息表'!G5=0,0,'表2-折旧摊销表'!D4)</f>
        <v>0</v>
      </c>
      <c r="G43" s="32">
        <f ca="1">F43+'表2-折旧摊销表'!D4</f>
        <v>24512.032012031006</v>
      </c>
      <c r="H43" s="32">
        <f ca="1">G43+'表2-折旧摊销表'!I36</f>
        <v>24512.032012031006</v>
      </c>
      <c r="I43" s="32">
        <f ca="1">H43+'表2-折旧摊销表'!J36</f>
        <v>24512.032012031006</v>
      </c>
      <c r="J43" s="32">
        <f ca="1">I43+'表2-折旧摊销表'!K36</f>
        <v>24512.032012031006</v>
      </c>
      <c r="K43" s="32">
        <f ca="1">J43+'表2-折旧摊销表'!L36</f>
        <v>24512.032012031006</v>
      </c>
      <c r="L43" s="32">
        <f ca="1">K43+'表2-折旧摊销表'!M36</f>
        <v>24512.032012031006</v>
      </c>
      <c r="M43" s="32">
        <f ca="1">L43+'表2-折旧摊销表'!N36</f>
        <v>24512.032012031006</v>
      </c>
      <c r="N43" s="32">
        <f ca="1">M43+'表2-折旧摊销表'!O36</f>
        <v>24512.032012031006</v>
      </c>
      <c r="O43" s="32">
        <f ca="1">N43+'表2-折旧摊销表'!P36</f>
        <v>24512.032012031006</v>
      </c>
      <c r="P43" s="32">
        <f ca="1">O43+'表2-折旧摊销表'!Q36</f>
        <v>24512.032012031006</v>
      </c>
      <c r="Q43" s="32">
        <f ca="1">P43+'表2-折旧摊销表'!R36</f>
        <v>24936.810773092951</v>
      </c>
      <c r="R43" s="33">
        <f ca="1">Q43+'表2-折旧摊销表'!S36</f>
        <v>24936.810773092951</v>
      </c>
      <c r="S43" s="32">
        <f ca="1">R43+'表2-折旧摊销表'!T36</f>
        <v>24936.810773092951</v>
      </c>
      <c r="T43" s="32">
        <f ca="1">S43+'表2-折旧摊销表'!U36</f>
        <v>24936.810773092951</v>
      </c>
      <c r="U43" s="32">
        <f ca="1">T43+'表2-折旧摊销表'!V36</f>
        <v>24936.810773092951</v>
      </c>
      <c r="V43" s="32">
        <f ca="1">U43+'表2-折旧摊销表'!W36</f>
        <v>24936.810773092951</v>
      </c>
      <c r="W43" s="32">
        <f ca="1">V43+'表2-折旧摊销表'!X36</f>
        <v>24936.810773092951</v>
      </c>
      <c r="X43" s="32">
        <f ca="1">W43+'表2-折旧摊销表'!Y36</f>
        <v>24936.810773092951</v>
      </c>
      <c r="Y43" s="32">
        <f ca="1">X43+'表2-折旧摊销表'!Z36</f>
        <v>24936.810773092951</v>
      </c>
      <c r="Z43" s="32">
        <f ca="1">Y43+'表2-折旧摊销表'!AA36</f>
        <v>24936.810773092951</v>
      </c>
      <c r="AA43" s="32">
        <f ca="1">Z43+'表2-折旧摊销表'!AB36</f>
        <v>24936.810773092951</v>
      </c>
      <c r="AB43" s="32">
        <f ca="1">AA43+'表2-折旧摊销表'!AC36</f>
        <v>24936.810773092951</v>
      </c>
      <c r="AC43" s="32">
        <f ca="1">AB43+'表2-折旧摊销表'!AD36</f>
        <v>24936.810773092951</v>
      </c>
      <c r="AD43" s="32">
        <f ca="1">AC43+'表2-折旧摊销表'!AE36</f>
        <v>24936.810773092951</v>
      </c>
      <c r="AE43" s="32">
        <f ca="1">AD43+'表2-折旧摊销表'!AF36</f>
        <v>24936.810773092951</v>
      </c>
    </row>
    <row r="44" spans="2:31">
      <c r="B44" s="28"/>
      <c r="C44" s="34" t="s">
        <v>581</v>
      </c>
      <c r="D44" s="28" t="s">
        <v>111</v>
      </c>
      <c r="E44" s="32"/>
      <c r="F44" s="32"/>
      <c r="G44" s="32">
        <f ca="1">'表2-折旧摊销表'!H28+'表2-折旧摊销表'!H37</f>
        <v>1164.3215205714728</v>
      </c>
      <c r="H44" s="32">
        <f ca="1">G44+'表2-折旧摊销表'!I28+'表2-折旧摊销表'!I37</f>
        <v>2328.6430411429455</v>
      </c>
      <c r="I44" s="32">
        <f ca="1">H44+'表2-折旧摊销表'!J28+'表2-折旧摊销表'!J37</f>
        <v>3492.9645617144183</v>
      </c>
      <c r="J44" s="32">
        <f ca="1">I44+'表2-折旧摊销表'!K28+'表2-折旧摊销表'!K37</f>
        <v>4657.2860822858911</v>
      </c>
      <c r="K44" s="32">
        <f ca="1">J44+'表2-折旧摊销表'!L28+'表2-折旧摊销表'!L37</f>
        <v>5821.6076028573643</v>
      </c>
      <c r="L44" s="32">
        <f ca="1">K44+'表2-折旧摊销表'!M28+'表2-折旧摊销表'!M37</f>
        <v>6985.9291234288376</v>
      </c>
      <c r="M44" s="32">
        <f ca="1">L44+'表2-折旧摊销表'!N28+'表2-折旧摊销表'!N37</f>
        <v>8150.2506440003108</v>
      </c>
      <c r="N44" s="32">
        <f ca="1">M44+'表2-折旧摊销表'!O28+'表2-折旧摊销表'!O37</f>
        <v>9314.572164571784</v>
      </c>
      <c r="O44" s="32">
        <f ca="1">N44+'表2-折旧摊销表'!P28+'表2-折旧摊销表'!P37</f>
        <v>10478.893685143257</v>
      </c>
      <c r="P44" s="32">
        <f ca="1">O44+'表2-折旧摊销表'!Q28+'表2-折旧摊销表'!Q37</f>
        <v>11643.21520571473</v>
      </c>
      <c r="Q44" s="32">
        <f ca="1">P44+'表2-折旧摊销表'!R28+'表2-折旧摊销表'!R37</f>
        <v>12847.890708587089</v>
      </c>
      <c r="R44" s="33">
        <f ca="1">Q44+'表2-折旧摊销表'!S28+'表2-折旧摊销表'!S37</f>
        <v>14052.566211459447</v>
      </c>
      <c r="S44" s="32">
        <f ca="1">R44+'表2-折旧摊销表'!T28+'表2-折旧摊销表'!T37</f>
        <v>15257.241714331805</v>
      </c>
      <c r="T44" s="32">
        <f ca="1">S44+'表2-折旧摊销表'!U28+'表2-折旧摊销表'!U37</f>
        <v>16461.917217204162</v>
      </c>
      <c r="U44" s="32">
        <f ca="1">T44+'表2-折旧摊销表'!V28+'表2-折旧摊销表'!V37</f>
        <v>17666.592720076518</v>
      </c>
      <c r="V44" s="32">
        <f ca="1">U44+'表2-折旧摊销表'!W28+'表2-折旧摊销表'!W37</f>
        <v>18871.268222948875</v>
      </c>
      <c r="W44" s="32">
        <f ca="1">V44+'表2-折旧摊销表'!X28+'表2-折旧摊销表'!X37</f>
        <v>20075.943725821231</v>
      </c>
      <c r="X44" s="32">
        <f ca="1">W44+'表2-折旧摊销表'!Y28+'表2-折旧摊销表'!Y37</f>
        <v>21280.619228693588</v>
      </c>
      <c r="Y44" s="32">
        <f ca="1">X44+'表2-折旧摊销表'!Z28+'表2-折旧摊销表'!Z37</f>
        <v>22485.294731565944</v>
      </c>
      <c r="Z44" s="32">
        <f ca="1">Y44+'表2-折旧摊销表'!AA28+'表2-折旧摊销表'!AA37</f>
        <v>23689.9702344383</v>
      </c>
      <c r="AA44" s="32">
        <f ca="1">Z44+'表2-折旧摊销表'!AB28+'表2-折旧摊销表'!AB37</f>
        <v>23689.9702344383</v>
      </c>
      <c r="AB44" s="32">
        <f ca="1">AA44+'表2-折旧摊销表'!AC28+'表2-折旧摊销表'!AC37</f>
        <v>23689.9702344383</v>
      </c>
      <c r="AC44" s="32">
        <f ca="1">AB44+'表2-折旧摊销表'!AD28+'表2-折旧摊销表'!AD37</f>
        <v>23689.9702344383</v>
      </c>
      <c r="AD44" s="32">
        <f ca="1">AC44+'表2-折旧摊销表'!AE28+'表2-折旧摊销表'!AE37</f>
        <v>23689.9702344383</v>
      </c>
      <c r="AE44" s="32">
        <f ca="1">AD44+'表2-折旧摊销表'!AF28+'表2-折旧摊销表'!AF37</f>
        <v>23689.9702344383</v>
      </c>
    </row>
    <row r="45" spans="2:31">
      <c r="B45" s="28"/>
      <c r="C45" s="34" t="s">
        <v>582</v>
      </c>
      <c r="D45" s="28" t="s">
        <v>111</v>
      </c>
      <c r="E45" s="32"/>
      <c r="F45" s="32"/>
      <c r="G45" s="32"/>
      <c r="H45" s="32"/>
      <c r="I45" s="32"/>
      <c r="J45" s="32"/>
      <c r="K45" s="32"/>
      <c r="L45" s="32"/>
      <c r="M45" s="32"/>
      <c r="N45" s="32"/>
      <c r="O45" s="32"/>
      <c r="P45" s="32"/>
      <c r="Q45" s="32"/>
      <c r="R45" s="33"/>
      <c r="S45" s="32"/>
      <c r="T45" s="32"/>
      <c r="U45" s="32"/>
      <c r="V45" s="32"/>
      <c r="W45" s="32"/>
      <c r="X45" s="32"/>
      <c r="Y45" s="32"/>
      <c r="Z45" s="32"/>
      <c r="AA45" s="32"/>
      <c r="AB45" s="32"/>
      <c r="AC45" s="32"/>
      <c r="AD45" s="32"/>
      <c r="AE45" s="32"/>
    </row>
    <row r="46" spans="2:31">
      <c r="B46" s="28"/>
      <c r="C46" s="31" t="s">
        <v>583</v>
      </c>
      <c r="D46" s="28" t="s">
        <v>111</v>
      </c>
      <c r="E46" s="32">
        <f ca="1">'表1-资金筹措及还本付息表'!F6</f>
        <v>27083.100836986847</v>
      </c>
      <c r="F46" s="32"/>
      <c r="G46" s="32"/>
      <c r="H46" s="32"/>
      <c r="I46" s="32"/>
      <c r="J46" s="32"/>
      <c r="K46" s="32"/>
      <c r="L46" s="32"/>
      <c r="M46" s="32"/>
      <c r="N46" s="32"/>
      <c r="O46" s="32"/>
      <c r="P46" s="32"/>
      <c r="Q46" s="32"/>
      <c r="R46" s="33"/>
      <c r="S46" s="32"/>
      <c r="T46" s="32"/>
      <c r="U46" s="32"/>
      <c r="V46" s="32"/>
      <c r="W46" s="32"/>
      <c r="X46" s="32"/>
      <c r="Y46" s="32"/>
      <c r="Z46" s="32"/>
      <c r="AA46" s="32"/>
      <c r="AB46" s="32"/>
      <c r="AC46" s="32"/>
      <c r="AD46" s="32"/>
      <c r="AE46" s="32"/>
    </row>
    <row r="47" spans="2:31">
      <c r="B47" s="28"/>
      <c r="C47" s="31" t="s">
        <v>584</v>
      </c>
      <c r="D47" s="28" t="s">
        <v>111</v>
      </c>
      <c r="E47" s="32"/>
      <c r="F47" s="32"/>
      <c r="G47" s="32"/>
      <c r="H47" s="32"/>
      <c r="I47" s="32"/>
      <c r="J47" s="32"/>
      <c r="K47" s="32"/>
      <c r="L47" s="32"/>
      <c r="M47" s="32"/>
      <c r="N47" s="32"/>
      <c r="O47" s="32"/>
      <c r="P47" s="32"/>
      <c r="Q47" s="32"/>
      <c r="R47" s="33"/>
      <c r="S47" s="32"/>
      <c r="T47" s="32"/>
      <c r="U47" s="32"/>
      <c r="V47" s="32"/>
      <c r="W47" s="32"/>
      <c r="X47" s="32"/>
      <c r="Y47" s="32"/>
      <c r="Z47" s="32"/>
      <c r="AA47" s="32"/>
      <c r="AB47" s="32"/>
      <c r="AC47" s="32"/>
      <c r="AD47" s="32"/>
      <c r="AE47" s="32"/>
    </row>
    <row r="48" spans="2:31">
      <c r="B48" s="28"/>
      <c r="C48" s="31" t="s">
        <v>585</v>
      </c>
      <c r="D48" s="28" t="s">
        <v>111</v>
      </c>
      <c r="E48" s="32"/>
      <c r="F48" s="32"/>
      <c r="G48" s="32"/>
      <c r="H48" s="32"/>
      <c r="I48" s="32"/>
      <c r="J48" s="32"/>
      <c r="K48" s="32"/>
      <c r="L48" s="32"/>
      <c r="M48" s="32"/>
      <c r="N48" s="32"/>
      <c r="O48" s="32"/>
      <c r="P48" s="32"/>
      <c r="Q48" s="32"/>
      <c r="R48" s="33"/>
      <c r="S48" s="32"/>
      <c r="T48" s="32"/>
      <c r="U48" s="32"/>
      <c r="V48" s="32"/>
      <c r="W48" s="32"/>
      <c r="X48" s="32"/>
      <c r="Y48" s="32"/>
      <c r="Z48" s="32"/>
      <c r="AA48" s="32"/>
      <c r="AB48" s="32"/>
      <c r="AC48" s="32"/>
      <c r="AD48" s="32"/>
      <c r="AE48" s="32"/>
    </row>
    <row r="49" spans="2:31">
      <c r="B49" s="28"/>
      <c r="C49" s="31" t="s">
        <v>586</v>
      </c>
      <c r="D49" s="28" t="s">
        <v>111</v>
      </c>
      <c r="E49" s="32"/>
      <c r="F49" s="32"/>
      <c r="G49" s="32"/>
      <c r="H49" s="32"/>
      <c r="I49" s="32"/>
      <c r="J49" s="32"/>
      <c r="K49" s="32"/>
      <c r="L49" s="32"/>
      <c r="M49" s="32"/>
      <c r="N49" s="32"/>
      <c r="O49" s="32"/>
      <c r="P49" s="32"/>
      <c r="Q49" s="32"/>
      <c r="R49" s="33"/>
      <c r="S49" s="32"/>
      <c r="T49" s="32"/>
      <c r="U49" s="32"/>
      <c r="V49" s="32"/>
      <c r="W49" s="32"/>
      <c r="X49" s="32"/>
      <c r="Y49" s="32"/>
      <c r="Z49" s="32"/>
      <c r="AA49" s="32"/>
      <c r="AB49" s="32"/>
      <c r="AC49" s="32"/>
      <c r="AD49" s="32"/>
      <c r="AE49" s="32"/>
    </row>
    <row r="50" spans="2:31">
      <c r="B50" s="28"/>
      <c r="C50" s="31" t="s">
        <v>587</v>
      </c>
      <c r="D50" s="28" t="s">
        <v>111</v>
      </c>
      <c r="E50" s="32">
        <f>'表2-折旧摊销表'!F33</f>
        <v>0</v>
      </c>
      <c r="F50" s="32">
        <f>'表2-折旧摊销表'!G33</f>
        <v>0</v>
      </c>
      <c r="G50" s="32">
        <f>'表2-折旧摊销表'!H33</f>
        <v>0</v>
      </c>
      <c r="H50" s="32">
        <f>'表2-折旧摊销表'!I33</f>
        <v>0</v>
      </c>
      <c r="I50" s="32">
        <f>'表2-折旧摊销表'!J33</f>
        <v>0</v>
      </c>
      <c r="J50" s="32">
        <f>'表2-折旧摊销表'!K33</f>
        <v>0</v>
      </c>
      <c r="K50" s="32">
        <f>'表2-折旧摊销表'!L33</f>
        <v>0</v>
      </c>
      <c r="L50" s="32">
        <f>'表2-折旧摊销表'!M33</f>
        <v>0</v>
      </c>
      <c r="M50" s="32">
        <f>'表2-折旧摊销表'!N33</f>
        <v>0</v>
      </c>
      <c r="N50" s="32">
        <f>'表2-折旧摊销表'!O33</f>
        <v>0</v>
      </c>
      <c r="O50" s="32">
        <f>'表2-折旧摊销表'!P33</f>
        <v>0</v>
      </c>
      <c r="P50" s="32">
        <f>'表2-折旧摊销表'!Q33</f>
        <v>0</v>
      </c>
      <c r="Q50" s="32">
        <f>'表2-折旧摊销表'!R33</f>
        <v>0</v>
      </c>
      <c r="R50" s="33">
        <f>'表2-折旧摊销表'!S33</f>
        <v>0</v>
      </c>
      <c r="S50" s="32">
        <f>'表2-折旧摊销表'!T33</f>
        <v>0</v>
      </c>
      <c r="T50" s="32">
        <f>'表2-折旧摊销表'!U33</f>
        <v>0</v>
      </c>
      <c r="U50" s="32">
        <f>'表2-折旧摊销表'!V33</f>
        <v>0</v>
      </c>
      <c r="V50" s="32">
        <f>'表2-折旧摊销表'!W33</f>
        <v>0</v>
      </c>
      <c r="W50" s="32">
        <f>'表2-折旧摊销表'!X33</f>
        <v>0</v>
      </c>
      <c r="X50" s="32">
        <f>'表2-折旧摊销表'!Y33</f>
        <v>0</v>
      </c>
      <c r="Y50" s="32">
        <f>'表2-折旧摊销表'!Z33</f>
        <v>0</v>
      </c>
      <c r="Z50" s="32">
        <f>'表2-折旧摊销表'!AA33</f>
        <v>0</v>
      </c>
      <c r="AA50" s="32">
        <f>'表2-折旧摊销表'!AB33</f>
        <v>0</v>
      </c>
      <c r="AB50" s="32">
        <f>'表2-折旧摊销表'!AC33</f>
        <v>0</v>
      </c>
      <c r="AC50" s="32">
        <f>'表2-折旧摊销表'!AD33</f>
        <v>0</v>
      </c>
      <c r="AD50" s="32">
        <f>'表2-折旧摊销表'!AE33</f>
        <v>0</v>
      </c>
      <c r="AE50" s="32">
        <f>'表2-折旧摊销表'!AF33</f>
        <v>0</v>
      </c>
    </row>
    <row r="51" spans="2:31">
      <c r="B51" s="28"/>
      <c r="C51" s="31" t="s">
        <v>588</v>
      </c>
      <c r="D51" s="28" t="s">
        <v>111</v>
      </c>
      <c r="E51" s="32"/>
      <c r="F51" s="32"/>
      <c r="G51" s="32"/>
      <c r="H51" s="32"/>
      <c r="I51" s="32"/>
      <c r="J51" s="32"/>
      <c r="K51" s="32"/>
      <c r="L51" s="32"/>
      <c r="M51" s="32"/>
      <c r="N51" s="32"/>
      <c r="O51" s="32"/>
      <c r="P51" s="32"/>
      <c r="Q51" s="32"/>
      <c r="R51" s="33"/>
      <c r="S51" s="32"/>
      <c r="T51" s="32"/>
      <c r="U51" s="32"/>
      <c r="V51" s="32"/>
      <c r="W51" s="32"/>
      <c r="X51" s="32"/>
      <c r="Y51" s="32"/>
      <c r="Z51" s="32"/>
      <c r="AA51" s="32"/>
      <c r="AB51" s="32"/>
      <c r="AC51" s="32"/>
      <c r="AD51" s="32"/>
      <c r="AE51" s="32"/>
    </row>
    <row r="52" spans="2:31">
      <c r="B52" s="28"/>
      <c r="C52" s="31" t="s">
        <v>589</v>
      </c>
      <c r="D52" s="28" t="s">
        <v>111</v>
      </c>
      <c r="E52" s="32"/>
      <c r="F52" s="32"/>
      <c r="G52" s="32"/>
      <c r="H52" s="32"/>
      <c r="I52" s="32"/>
      <c r="J52" s="32"/>
      <c r="K52" s="32"/>
      <c r="L52" s="32"/>
      <c r="M52" s="32"/>
      <c r="N52" s="32"/>
      <c r="O52" s="32"/>
      <c r="P52" s="32"/>
      <c r="Q52" s="32"/>
      <c r="R52" s="33"/>
      <c r="S52" s="32"/>
      <c r="T52" s="32"/>
      <c r="U52" s="32"/>
      <c r="V52" s="32"/>
      <c r="W52" s="32"/>
      <c r="X52" s="32"/>
      <c r="Y52" s="32"/>
      <c r="Z52" s="32"/>
      <c r="AA52" s="32"/>
      <c r="AB52" s="32"/>
      <c r="AC52" s="32"/>
      <c r="AD52" s="32"/>
      <c r="AE52" s="32"/>
    </row>
    <row r="53" spans="2:31">
      <c r="B53" s="28"/>
      <c r="C53" s="31" t="s">
        <v>590</v>
      </c>
      <c r="D53" s="28" t="s">
        <v>111</v>
      </c>
      <c r="E53" s="32"/>
      <c r="F53" s="32"/>
      <c r="G53" s="32">
        <f>'表2-折旧摊销表'!H32</f>
        <v>0</v>
      </c>
      <c r="H53" s="32">
        <f>'表2-折旧摊销表'!I32</f>
        <v>0</v>
      </c>
      <c r="I53" s="32">
        <f>'表2-折旧摊销表'!J32</f>
        <v>0</v>
      </c>
      <c r="J53" s="32">
        <f>'表2-折旧摊销表'!K32</f>
        <v>0</v>
      </c>
      <c r="K53" s="32">
        <f>'表2-折旧摊销表'!L32</f>
        <v>0</v>
      </c>
      <c r="L53" s="32">
        <f>'表2-折旧摊销表'!M32</f>
        <v>0</v>
      </c>
      <c r="M53" s="32">
        <f>'表2-折旧摊销表'!N32</f>
        <v>0</v>
      </c>
      <c r="N53" s="32">
        <f>'表2-折旧摊销表'!O32</f>
        <v>0</v>
      </c>
      <c r="O53" s="32">
        <f>'表2-折旧摊销表'!P32</f>
        <v>0</v>
      </c>
      <c r="P53" s="32">
        <f>'表2-折旧摊销表'!Q32</f>
        <v>0</v>
      </c>
      <c r="Q53" s="32">
        <f>'表2-折旧摊销表'!R32</f>
        <v>0</v>
      </c>
      <c r="R53" s="33">
        <f>'表2-折旧摊销表'!S32</f>
        <v>0</v>
      </c>
      <c r="S53" s="32">
        <f>'表2-折旧摊销表'!T32</f>
        <v>0</v>
      </c>
      <c r="T53" s="32">
        <f>'表2-折旧摊销表'!U32</f>
        <v>0</v>
      </c>
      <c r="U53" s="32">
        <f>'表2-折旧摊销表'!V32</f>
        <v>0</v>
      </c>
      <c r="V53" s="32">
        <f>'表2-折旧摊销表'!W32</f>
        <v>0</v>
      </c>
      <c r="W53" s="32">
        <f>'表2-折旧摊销表'!X32</f>
        <v>0</v>
      </c>
      <c r="X53" s="32">
        <f>'表2-折旧摊销表'!Y32</f>
        <v>0</v>
      </c>
      <c r="Y53" s="32">
        <f>'表2-折旧摊销表'!Z32</f>
        <v>0</v>
      </c>
      <c r="Z53" s="32">
        <f>'表2-折旧摊销表'!AA32</f>
        <v>0</v>
      </c>
      <c r="AA53" s="32">
        <f>'表2-折旧摊销表'!AB32</f>
        <v>0</v>
      </c>
      <c r="AB53" s="32">
        <f>'表2-折旧摊销表'!AC32</f>
        <v>0</v>
      </c>
      <c r="AC53" s="32">
        <f>'表2-折旧摊销表'!AD32</f>
        <v>0</v>
      </c>
      <c r="AD53" s="32">
        <f>'表2-折旧摊销表'!AE32</f>
        <v>0</v>
      </c>
      <c r="AE53" s="32">
        <f>'表2-折旧摊销表'!AF32</f>
        <v>0</v>
      </c>
    </row>
    <row r="54" spans="2:31">
      <c r="B54" s="28"/>
      <c r="C54" s="31" t="s">
        <v>591</v>
      </c>
      <c r="D54" s="28" t="s">
        <v>111</v>
      </c>
      <c r="E54" s="32"/>
      <c r="F54" s="32"/>
      <c r="G54" s="32"/>
      <c r="H54" s="32"/>
      <c r="I54" s="32"/>
      <c r="J54" s="32"/>
      <c r="K54" s="32"/>
      <c r="L54" s="32"/>
      <c r="M54" s="32"/>
      <c r="N54" s="32"/>
      <c r="O54" s="32"/>
      <c r="P54" s="32"/>
      <c r="Q54" s="32"/>
      <c r="R54" s="33"/>
      <c r="S54" s="32"/>
      <c r="T54" s="32"/>
      <c r="U54" s="32"/>
      <c r="V54" s="32"/>
      <c r="W54" s="32"/>
      <c r="X54" s="32"/>
      <c r="Y54" s="32"/>
      <c r="Z54" s="32"/>
      <c r="AA54" s="32"/>
      <c r="AB54" s="32"/>
      <c r="AC54" s="32"/>
      <c r="AD54" s="32"/>
      <c r="AE54" s="32"/>
    </row>
    <row r="55" spans="2:31">
      <c r="B55" s="28"/>
      <c r="C55" s="31" t="s">
        <v>592</v>
      </c>
      <c r="D55" s="28" t="s">
        <v>111</v>
      </c>
      <c r="E55" s="32"/>
      <c r="F55" s="32"/>
      <c r="G55" s="32"/>
      <c r="H55" s="32"/>
      <c r="I55" s="32"/>
      <c r="J55" s="32"/>
      <c r="K55" s="32"/>
      <c r="L55" s="32"/>
      <c r="M55" s="32"/>
      <c r="N55" s="32"/>
      <c r="O55" s="32"/>
      <c r="P55" s="32"/>
      <c r="Q55" s="32"/>
      <c r="R55" s="33"/>
      <c r="S55" s="32"/>
      <c r="T55" s="32"/>
      <c r="U55" s="32"/>
      <c r="V55" s="32"/>
      <c r="W55" s="32"/>
      <c r="X55" s="32"/>
      <c r="Y55" s="32"/>
      <c r="Z55" s="32"/>
      <c r="AA55" s="32"/>
      <c r="AB55" s="32"/>
      <c r="AC55" s="32"/>
      <c r="AD55" s="32"/>
      <c r="AE55" s="32"/>
    </row>
    <row r="56" spans="2:31">
      <c r="B56" s="28"/>
      <c r="C56" s="34" t="s">
        <v>593</v>
      </c>
      <c r="D56" s="28" t="s">
        <v>111</v>
      </c>
      <c r="E56" s="32"/>
      <c r="F56" s="32"/>
      <c r="G56" s="32"/>
      <c r="H56" s="32"/>
      <c r="I56" s="32"/>
      <c r="J56" s="32"/>
      <c r="K56" s="32"/>
      <c r="L56" s="32"/>
      <c r="M56" s="32"/>
      <c r="N56" s="32"/>
      <c r="O56" s="32"/>
      <c r="P56" s="32"/>
      <c r="Q56" s="32"/>
      <c r="R56" s="33"/>
      <c r="S56" s="32"/>
      <c r="T56" s="32"/>
      <c r="U56" s="32"/>
      <c r="V56" s="32"/>
      <c r="W56" s="32"/>
      <c r="X56" s="32"/>
      <c r="Y56" s="32"/>
      <c r="Z56" s="32"/>
      <c r="AA56" s="32"/>
      <c r="AB56" s="32"/>
      <c r="AC56" s="32"/>
      <c r="AD56" s="32"/>
      <c r="AE56" s="32"/>
    </row>
    <row r="57" spans="2:31" s="15" customFormat="1" ht="23.5" customHeight="1">
      <c r="B57" s="22">
        <v>2</v>
      </c>
      <c r="C57" s="23" t="s">
        <v>594</v>
      </c>
      <c r="D57" s="24" t="s">
        <v>111</v>
      </c>
      <c r="E57" s="25">
        <f ca="1">E58+E86</f>
        <v>21666.480669589477</v>
      </c>
      <c r="F57" s="25">
        <f t="shared" ref="F57:AE57" si="7">F58+F86</f>
        <v>0</v>
      </c>
      <c r="G57" s="25">
        <f t="shared" ca="1" si="7"/>
        <v>18208.321673268674</v>
      </c>
      <c r="H57" s="25">
        <f t="shared" ca="1" si="7"/>
        <v>17151.479463473977</v>
      </c>
      <c r="I57" s="25">
        <f t="shared" ca="1" si="7"/>
        <v>16092.893099422477</v>
      </c>
      <c r="J57" s="25">
        <f t="shared" ca="1" si="7"/>
        <v>15032.570429808335</v>
      </c>
      <c r="K57" s="25">
        <f t="shared" ca="1" si="7"/>
        <v>13970.519268006577</v>
      </c>
      <c r="L57" s="25">
        <f t="shared" ca="1" si="7"/>
        <v>12925.523306203073</v>
      </c>
      <c r="M57" s="25">
        <f t="shared" ca="1" si="7"/>
        <v>11723.456357114381</v>
      </c>
      <c r="N57" s="25">
        <f t="shared" ca="1" si="7"/>
        <v>10279.024312475081</v>
      </c>
      <c r="O57" s="25">
        <f t="shared" ca="1" si="7"/>
        <v>8834.592267835782</v>
      </c>
      <c r="P57" s="25">
        <f t="shared" ca="1" si="7"/>
        <v>7390.1602231964835</v>
      </c>
      <c r="Q57" s="25">
        <f t="shared" ca="1" si="7"/>
        <v>5945.7281785571849</v>
      </c>
      <c r="R57" s="25">
        <f t="shared" ca="1" si="7"/>
        <v>4501.2961339178864</v>
      </c>
      <c r="S57" s="25">
        <f t="shared" ca="1" si="7"/>
        <v>3056.8640892785879</v>
      </c>
      <c r="T57" s="25">
        <f t="shared" ca="1" si="7"/>
        <v>1612.4320446392894</v>
      </c>
      <c r="U57" s="25">
        <f t="shared" ca="1" si="7"/>
        <v>167.99999999999091</v>
      </c>
      <c r="V57" s="25">
        <f t="shared" ca="1" si="7"/>
        <v>168</v>
      </c>
      <c r="W57" s="25">
        <f t="shared" ca="1" si="7"/>
        <v>168</v>
      </c>
      <c r="X57" s="25">
        <f t="shared" ca="1" si="7"/>
        <v>168</v>
      </c>
      <c r="Y57" s="25">
        <f t="shared" ca="1" si="7"/>
        <v>168</v>
      </c>
      <c r="Z57" s="25">
        <f t="shared" ca="1" si="7"/>
        <v>168</v>
      </c>
      <c r="AA57" s="25">
        <f t="shared" ca="1" si="7"/>
        <v>168</v>
      </c>
      <c r="AB57" s="25">
        <f t="shared" ca="1" si="7"/>
        <v>168</v>
      </c>
      <c r="AC57" s="25">
        <f t="shared" ca="1" si="7"/>
        <v>168</v>
      </c>
      <c r="AD57" s="25">
        <f t="shared" ca="1" si="7"/>
        <v>168</v>
      </c>
      <c r="AE57" s="25">
        <f t="shared" ca="1" si="7"/>
        <v>0</v>
      </c>
    </row>
    <row r="58" spans="2:31">
      <c r="B58" s="26">
        <v>2.1</v>
      </c>
      <c r="C58" s="27" t="s">
        <v>329</v>
      </c>
      <c r="D58" s="28" t="s">
        <v>111</v>
      </c>
      <c r="E58" s="29">
        <f>SUM(E59:E73)+E77+E79+SUM(E81:E85)</f>
        <v>0</v>
      </c>
      <c r="F58" s="29">
        <f t="shared" ref="F58:AE58" si="8">SUM(F59:F73)+F77+F79+SUM(F81:F85)</f>
        <v>0</v>
      </c>
      <c r="G58" s="29">
        <f t="shared" ca="1" si="8"/>
        <v>168</v>
      </c>
      <c r="H58" s="29">
        <f t="shared" ca="1" si="8"/>
        <v>168</v>
      </c>
      <c r="I58" s="29">
        <f t="shared" ca="1" si="8"/>
        <v>168</v>
      </c>
      <c r="J58" s="29">
        <f t="shared" ca="1" si="8"/>
        <v>168</v>
      </c>
      <c r="K58" s="29">
        <f t="shared" ca="1" si="8"/>
        <v>168</v>
      </c>
      <c r="L58" s="29">
        <f t="shared" ca="1" si="8"/>
        <v>168</v>
      </c>
      <c r="M58" s="29">
        <f t="shared" ca="1" si="8"/>
        <v>168</v>
      </c>
      <c r="N58" s="29">
        <f t="shared" ca="1" si="8"/>
        <v>168</v>
      </c>
      <c r="O58" s="29">
        <f t="shared" ca="1" si="8"/>
        <v>168</v>
      </c>
      <c r="P58" s="29">
        <f t="shared" ca="1" si="8"/>
        <v>168</v>
      </c>
      <c r="Q58" s="29">
        <f t="shared" ca="1" si="8"/>
        <v>168</v>
      </c>
      <c r="R58" s="30">
        <f t="shared" ca="1" si="8"/>
        <v>168</v>
      </c>
      <c r="S58" s="29">
        <f t="shared" ca="1" si="8"/>
        <v>168</v>
      </c>
      <c r="T58" s="29">
        <f t="shared" ca="1" si="8"/>
        <v>168</v>
      </c>
      <c r="U58" s="29">
        <f t="shared" ca="1" si="8"/>
        <v>168</v>
      </c>
      <c r="V58" s="29">
        <f t="shared" ca="1" si="8"/>
        <v>168</v>
      </c>
      <c r="W58" s="29">
        <f t="shared" ca="1" si="8"/>
        <v>168</v>
      </c>
      <c r="X58" s="29">
        <f t="shared" ca="1" si="8"/>
        <v>168</v>
      </c>
      <c r="Y58" s="29">
        <f t="shared" ca="1" si="8"/>
        <v>168</v>
      </c>
      <c r="Z58" s="29">
        <f t="shared" ca="1" si="8"/>
        <v>168</v>
      </c>
      <c r="AA58" s="29">
        <f t="shared" ca="1" si="8"/>
        <v>168</v>
      </c>
      <c r="AB58" s="29">
        <f t="shared" ca="1" si="8"/>
        <v>168</v>
      </c>
      <c r="AC58" s="29">
        <f t="shared" ca="1" si="8"/>
        <v>168</v>
      </c>
      <c r="AD58" s="29">
        <f t="shared" ca="1" si="8"/>
        <v>168</v>
      </c>
      <c r="AE58" s="29">
        <f t="shared" ca="1" si="8"/>
        <v>0</v>
      </c>
    </row>
    <row r="59" spans="2:31">
      <c r="B59" s="28"/>
      <c r="C59" s="31" t="s">
        <v>595</v>
      </c>
      <c r="D59" s="28" t="s">
        <v>111</v>
      </c>
      <c r="E59" s="32">
        <f>'表1-资金筹措及还本付息表'!F74+'表1-资金筹措及还本付息表'!F64</f>
        <v>0</v>
      </c>
      <c r="F59" s="32">
        <f>'表1-资金筹措及还本付息表'!G74+'表1-资金筹措及还本付息表'!G64</f>
        <v>0</v>
      </c>
      <c r="G59" s="32">
        <f ca="1">'表1-资金筹措及还本付息表'!H64+'表1-资金筹措及还本付息表'!H74</f>
        <v>168</v>
      </c>
      <c r="H59" s="32">
        <f ca="1">'表1-资金筹措及还本付息表'!I64+'表1-资金筹措及还本付息表'!I74</f>
        <v>168</v>
      </c>
      <c r="I59" s="32">
        <f ca="1">'表1-资金筹措及还本付息表'!J64+'表1-资金筹措及还本付息表'!J74</f>
        <v>168</v>
      </c>
      <c r="J59" s="32">
        <f ca="1">'表1-资金筹措及还本付息表'!K64+'表1-资金筹措及还本付息表'!K74</f>
        <v>168</v>
      </c>
      <c r="K59" s="32">
        <f ca="1">'表1-资金筹措及还本付息表'!L64+'表1-资金筹措及还本付息表'!L74</f>
        <v>168</v>
      </c>
      <c r="L59" s="32">
        <f ca="1">'表1-资金筹措及还本付息表'!M64+'表1-资金筹措及还本付息表'!M74</f>
        <v>168</v>
      </c>
      <c r="M59" s="32">
        <f ca="1">'表1-资金筹措及还本付息表'!N64+'表1-资金筹措及还本付息表'!N74</f>
        <v>168</v>
      </c>
      <c r="N59" s="32">
        <f ca="1">'表1-资金筹措及还本付息表'!O64+'表1-资金筹措及还本付息表'!O74</f>
        <v>168</v>
      </c>
      <c r="O59" s="32">
        <f ca="1">'表1-资金筹措及还本付息表'!P64+'表1-资金筹措及还本付息表'!P74</f>
        <v>168</v>
      </c>
      <c r="P59" s="32">
        <f ca="1">'表1-资金筹措及还本付息表'!Q64+'表1-资金筹措及还本付息表'!Q74</f>
        <v>168</v>
      </c>
      <c r="Q59" s="32">
        <f ca="1">'表1-资金筹措及还本付息表'!R64+'表1-资金筹措及还本付息表'!R74</f>
        <v>168</v>
      </c>
      <c r="R59" s="33">
        <f ca="1">'表1-资金筹措及还本付息表'!S64+'表1-资金筹措及还本付息表'!S74</f>
        <v>168</v>
      </c>
      <c r="S59" s="32">
        <f ca="1">'表1-资金筹措及还本付息表'!T64+'表1-资金筹措及还本付息表'!T74</f>
        <v>168</v>
      </c>
      <c r="T59" s="32">
        <f ca="1">'表1-资金筹措及还本付息表'!U64+'表1-资金筹措及还本付息表'!U74</f>
        <v>168</v>
      </c>
      <c r="U59" s="32">
        <f ca="1">'表1-资金筹措及还本付息表'!V64+'表1-资金筹措及还本付息表'!V74</f>
        <v>168</v>
      </c>
      <c r="V59" s="32">
        <f ca="1">'表1-资金筹措及还本付息表'!W64+'表1-资金筹措及还本付息表'!W74</f>
        <v>168</v>
      </c>
      <c r="W59" s="32">
        <f ca="1">'表1-资金筹措及还本付息表'!X64+'表1-资金筹措及还本付息表'!X74</f>
        <v>168</v>
      </c>
      <c r="X59" s="32">
        <f ca="1">'表1-资金筹措及还本付息表'!Y64+'表1-资金筹措及还本付息表'!Y74</f>
        <v>168</v>
      </c>
      <c r="Y59" s="32">
        <f ca="1">'表1-资金筹措及还本付息表'!Z64+'表1-资金筹措及还本付息表'!Z74</f>
        <v>168</v>
      </c>
      <c r="Z59" s="32">
        <f ca="1">'表1-资金筹措及还本付息表'!AA64+'表1-资金筹措及还本付息表'!AA74</f>
        <v>168</v>
      </c>
      <c r="AA59" s="32">
        <f ca="1">'表1-资金筹措及还本付息表'!AB64+'表1-资金筹措及还本付息表'!AB74</f>
        <v>168</v>
      </c>
      <c r="AB59" s="32">
        <f ca="1">'表1-资金筹措及还本付息表'!AC64+'表1-资金筹措及还本付息表'!AC74</f>
        <v>168</v>
      </c>
      <c r="AC59" s="32">
        <f ca="1">'表1-资金筹措及还本付息表'!AD64+'表1-资金筹措及还本付息表'!AD74</f>
        <v>168</v>
      </c>
      <c r="AD59" s="32">
        <f ca="1">'表1-资金筹措及还本付息表'!AE64+'表1-资金筹措及还本付息表'!AE74</f>
        <v>168</v>
      </c>
      <c r="AE59" s="32">
        <f ca="1">'表1-资金筹措及还本付息表'!AF64+'表1-资金筹措及还本付息表'!AF74</f>
        <v>0</v>
      </c>
    </row>
    <row r="60" spans="2:31">
      <c r="B60" s="28"/>
      <c r="C60" s="31" t="s">
        <v>596</v>
      </c>
      <c r="D60" s="28" t="s">
        <v>111</v>
      </c>
      <c r="E60" s="32"/>
      <c r="F60" s="32"/>
      <c r="G60" s="32"/>
      <c r="H60" s="32"/>
      <c r="I60" s="32"/>
      <c r="J60" s="32"/>
      <c r="K60" s="32"/>
      <c r="L60" s="32"/>
      <c r="M60" s="32"/>
      <c r="N60" s="32"/>
      <c r="O60" s="32"/>
      <c r="P60" s="32"/>
      <c r="Q60" s="32"/>
      <c r="R60" s="33"/>
      <c r="S60" s="32"/>
      <c r="T60" s="32"/>
      <c r="U60" s="32"/>
      <c r="V60" s="32"/>
      <c r="W60" s="32"/>
      <c r="X60" s="32"/>
      <c r="Y60" s="32"/>
      <c r="Z60" s="32"/>
      <c r="AA60" s="32"/>
      <c r="AB60" s="32"/>
      <c r="AC60" s="32"/>
      <c r="AD60" s="32"/>
      <c r="AE60" s="32"/>
    </row>
    <row r="61" spans="2:31">
      <c r="B61" s="28"/>
      <c r="C61" s="31" t="s">
        <v>597</v>
      </c>
      <c r="D61" s="28" t="s">
        <v>111</v>
      </c>
      <c r="E61" s="32"/>
      <c r="F61" s="32"/>
      <c r="G61" s="32"/>
      <c r="H61" s="32"/>
      <c r="I61" s="32"/>
      <c r="J61" s="32"/>
      <c r="K61" s="32"/>
      <c r="L61" s="32"/>
      <c r="M61" s="32"/>
      <c r="N61" s="32"/>
      <c r="O61" s="32"/>
      <c r="P61" s="32"/>
      <c r="Q61" s="32"/>
      <c r="R61" s="33"/>
      <c r="S61" s="32"/>
      <c r="T61" s="32"/>
      <c r="U61" s="32"/>
      <c r="V61" s="32"/>
      <c r="W61" s="32"/>
      <c r="X61" s="32"/>
      <c r="Y61" s="32"/>
      <c r="Z61" s="32"/>
      <c r="AA61" s="32"/>
      <c r="AB61" s="32"/>
      <c r="AC61" s="32"/>
      <c r="AD61" s="32"/>
      <c r="AE61" s="32"/>
    </row>
    <row r="62" spans="2:31">
      <c r="B62" s="28"/>
      <c r="C62" s="31" t="s">
        <v>598</v>
      </c>
      <c r="D62" s="28" t="s">
        <v>111</v>
      </c>
      <c r="E62" s="32"/>
      <c r="F62" s="32"/>
      <c r="G62" s="32"/>
      <c r="H62" s="32"/>
      <c r="I62" s="32"/>
      <c r="J62" s="32"/>
      <c r="K62" s="32"/>
      <c r="L62" s="32"/>
      <c r="M62" s="32"/>
      <c r="N62" s="32"/>
      <c r="O62" s="32"/>
      <c r="P62" s="32"/>
      <c r="Q62" s="32"/>
      <c r="R62" s="33"/>
      <c r="S62" s="32"/>
      <c r="T62" s="32"/>
      <c r="U62" s="32"/>
      <c r="V62" s="32"/>
      <c r="W62" s="32"/>
      <c r="X62" s="32"/>
      <c r="Y62" s="32"/>
      <c r="Z62" s="32"/>
      <c r="AA62" s="32"/>
      <c r="AB62" s="32"/>
      <c r="AC62" s="32"/>
      <c r="AD62" s="32"/>
      <c r="AE62" s="32"/>
    </row>
    <row r="63" spans="2:31">
      <c r="B63" s="28"/>
      <c r="C63" s="31" t="s">
        <v>599</v>
      </c>
      <c r="D63" s="28" t="s">
        <v>111</v>
      </c>
      <c r="E63" s="32"/>
      <c r="F63" s="32"/>
      <c r="G63" s="32"/>
      <c r="H63" s="32"/>
      <c r="I63" s="32"/>
      <c r="J63" s="32"/>
      <c r="K63" s="32"/>
      <c r="L63" s="32"/>
      <c r="M63" s="32"/>
      <c r="N63" s="32"/>
      <c r="O63" s="32"/>
      <c r="P63" s="32"/>
      <c r="Q63" s="32"/>
      <c r="R63" s="33"/>
      <c r="S63" s="32"/>
      <c r="T63" s="32"/>
      <c r="U63" s="32"/>
      <c r="V63" s="32"/>
      <c r="W63" s="32"/>
      <c r="X63" s="32"/>
      <c r="Y63" s="32"/>
      <c r="Z63" s="32"/>
      <c r="AA63" s="32"/>
      <c r="AB63" s="32"/>
      <c r="AC63" s="32"/>
      <c r="AD63" s="32"/>
      <c r="AE63" s="32"/>
    </row>
    <row r="64" spans="2:31">
      <c r="B64" s="28"/>
      <c r="C64" s="31" t="s">
        <v>600</v>
      </c>
      <c r="D64" s="28" t="s">
        <v>111</v>
      </c>
      <c r="E64" s="32"/>
      <c r="F64" s="32"/>
      <c r="G64" s="32"/>
      <c r="H64" s="32"/>
      <c r="I64" s="32"/>
      <c r="J64" s="32"/>
      <c r="K64" s="32"/>
      <c r="L64" s="32"/>
      <c r="M64" s="32"/>
      <c r="N64" s="32"/>
      <c r="O64" s="32"/>
      <c r="P64" s="32"/>
      <c r="Q64" s="32"/>
      <c r="R64" s="33"/>
      <c r="S64" s="32"/>
      <c r="T64" s="32"/>
      <c r="U64" s="32"/>
      <c r="V64" s="32"/>
      <c r="W64" s="32"/>
      <c r="X64" s="32"/>
      <c r="Y64" s="32"/>
      <c r="Z64" s="32"/>
      <c r="AA64" s="32"/>
      <c r="AB64" s="32"/>
      <c r="AC64" s="32"/>
      <c r="AD64" s="32"/>
      <c r="AE64" s="32"/>
    </row>
    <row r="65" spans="2:31">
      <c r="B65" s="28"/>
      <c r="C65" s="31" t="s">
        <v>601</v>
      </c>
      <c r="D65" s="28" t="s">
        <v>111</v>
      </c>
      <c r="E65" s="32"/>
      <c r="F65" s="32"/>
      <c r="G65" s="32"/>
      <c r="H65" s="32"/>
      <c r="I65" s="32"/>
      <c r="J65" s="32"/>
      <c r="K65" s="32"/>
      <c r="L65" s="32"/>
      <c r="M65" s="32"/>
      <c r="N65" s="32"/>
      <c r="O65" s="32"/>
      <c r="P65" s="32"/>
      <c r="Q65" s="32"/>
      <c r="R65" s="33"/>
      <c r="S65" s="32"/>
      <c r="T65" s="32"/>
      <c r="U65" s="32"/>
      <c r="V65" s="32"/>
      <c r="W65" s="32"/>
      <c r="X65" s="32"/>
      <c r="Y65" s="32"/>
      <c r="Z65" s="32"/>
      <c r="AA65" s="32"/>
      <c r="AB65" s="32"/>
      <c r="AC65" s="32"/>
      <c r="AD65" s="32"/>
      <c r="AE65" s="32"/>
    </row>
    <row r="66" spans="2:31">
      <c r="B66" s="28"/>
      <c r="C66" s="31" t="s">
        <v>602</v>
      </c>
      <c r="D66" s="28" t="s">
        <v>111</v>
      </c>
      <c r="E66" s="32"/>
      <c r="F66" s="32"/>
      <c r="G66" s="32"/>
      <c r="H66" s="32"/>
      <c r="I66" s="32"/>
      <c r="J66" s="32"/>
      <c r="K66" s="32"/>
      <c r="L66" s="32"/>
      <c r="M66" s="32"/>
      <c r="N66" s="32"/>
      <c r="O66" s="32"/>
      <c r="P66" s="32"/>
      <c r="Q66" s="32"/>
      <c r="R66" s="33"/>
      <c r="S66" s="32"/>
      <c r="T66" s="32"/>
      <c r="U66" s="32"/>
      <c r="V66" s="32"/>
      <c r="W66" s="32"/>
      <c r="X66" s="32"/>
      <c r="Y66" s="32"/>
      <c r="Z66" s="32"/>
      <c r="AA66" s="32"/>
      <c r="AB66" s="32"/>
      <c r="AC66" s="32"/>
      <c r="AD66" s="32"/>
      <c r="AE66" s="32"/>
    </row>
    <row r="67" spans="2:31">
      <c r="B67" s="28"/>
      <c r="C67" s="31" t="s">
        <v>603</v>
      </c>
      <c r="D67" s="28" t="s">
        <v>111</v>
      </c>
      <c r="E67" s="32"/>
      <c r="F67" s="32"/>
      <c r="G67" s="32"/>
      <c r="H67" s="32"/>
      <c r="I67" s="32"/>
      <c r="J67" s="32"/>
      <c r="K67" s="32"/>
      <c r="L67" s="32"/>
      <c r="M67" s="32"/>
      <c r="N67" s="32"/>
      <c r="O67" s="32"/>
      <c r="P67" s="32"/>
      <c r="Q67" s="32"/>
      <c r="R67" s="33"/>
      <c r="S67" s="32"/>
      <c r="T67" s="32"/>
      <c r="U67" s="32"/>
      <c r="V67" s="32"/>
      <c r="W67" s="32"/>
      <c r="X67" s="32"/>
      <c r="Y67" s="32"/>
      <c r="Z67" s="32"/>
      <c r="AA67" s="32"/>
      <c r="AB67" s="32"/>
      <c r="AC67" s="32"/>
      <c r="AD67" s="32"/>
      <c r="AE67" s="32"/>
    </row>
    <row r="68" spans="2:31">
      <c r="B68" s="28"/>
      <c r="C68" s="31" t="s">
        <v>604</v>
      </c>
      <c r="D68" s="28" t="s">
        <v>111</v>
      </c>
      <c r="E68" s="32"/>
      <c r="F68" s="32"/>
      <c r="G68" s="32"/>
      <c r="H68" s="32"/>
      <c r="I68" s="32"/>
      <c r="J68" s="32"/>
      <c r="K68" s="32"/>
      <c r="L68" s="32"/>
      <c r="M68" s="32"/>
      <c r="N68" s="32"/>
      <c r="O68" s="32"/>
      <c r="P68" s="32"/>
      <c r="Q68" s="32"/>
      <c r="R68" s="33"/>
      <c r="S68" s="32"/>
      <c r="T68" s="32"/>
      <c r="U68" s="32"/>
      <c r="V68" s="32"/>
      <c r="W68" s="32"/>
      <c r="X68" s="32"/>
      <c r="Y68" s="32"/>
      <c r="Z68" s="32"/>
      <c r="AA68" s="32"/>
      <c r="AB68" s="32"/>
      <c r="AC68" s="32"/>
      <c r="AD68" s="32"/>
      <c r="AE68" s="32"/>
    </row>
    <row r="69" spans="2:31">
      <c r="B69" s="28"/>
      <c r="C69" s="31" t="s">
        <v>605</v>
      </c>
      <c r="D69" s="28" t="s">
        <v>111</v>
      </c>
      <c r="E69" s="32"/>
      <c r="F69" s="32"/>
      <c r="G69" s="32"/>
      <c r="H69" s="32"/>
      <c r="I69" s="32"/>
      <c r="J69" s="32"/>
      <c r="K69" s="32"/>
      <c r="L69" s="32"/>
      <c r="M69" s="32"/>
      <c r="N69" s="32"/>
      <c r="O69" s="32"/>
      <c r="P69" s="32"/>
      <c r="Q69" s="32"/>
      <c r="R69" s="33"/>
      <c r="S69" s="32"/>
      <c r="T69" s="32"/>
      <c r="U69" s="32"/>
      <c r="V69" s="32"/>
      <c r="W69" s="32"/>
      <c r="X69" s="32"/>
      <c r="Y69" s="32"/>
      <c r="Z69" s="32"/>
      <c r="AA69" s="32"/>
      <c r="AB69" s="32"/>
      <c r="AC69" s="32"/>
      <c r="AD69" s="32"/>
      <c r="AE69" s="32"/>
    </row>
    <row r="70" spans="2:31">
      <c r="B70" s="28"/>
      <c r="C70" s="31" t="s">
        <v>606</v>
      </c>
      <c r="D70" s="28" t="s">
        <v>111</v>
      </c>
      <c r="E70" s="32"/>
      <c r="F70" s="32"/>
      <c r="G70" s="32"/>
      <c r="H70" s="32"/>
      <c r="I70" s="32"/>
      <c r="J70" s="32"/>
      <c r="K70" s="32"/>
      <c r="L70" s="32"/>
      <c r="M70" s="32"/>
      <c r="N70" s="32"/>
      <c r="O70" s="32"/>
      <c r="P70" s="32"/>
      <c r="Q70" s="32"/>
      <c r="R70" s="33"/>
      <c r="S70" s="32"/>
      <c r="T70" s="32"/>
      <c r="U70" s="32"/>
      <c r="V70" s="32"/>
      <c r="W70" s="32"/>
      <c r="X70" s="32"/>
      <c r="Y70" s="32"/>
      <c r="Z70" s="32"/>
      <c r="AA70" s="32"/>
      <c r="AB70" s="32"/>
      <c r="AC70" s="32"/>
      <c r="AD70" s="32"/>
      <c r="AE70" s="32"/>
    </row>
    <row r="71" spans="2:31">
      <c r="B71" s="28"/>
      <c r="C71" s="31" t="s">
        <v>607</v>
      </c>
      <c r="D71" s="28" t="s">
        <v>111</v>
      </c>
      <c r="E71" s="32"/>
      <c r="F71" s="32"/>
      <c r="G71" s="32"/>
      <c r="H71" s="32"/>
      <c r="I71" s="32"/>
      <c r="J71" s="32"/>
      <c r="K71" s="32"/>
      <c r="L71" s="32"/>
      <c r="M71" s="32"/>
      <c r="N71" s="32"/>
      <c r="O71" s="32"/>
      <c r="P71" s="32"/>
      <c r="Q71" s="32"/>
      <c r="R71" s="33"/>
      <c r="S71" s="32"/>
      <c r="T71" s="32"/>
      <c r="U71" s="32"/>
      <c r="V71" s="32"/>
      <c r="W71" s="32"/>
      <c r="X71" s="32"/>
      <c r="Y71" s="32"/>
      <c r="Z71" s="32"/>
      <c r="AA71" s="32"/>
      <c r="AB71" s="32"/>
      <c r="AC71" s="32"/>
      <c r="AD71" s="32"/>
      <c r="AE71" s="32"/>
    </row>
    <row r="72" spans="2:31">
      <c r="B72" s="28"/>
      <c r="C72" s="31" t="s">
        <v>608</v>
      </c>
      <c r="D72" s="28" t="s">
        <v>111</v>
      </c>
      <c r="E72" s="32"/>
      <c r="F72" s="32"/>
      <c r="G72" s="32"/>
      <c r="H72" s="32"/>
      <c r="I72" s="32"/>
      <c r="J72" s="32"/>
      <c r="K72" s="32"/>
      <c r="L72" s="32"/>
      <c r="M72" s="32"/>
      <c r="N72" s="32"/>
      <c r="O72" s="32"/>
      <c r="P72" s="32"/>
      <c r="Q72" s="32"/>
      <c r="R72" s="33"/>
      <c r="S72" s="32"/>
      <c r="T72" s="32"/>
      <c r="U72" s="32"/>
      <c r="V72" s="32"/>
      <c r="W72" s="32"/>
      <c r="X72" s="32"/>
      <c r="Y72" s="32"/>
      <c r="Z72" s="32"/>
      <c r="AA72" s="32"/>
      <c r="AB72" s="32"/>
      <c r="AC72" s="32"/>
      <c r="AD72" s="32"/>
      <c r="AE72" s="32"/>
    </row>
    <row r="73" spans="2:31">
      <c r="B73" s="28"/>
      <c r="C73" s="31" t="s">
        <v>609</v>
      </c>
      <c r="D73" s="28" t="s">
        <v>111</v>
      </c>
      <c r="E73" s="32"/>
      <c r="F73" s="32"/>
      <c r="G73" s="32"/>
      <c r="H73" s="32"/>
      <c r="I73" s="32"/>
      <c r="J73" s="32"/>
      <c r="K73" s="32"/>
      <c r="L73" s="32"/>
      <c r="M73" s="32"/>
      <c r="N73" s="32"/>
      <c r="O73" s="32"/>
      <c r="P73" s="32"/>
      <c r="Q73" s="32"/>
      <c r="R73" s="33"/>
      <c r="S73" s="32"/>
      <c r="T73" s="32"/>
      <c r="U73" s="32"/>
      <c r="V73" s="32"/>
      <c r="W73" s="32"/>
      <c r="X73" s="32"/>
      <c r="Y73" s="32"/>
      <c r="Z73" s="32"/>
      <c r="AA73" s="32"/>
      <c r="AB73" s="32"/>
      <c r="AC73" s="32"/>
      <c r="AD73" s="32"/>
      <c r="AE73" s="32"/>
    </row>
    <row r="74" spans="2:31">
      <c r="B74" s="28"/>
      <c r="C74" s="34" t="s">
        <v>610</v>
      </c>
      <c r="D74" s="28" t="s">
        <v>111</v>
      </c>
      <c r="E74" s="32"/>
      <c r="F74" s="32"/>
      <c r="G74" s="32"/>
      <c r="H74" s="32"/>
      <c r="I74" s="32"/>
      <c r="J74" s="32"/>
      <c r="K74" s="32"/>
      <c r="L74" s="32"/>
      <c r="M74" s="32"/>
      <c r="N74" s="32"/>
      <c r="O74" s="32"/>
      <c r="P74" s="32"/>
      <c r="Q74" s="32"/>
      <c r="R74" s="33"/>
      <c r="S74" s="32"/>
      <c r="T74" s="32"/>
      <c r="U74" s="32"/>
      <c r="V74" s="32"/>
      <c r="W74" s="32"/>
      <c r="X74" s="32"/>
      <c r="Y74" s="32"/>
      <c r="Z74" s="32"/>
      <c r="AA74" s="32"/>
      <c r="AB74" s="32"/>
      <c r="AC74" s="32"/>
      <c r="AD74" s="32"/>
      <c r="AE74" s="32"/>
    </row>
    <row r="75" spans="2:31">
      <c r="B75" s="28"/>
      <c r="C75" s="34" t="s">
        <v>611</v>
      </c>
      <c r="D75" s="28" t="s">
        <v>111</v>
      </c>
      <c r="E75" s="32"/>
      <c r="F75" s="32"/>
      <c r="G75" s="32"/>
      <c r="H75" s="32"/>
      <c r="I75" s="32"/>
      <c r="J75" s="32"/>
      <c r="K75" s="32"/>
      <c r="L75" s="32"/>
      <c r="M75" s="32"/>
      <c r="N75" s="32"/>
      <c r="O75" s="32"/>
      <c r="P75" s="32"/>
      <c r="Q75" s="32"/>
      <c r="R75" s="33"/>
      <c r="S75" s="32"/>
      <c r="T75" s="32"/>
      <c r="U75" s="32"/>
      <c r="V75" s="32"/>
      <c r="W75" s="32"/>
      <c r="X75" s="32"/>
      <c r="Y75" s="32"/>
      <c r="Z75" s="32"/>
      <c r="AA75" s="32"/>
      <c r="AB75" s="32"/>
      <c r="AC75" s="32"/>
      <c r="AD75" s="32"/>
      <c r="AE75" s="32"/>
    </row>
    <row r="76" spans="2:31">
      <c r="B76" s="28"/>
      <c r="C76" s="36" t="s">
        <v>612</v>
      </c>
      <c r="D76" s="28" t="s">
        <v>111</v>
      </c>
      <c r="E76" s="32"/>
      <c r="F76" s="32"/>
      <c r="G76" s="32"/>
      <c r="H76" s="32"/>
      <c r="I76" s="32"/>
      <c r="J76" s="32"/>
      <c r="K76" s="32"/>
      <c r="L76" s="32"/>
      <c r="M76" s="32"/>
      <c r="N76" s="32"/>
      <c r="O76" s="32"/>
      <c r="P76" s="32"/>
      <c r="Q76" s="32"/>
      <c r="R76" s="33"/>
      <c r="S76" s="32"/>
      <c r="T76" s="32"/>
      <c r="U76" s="32"/>
      <c r="V76" s="32"/>
      <c r="W76" s="32"/>
      <c r="X76" s="32"/>
      <c r="Y76" s="32"/>
      <c r="Z76" s="32"/>
      <c r="AA76" s="32"/>
      <c r="AB76" s="32"/>
      <c r="AC76" s="32"/>
      <c r="AD76" s="32"/>
      <c r="AE76" s="32"/>
    </row>
    <row r="77" spans="2:31">
      <c r="B77" s="28"/>
      <c r="C77" s="31" t="s">
        <v>613</v>
      </c>
      <c r="D77" s="28" t="s">
        <v>111</v>
      </c>
      <c r="E77" s="32"/>
      <c r="F77" s="32"/>
      <c r="G77" s="32"/>
      <c r="H77" s="32"/>
      <c r="I77" s="32"/>
      <c r="J77" s="32"/>
      <c r="K77" s="32"/>
      <c r="L77" s="32"/>
      <c r="M77" s="32"/>
      <c r="N77" s="32"/>
      <c r="O77" s="32"/>
      <c r="P77" s="32"/>
      <c r="Q77" s="32"/>
      <c r="R77" s="33"/>
      <c r="S77" s="32"/>
      <c r="T77" s="32"/>
      <c r="U77" s="32"/>
      <c r="V77" s="32"/>
      <c r="W77" s="32"/>
      <c r="X77" s="32"/>
      <c r="Y77" s="32"/>
      <c r="Z77" s="32"/>
      <c r="AA77" s="32"/>
      <c r="AB77" s="32"/>
      <c r="AC77" s="32"/>
      <c r="AD77" s="32"/>
      <c r="AE77" s="32"/>
    </row>
    <row r="78" spans="2:31">
      <c r="B78" s="28"/>
      <c r="C78" s="34" t="s">
        <v>614</v>
      </c>
      <c r="D78" s="28" t="s">
        <v>111</v>
      </c>
      <c r="E78" s="32"/>
      <c r="F78" s="32"/>
      <c r="G78" s="32"/>
      <c r="H78" s="32"/>
      <c r="I78" s="32"/>
      <c r="J78" s="32"/>
      <c r="K78" s="32"/>
      <c r="L78" s="32"/>
      <c r="M78" s="32"/>
      <c r="N78" s="32"/>
      <c r="O78" s="32"/>
      <c r="P78" s="32"/>
      <c r="Q78" s="32"/>
      <c r="R78" s="33"/>
      <c r="S78" s="32"/>
      <c r="T78" s="32"/>
      <c r="U78" s="32"/>
      <c r="V78" s="32"/>
      <c r="W78" s="32"/>
      <c r="X78" s="32"/>
      <c r="Y78" s="32"/>
      <c r="Z78" s="32"/>
      <c r="AA78" s="32"/>
      <c r="AB78" s="32"/>
      <c r="AC78" s="32"/>
      <c r="AD78" s="32"/>
      <c r="AE78" s="32"/>
    </row>
    <row r="79" spans="2:31">
      <c r="B79" s="28"/>
      <c r="C79" s="31" t="s">
        <v>615</v>
      </c>
      <c r="D79" s="28" t="s">
        <v>111</v>
      </c>
      <c r="E79" s="32"/>
      <c r="F79" s="32"/>
      <c r="G79" s="32"/>
      <c r="H79" s="32"/>
      <c r="I79" s="32"/>
      <c r="J79" s="32"/>
      <c r="K79" s="32"/>
      <c r="L79" s="32"/>
      <c r="M79" s="32"/>
      <c r="N79" s="32"/>
      <c r="O79" s="32"/>
      <c r="P79" s="32"/>
      <c r="Q79" s="32"/>
      <c r="R79" s="33"/>
      <c r="S79" s="32"/>
      <c r="T79" s="32"/>
      <c r="U79" s="32"/>
      <c r="V79" s="32"/>
      <c r="W79" s="32"/>
      <c r="X79" s="32"/>
      <c r="Y79" s="32"/>
      <c r="Z79" s="32"/>
      <c r="AA79" s="32"/>
      <c r="AB79" s="32"/>
      <c r="AC79" s="32"/>
      <c r="AD79" s="32"/>
      <c r="AE79" s="32"/>
    </row>
    <row r="80" spans="2:31">
      <c r="B80" s="28"/>
      <c r="C80" s="34" t="s">
        <v>616</v>
      </c>
      <c r="D80" s="28" t="s">
        <v>111</v>
      </c>
      <c r="E80" s="32"/>
      <c r="F80" s="32"/>
      <c r="G80" s="32"/>
      <c r="H80" s="32"/>
      <c r="I80" s="32"/>
      <c r="J80" s="32"/>
      <c r="K80" s="32"/>
      <c r="L80" s="32"/>
      <c r="M80" s="32"/>
      <c r="N80" s="32"/>
      <c r="O80" s="32"/>
      <c r="P80" s="32"/>
      <c r="Q80" s="32"/>
      <c r="R80" s="33"/>
      <c r="S80" s="32"/>
      <c r="T80" s="32"/>
      <c r="U80" s="32"/>
      <c r="V80" s="32"/>
      <c r="W80" s="32"/>
      <c r="X80" s="32"/>
      <c r="Y80" s="32"/>
      <c r="Z80" s="32"/>
      <c r="AA80" s="32"/>
      <c r="AB80" s="32"/>
      <c r="AC80" s="32"/>
      <c r="AD80" s="32"/>
      <c r="AE80" s="32"/>
    </row>
    <row r="81" spans="2:31">
      <c r="B81" s="28"/>
      <c r="C81" s="31" t="s">
        <v>617</v>
      </c>
      <c r="D81" s="28" t="s">
        <v>111</v>
      </c>
      <c r="E81" s="32"/>
      <c r="F81" s="32"/>
      <c r="G81" s="32"/>
      <c r="H81" s="32"/>
      <c r="I81" s="32"/>
      <c r="J81" s="32"/>
      <c r="K81" s="32"/>
      <c r="L81" s="32"/>
      <c r="M81" s="32"/>
      <c r="N81" s="32"/>
      <c r="O81" s="32"/>
      <c r="P81" s="32"/>
      <c r="Q81" s="32"/>
      <c r="R81" s="33"/>
      <c r="S81" s="32"/>
      <c r="T81" s="32"/>
      <c r="U81" s="32"/>
      <c r="V81" s="32"/>
      <c r="W81" s="32"/>
      <c r="X81" s="32"/>
      <c r="Y81" s="32"/>
      <c r="Z81" s="32"/>
      <c r="AA81" s="32"/>
      <c r="AB81" s="32"/>
      <c r="AC81" s="32"/>
      <c r="AD81" s="32"/>
      <c r="AE81" s="32"/>
    </row>
    <row r="82" spans="2:31">
      <c r="B82" s="28"/>
      <c r="C82" s="31" t="s">
        <v>618</v>
      </c>
      <c r="D82" s="28" t="s">
        <v>111</v>
      </c>
      <c r="E82" s="32"/>
      <c r="F82" s="32"/>
      <c r="G82" s="32"/>
      <c r="H82" s="32"/>
      <c r="I82" s="32"/>
      <c r="J82" s="32"/>
      <c r="K82" s="32"/>
      <c r="L82" s="32"/>
      <c r="M82" s="32"/>
      <c r="N82" s="32"/>
      <c r="O82" s="32"/>
      <c r="P82" s="32"/>
      <c r="Q82" s="32"/>
      <c r="R82" s="33"/>
      <c r="S82" s="32"/>
      <c r="T82" s="32"/>
      <c r="U82" s="32"/>
      <c r="V82" s="32"/>
      <c r="W82" s="32"/>
      <c r="X82" s="32"/>
      <c r="Y82" s="32"/>
      <c r="Z82" s="32"/>
      <c r="AA82" s="32"/>
      <c r="AB82" s="32"/>
      <c r="AC82" s="32"/>
      <c r="AD82" s="32"/>
      <c r="AE82" s="32"/>
    </row>
    <row r="83" spans="2:31">
      <c r="B83" s="28"/>
      <c r="C83" s="31" t="s">
        <v>619</v>
      </c>
      <c r="D83" s="28" t="s">
        <v>111</v>
      </c>
      <c r="E83" s="32"/>
      <c r="F83" s="32"/>
      <c r="G83" s="32"/>
      <c r="H83" s="32"/>
      <c r="I83" s="32"/>
      <c r="J83" s="32"/>
      <c r="K83" s="32"/>
      <c r="L83" s="32"/>
      <c r="M83" s="32"/>
      <c r="N83" s="32"/>
      <c r="O83" s="32"/>
      <c r="P83" s="32"/>
      <c r="Q83" s="32"/>
      <c r="R83" s="33"/>
      <c r="S83" s="32"/>
      <c r="T83" s="32"/>
      <c r="U83" s="32"/>
      <c r="V83" s="32"/>
      <c r="W83" s="32"/>
      <c r="X83" s="32"/>
      <c r="Y83" s="32"/>
      <c r="Z83" s="32"/>
      <c r="AA83" s="32"/>
      <c r="AB83" s="32"/>
      <c r="AC83" s="32"/>
      <c r="AD83" s="32"/>
      <c r="AE83" s="32"/>
    </row>
    <row r="84" spans="2:31">
      <c r="B84" s="28"/>
      <c r="C84" s="31" t="s">
        <v>620</v>
      </c>
      <c r="D84" s="28" t="s">
        <v>111</v>
      </c>
      <c r="E84" s="32"/>
      <c r="F84" s="32"/>
      <c r="G84" s="32"/>
      <c r="H84" s="32"/>
      <c r="I84" s="32"/>
      <c r="J84" s="32"/>
      <c r="K84" s="32"/>
      <c r="L84" s="32"/>
      <c r="M84" s="32"/>
      <c r="N84" s="32"/>
      <c r="O84" s="32"/>
      <c r="P84" s="32"/>
      <c r="Q84" s="32"/>
      <c r="R84" s="33"/>
      <c r="S84" s="32"/>
      <c r="T84" s="32"/>
      <c r="U84" s="32"/>
      <c r="V84" s="32"/>
      <c r="W84" s="32"/>
      <c r="X84" s="32"/>
      <c r="Y84" s="32"/>
      <c r="Z84" s="32"/>
      <c r="AA84" s="32"/>
      <c r="AB84" s="32"/>
      <c r="AC84" s="32"/>
      <c r="AD84" s="32"/>
      <c r="AE84" s="32"/>
    </row>
    <row r="85" spans="2:31">
      <c r="B85" s="28"/>
      <c r="C85" s="31" t="s">
        <v>621</v>
      </c>
      <c r="D85" s="28" t="s">
        <v>111</v>
      </c>
      <c r="E85" s="32"/>
      <c r="F85" s="32"/>
      <c r="G85" s="32"/>
      <c r="H85" s="32"/>
      <c r="I85" s="32"/>
      <c r="J85" s="32"/>
      <c r="K85" s="32"/>
      <c r="L85" s="32"/>
      <c r="M85" s="32"/>
      <c r="N85" s="32"/>
      <c r="O85" s="32"/>
      <c r="P85" s="32"/>
      <c r="Q85" s="32"/>
      <c r="R85" s="33"/>
      <c r="S85" s="32"/>
      <c r="T85" s="32"/>
      <c r="U85" s="32"/>
      <c r="V85" s="32"/>
      <c r="W85" s="32"/>
      <c r="X85" s="32"/>
      <c r="Y85" s="32"/>
      <c r="Z85" s="32"/>
      <c r="AA85" s="32"/>
      <c r="AB85" s="32"/>
      <c r="AC85" s="32"/>
      <c r="AD85" s="32"/>
      <c r="AE85" s="32"/>
    </row>
    <row r="86" spans="2:31">
      <c r="B86" s="26">
        <v>2.2000000000000002</v>
      </c>
      <c r="C86" s="27" t="s">
        <v>622</v>
      </c>
      <c r="D86" s="28" t="s">
        <v>111</v>
      </c>
      <c r="E86" s="29">
        <f ca="1">SUM(E87:E89)+SUM(E92:E98)</f>
        <v>21666.480669589477</v>
      </c>
      <c r="F86" s="29">
        <f t="shared" ref="F86:AE86" si="9">SUM(F87:F89)+SUM(F92:F98)</f>
        <v>0</v>
      </c>
      <c r="G86" s="29">
        <f t="shared" ca="1" si="9"/>
        <v>18040.321673268674</v>
      </c>
      <c r="H86" s="29">
        <f t="shared" ca="1" si="9"/>
        <v>16983.479463473977</v>
      </c>
      <c r="I86" s="29">
        <f t="shared" ca="1" si="9"/>
        <v>15924.893099422477</v>
      </c>
      <c r="J86" s="29">
        <f t="shared" ca="1" si="9"/>
        <v>14864.570429808335</v>
      </c>
      <c r="K86" s="29">
        <f t="shared" ca="1" si="9"/>
        <v>13802.519268006577</v>
      </c>
      <c r="L86" s="29">
        <f t="shared" ca="1" si="9"/>
        <v>12757.523306203073</v>
      </c>
      <c r="M86" s="29">
        <f t="shared" ca="1" si="9"/>
        <v>11555.456357114381</v>
      </c>
      <c r="N86" s="29">
        <f t="shared" ca="1" si="9"/>
        <v>10111.024312475081</v>
      </c>
      <c r="O86" s="29">
        <f t="shared" ca="1" si="9"/>
        <v>8666.592267835782</v>
      </c>
      <c r="P86" s="29">
        <f t="shared" ca="1" si="9"/>
        <v>7222.1602231964835</v>
      </c>
      <c r="Q86" s="29">
        <f t="shared" ca="1" si="9"/>
        <v>5777.7281785571849</v>
      </c>
      <c r="R86" s="30">
        <f t="shared" ca="1" si="9"/>
        <v>4333.2961339178864</v>
      </c>
      <c r="S86" s="29">
        <f t="shared" ca="1" si="9"/>
        <v>2888.8640892785879</v>
      </c>
      <c r="T86" s="29">
        <f t="shared" ca="1" si="9"/>
        <v>1444.4320446392894</v>
      </c>
      <c r="U86" s="29">
        <f t="shared" ca="1" si="9"/>
        <v>-9.0949470177292824E-12</v>
      </c>
      <c r="V86" s="29">
        <f t="shared" ca="1" si="9"/>
        <v>0</v>
      </c>
      <c r="W86" s="29">
        <f t="shared" ca="1" si="9"/>
        <v>0</v>
      </c>
      <c r="X86" s="29">
        <f t="shared" ca="1" si="9"/>
        <v>0</v>
      </c>
      <c r="Y86" s="29">
        <f t="shared" ca="1" si="9"/>
        <v>0</v>
      </c>
      <c r="Z86" s="29">
        <f t="shared" ca="1" si="9"/>
        <v>0</v>
      </c>
      <c r="AA86" s="29">
        <f t="shared" ca="1" si="9"/>
        <v>0</v>
      </c>
      <c r="AB86" s="29">
        <f t="shared" ca="1" si="9"/>
        <v>0</v>
      </c>
      <c r="AC86" s="29">
        <f t="shared" ca="1" si="9"/>
        <v>0</v>
      </c>
      <c r="AD86" s="29">
        <f t="shared" ca="1" si="9"/>
        <v>0</v>
      </c>
      <c r="AE86" s="29">
        <f t="shared" ca="1" si="9"/>
        <v>0</v>
      </c>
    </row>
    <row r="87" spans="2:31">
      <c r="B87" s="28"/>
      <c r="C87" s="31" t="s">
        <v>623</v>
      </c>
      <c r="D87" s="28" t="s">
        <v>111</v>
      </c>
      <c r="E87" s="32"/>
      <c r="F87" s="32"/>
      <c r="G87" s="32"/>
      <c r="H87" s="32"/>
      <c r="I87" s="32"/>
      <c r="J87" s="32"/>
      <c r="K87" s="32"/>
      <c r="L87" s="32"/>
      <c r="M87" s="32"/>
      <c r="N87" s="32"/>
      <c r="O87" s="32"/>
      <c r="P87" s="32"/>
      <c r="Q87" s="32"/>
      <c r="R87" s="33"/>
      <c r="S87" s="32"/>
      <c r="T87" s="32"/>
      <c r="U87" s="32"/>
      <c r="V87" s="32"/>
      <c r="W87" s="32"/>
      <c r="X87" s="32"/>
      <c r="Y87" s="32"/>
      <c r="Z87" s="32"/>
      <c r="AA87" s="32"/>
      <c r="AB87" s="32"/>
      <c r="AC87" s="32"/>
      <c r="AD87" s="32"/>
      <c r="AE87" s="32"/>
    </row>
    <row r="88" spans="2:31">
      <c r="B88" s="28"/>
      <c r="C88" s="31" t="s">
        <v>624</v>
      </c>
      <c r="D88" s="28" t="s">
        <v>111</v>
      </c>
      <c r="E88" s="32">
        <f ca="1">'表1-资金筹措及还本付息表'!F15</f>
        <v>21666.480669589477</v>
      </c>
      <c r="F88" s="32">
        <f>IF('表1-资金筹措及还本付息表'!G5=0,0,'表1-资金筹措及还本付息表'!G44)</f>
        <v>0</v>
      </c>
      <c r="G88" s="32">
        <f ca="1">'表1-资金筹措及还本付息表'!H54</f>
        <v>20222.048624950177</v>
      </c>
      <c r="H88" s="32">
        <f ca="1">'表1-资金筹措及还本付息表'!I54</f>
        <v>18777.616580310878</v>
      </c>
      <c r="I88" s="32">
        <f ca="1">'表1-资金筹措及还本付息表'!J54</f>
        <v>17333.184535671578</v>
      </c>
      <c r="J88" s="32">
        <f ca="1">'表1-资金筹措及还本付息表'!K54</f>
        <v>15888.752491032279</v>
      </c>
      <c r="K88" s="32">
        <f ca="1">'表1-资金筹措及还本付息表'!L54</f>
        <v>14444.32044639298</v>
      </c>
      <c r="L88" s="32">
        <f ca="1">'表1-资金筹措及还本付息表'!M54</f>
        <v>12999.88840175368</v>
      </c>
      <c r="M88" s="32">
        <f ca="1">'表1-资金筹措及还本付息表'!N54</f>
        <v>11555.456357114381</v>
      </c>
      <c r="N88" s="32">
        <f ca="1">'表1-资金筹措及还本付息表'!O54</f>
        <v>10111.024312475081</v>
      </c>
      <c r="O88" s="32">
        <f ca="1">'表1-资金筹措及还本付息表'!P54</f>
        <v>8666.592267835782</v>
      </c>
      <c r="P88" s="32">
        <f ca="1">'表1-资金筹措及还本付息表'!Q54</f>
        <v>7222.1602231964835</v>
      </c>
      <c r="Q88" s="32">
        <f ca="1">'表1-资金筹措及还本付息表'!R54</f>
        <v>5777.7281785571849</v>
      </c>
      <c r="R88" s="33">
        <f ca="1">'表1-资金筹措及还本付息表'!S54</f>
        <v>4333.2961339178864</v>
      </c>
      <c r="S88" s="32">
        <f ca="1">'表1-资金筹措及还本付息表'!T54</f>
        <v>2888.8640892785879</v>
      </c>
      <c r="T88" s="32">
        <f ca="1">'表1-资金筹措及还本付息表'!U54</f>
        <v>1444.4320446392894</v>
      </c>
      <c r="U88" s="32">
        <f ca="1">'表1-资金筹措及还本付息表'!V54</f>
        <v>-9.0949470177292824E-12</v>
      </c>
      <c r="V88" s="32">
        <f>'表1-资金筹措及还本付息表'!W54</f>
        <v>0</v>
      </c>
      <c r="W88" s="32">
        <f>'表1-资金筹措及还本付息表'!X54</f>
        <v>0</v>
      </c>
      <c r="X88" s="32">
        <f>'表1-资金筹措及还本付息表'!Y54</f>
        <v>0</v>
      </c>
      <c r="Y88" s="32">
        <f>'表1-资金筹措及还本付息表'!Z54</f>
        <v>0</v>
      </c>
      <c r="Z88" s="32">
        <f>'表1-资金筹措及还本付息表'!AA54</f>
        <v>0</v>
      </c>
      <c r="AA88" s="32">
        <f>'表1-资金筹措及还本付息表'!AB54</f>
        <v>0</v>
      </c>
      <c r="AB88" s="32">
        <f>'表1-资金筹措及还本付息表'!AC54</f>
        <v>0</v>
      </c>
      <c r="AC88" s="32">
        <f>'表1-资金筹措及还本付息表'!AD54</f>
        <v>0</v>
      </c>
      <c r="AD88" s="32">
        <f>'表1-资金筹措及还本付息表'!AE54</f>
        <v>0</v>
      </c>
      <c r="AE88" s="32">
        <f>'表1-资金筹措及还本付息表'!AF54</f>
        <v>0</v>
      </c>
    </row>
    <row r="89" spans="2:31">
      <c r="B89" s="28"/>
      <c r="C89" s="31" t="s">
        <v>625</v>
      </c>
      <c r="D89" s="28" t="s">
        <v>111</v>
      </c>
      <c r="E89" s="32"/>
      <c r="F89" s="32"/>
      <c r="G89" s="32"/>
      <c r="H89" s="32"/>
      <c r="I89" s="32"/>
      <c r="J89" s="32"/>
      <c r="K89" s="32"/>
      <c r="L89" s="32"/>
      <c r="M89" s="32"/>
      <c r="N89" s="32"/>
      <c r="O89" s="32"/>
      <c r="P89" s="32"/>
      <c r="Q89" s="32"/>
      <c r="R89" s="33"/>
      <c r="S89" s="32"/>
      <c r="T89" s="32"/>
      <c r="U89" s="32"/>
      <c r="V89" s="32"/>
      <c r="W89" s="32"/>
      <c r="X89" s="32"/>
      <c r="Y89" s="32"/>
      <c r="Z89" s="32"/>
      <c r="AA89" s="32"/>
      <c r="AB89" s="32"/>
      <c r="AC89" s="32"/>
      <c r="AD89" s="32"/>
      <c r="AE89" s="32"/>
    </row>
    <row r="90" spans="2:31">
      <c r="B90" s="28"/>
      <c r="C90" s="34" t="s">
        <v>626</v>
      </c>
      <c r="D90" s="28" t="s">
        <v>111</v>
      </c>
      <c r="E90" s="32"/>
      <c r="F90" s="32"/>
      <c r="G90" s="32"/>
      <c r="H90" s="32"/>
      <c r="I90" s="32"/>
      <c r="J90" s="32"/>
      <c r="K90" s="32"/>
      <c r="L90" s="32"/>
      <c r="M90" s="32"/>
      <c r="N90" s="32"/>
      <c r="O90" s="32"/>
      <c r="P90" s="32"/>
      <c r="Q90" s="32"/>
      <c r="R90" s="33"/>
      <c r="S90" s="32"/>
      <c r="T90" s="32"/>
      <c r="U90" s="32"/>
      <c r="V90" s="32"/>
      <c r="W90" s="32"/>
      <c r="X90" s="32"/>
      <c r="Y90" s="32"/>
      <c r="Z90" s="32"/>
      <c r="AA90" s="32"/>
      <c r="AB90" s="32"/>
      <c r="AC90" s="32"/>
      <c r="AD90" s="32"/>
      <c r="AE90" s="32"/>
    </row>
    <row r="91" spans="2:31">
      <c r="B91" s="28"/>
      <c r="C91" s="34" t="s">
        <v>627</v>
      </c>
      <c r="D91" s="28" t="s">
        <v>111</v>
      </c>
      <c r="E91" s="32"/>
      <c r="F91" s="32"/>
      <c r="G91" s="32"/>
      <c r="H91" s="32"/>
      <c r="I91" s="32"/>
      <c r="J91" s="32"/>
      <c r="K91" s="32"/>
      <c r="L91" s="32"/>
      <c r="M91" s="32"/>
      <c r="N91" s="32"/>
      <c r="O91" s="32"/>
      <c r="P91" s="32"/>
      <c r="Q91" s="32"/>
      <c r="R91" s="33"/>
      <c r="S91" s="32"/>
      <c r="T91" s="32"/>
      <c r="U91" s="32"/>
      <c r="V91" s="32"/>
      <c r="W91" s="32"/>
      <c r="X91" s="32"/>
      <c r="Y91" s="32"/>
      <c r="Z91" s="32"/>
      <c r="AA91" s="32"/>
      <c r="AB91" s="32"/>
      <c r="AC91" s="32"/>
      <c r="AD91" s="32"/>
      <c r="AE91" s="32"/>
    </row>
    <row r="92" spans="2:31">
      <c r="B92" s="28"/>
      <c r="C92" s="31" t="s">
        <v>628</v>
      </c>
      <c r="D92" s="28" t="s">
        <v>111</v>
      </c>
      <c r="E92" s="32"/>
      <c r="F92" s="32"/>
      <c r="G92" s="32"/>
      <c r="H92" s="32"/>
      <c r="I92" s="32"/>
      <c r="J92" s="32"/>
      <c r="K92" s="32"/>
      <c r="L92" s="32"/>
      <c r="M92" s="32"/>
      <c r="N92" s="32"/>
      <c r="O92" s="32"/>
      <c r="P92" s="32"/>
      <c r="Q92" s="32"/>
      <c r="R92" s="33"/>
      <c r="S92" s="32"/>
      <c r="T92" s="32"/>
      <c r="U92" s="32"/>
      <c r="V92" s="32"/>
      <c r="W92" s="32"/>
      <c r="X92" s="32"/>
      <c r="Y92" s="32"/>
      <c r="Z92" s="32"/>
      <c r="AA92" s="32"/>
      <c r="AB92" s="32"/>
      <c r="AC92" s="32"/>
      <c r="AD92" s="32"/>
      <c r="AE92" s="32"/>
    </row>
    <row r="93" spans="2:31">
      <c r="B93" s="28"/>
      <c r="C93" s="31" t="s">
        <v>629</v>
      </c>
      <c r="D93" s="28" t="s">
        <v>111</v>
      </c>
      <c r="E93" s="32"/>
      <c r="F93" s="32"/>
      <c r="G93" s="32"/>
      <c r="H93" s="32"/>
      <c r="I93" s="32"/>
      <c r="J93" s="32"/>
      <c r="K93" s="32"/>
      <c r="L93" s="32"/>
      <c r="M93" s="32"/>
      <c r="N93" s="32"/>
      <c r="O93" s="32"/>
      <c r="P93" s="32"/>
      <c r="Q93" s="32"/>
      <c r="R93" s="33"/>
      <c r="S93" s="32"/>
      <c r="T93" s="32"/>
      <c r="U93" s="32"/>
      <c r="V93" s="32"/>
      <c r="W93" s="32"/>
      <c r="X93" s="32"/>
      <c r="Y93" s="32"/>
      <c r="Z93" s="32"/>
      <c r="AA93" s="32"/>
      <c r="AB93" s="32"/>
      <c r="AC93" s="32"/>
      <c r="AD93" s="32"/>
      <c r="AE93" s="32"/>
    </row>
    <row r="94" spans="2:31">
      <c r="B94" s="28"/>
      <c r="C94" s="31" t="s">
        <v>630</v>
      </c>
      <c r="D94" s="28" t="s">
        <v>111</v>
      </c>
      <c r="E94" s="32"/>
      <c r="F94" s="32"/>
      <c r="G94" s="32"/>
      <c r="H94" s="32"/>
      <c r="I94" s="32"/>
      <c r="J94" s="32"/>
      <c r="K94" s="32"/>
      <c r="L94" s="32"/>
      <c r="M94" s="32"/>
      <c r="N94" s="32"/>
      <c r="O94" s="32"/>
      <c r="P94" s="32"/>
      <c r="Q94" s="32"/>
      <c r="R94" s="33"/>
      <c r="S94" s="32"/>
      <c r="T94" s="32"/>
      <c r="U94" s="32"/>
      <c r="V94" s="32"/>
      <c r="W94" s="32"/>
      <c r="X94" s="32"/>
      <c r="Y94" s="32"/>
      <c r="Z94" s="32"/>
      <c r="AA94" s="32"/>
      <c r="AB94" s="32"/>
      <c r="AC94" s="32"/>
      <c r="AD94" s="32"/>
      <c r="AE94" s="32"/>
    </row>
    <row r="95" spans="2:31">
      <c r="B95" s="28"/>
      <c r="C95" s="31" t="s">
        <v>631</v>
      </c>
      <c r="D95" s="28" t="s">
        <v>111</v>
      </c>
      <c r="E95" s="32"/>
      <c r="F95" s="32"/>
      <c r="G95" s="32"/>
      <c r="H95" s="32"/>
      <c r="I95" s="32"/>
      <c r="J95" s="32"/>
      <c r="K95" s="32"/>
      <c r="L95" s="32"/>
      <c r="M95" s="32"/>
      <c r="N95" s="32"/>
      <c r="O95" s="32"/>
      <c r="P95" s="32"/>
      <c r="Q95" s="32"/>
      <c r="R95" s="33"/>
      <c r="S95" s="32"/>
      <c r="T95" s="32"/>
      <c r="U95" s="32"/>
      <c r="V95" s="32"/>
      <c r="W95" s="32"/>
      <c r="X95" s="32"/>
      <c r="Y95" s="32"/>
      <c r="Z95" s="32"/>
      <c r="AA95" s="32"/>
      <c r="AB95" s="32"/>
      <c r="AC95" s="32"/>
      <c r="AD95" s="32"/>
      <c r="AE95" s="32"/>
    </row>
    <row r="96" spans="2:31">
      <c r="B96" s="28"/>
      <c r="C96" s="31" t="s">
        <v>632</v>
      </c>
      <c r="D96" s="28" t="s">
        <v>111</v>
      </c>
      <c r="E96" s="32"/>
      <c r="F96" s="32"/>
      <c r="G96" s="32">
        <f ca="1">-'表4-收入税金表'!H45</f>
        <v>-2181.7269516815036</v>
      </c>
      <c r="H96" s="32">
        <f ca="1">-'表4-收入税金表'!I45</f>
        <v>-1794.1371168369014</v>
      </c>
      <c r="I96" s="32">
        <f ca="1">-'表4-收入税金表'!J45</f>
        <v>-1408.2914362491006</v>
      </c>
      <c r="J96" s="32">
        <f ca="1">-'表4-收入税金表'!K45</f>
        <v>-1024.1820612239446</v>
      </c>
      <c r="K96" s="32">
        <f ca="1">-'表4-收入税金表'!L45</f>
        <v>-641.8011783864016</v>
      </c>
      <c r="L96" s="32">
        <f ca="1">-'表4-收入税金表'!M45</f>
        <v>-242.36509555060661</v>
      </c>
      <c r="M96" s="32">
        <f ca="1">-'表4-收入税金表'!N45</f>
        <v>0</v>
      </c>
      <c r="N96" s="32">
        <f ca="1">-'表4-收入税金表'!O45</f>
        <v>0</v>
      </c>
      <c r="O96" s="32">
        <f ca="1">-'表4-收入税金表'!P45</f>
        <v>0</v>
      </c>
      <c r="P96" s="32">
        <f ca="1">-'表4-收入税金表'!Q45</f>
        <v>0</v>
      </c>
      <c r="Q96" s="32">
        <f ca="1">-'表4-收入税金表'!R45</f>
        <v>0</v>
      </c>
      <c r="R96" s="33">
        <f ca="1">-'表4-收入税金表'!S45</f>
        <v>0</v>
      </c>
      <c r="S96" s="32">
        <f ca="1">-'表4-收入税金表'!T45</f>
        <v>0</v>
      </c>
      <c r="T96" s="32">
        <f ca="1">-'表4-收入税金表'!U45</f>
        <v>0</v>
      </c>
      <c r="U96" s="32">
        <f ca="1">-'表4-收入税金表'!V45</f>
        <v>0</v>
      </c>
      <c r="V96" s="32">
        <f ca="1">-'表4-收入税金表'!W45</f>
        <v>0</v>
      </c>
      <c r="W96" s="32">
        <f ca="1">-'表4-收入税金表'!X45</f>
        <v>0</v>
      </c>
      <c r="X96" s="32">
        <f ca="1">-'表4-收入税金表'!Y45</f>
        <v>0</v>
      </c>
      <c r="Y96" s="32">
        <f ca="1">-'表4-收入税金表'!Z45</f>
        <v>0</v>
      </c>
      <c r="Z96" s="32">
        <f ca="1">-'表4-收入税金表'!AA45</f>
        <v>0</v>
      </c>
      <c r="AA96" s="32">
        <f ca="1">-'表4-收入税金表'!AB45</f>
        <v>0</v>
      </c>
      <c r="AB96" s="32">
        <f ca="1">-'表4-收入税金表'!AC45</f>
        <v>0</v>
      </c>
      <c r="AC96" s="32">
        <f ca="1">-'表4-收入税金表'!AD45</f>
        <v>0</v>
      </c>
      <c r="AD96" s="32">
        <f ca="1">-'表4-收入税金表'!AE45</f>
        <v>0</v>
      </c>
      <c r="AE96" s="32">
        <f ca="1">-'表4-收入税金表'!AF45</f>
        <v>0</v>
      </c>
    </row>
    <row r="97" spans="2:31">
      <c r="B97" s="28"/>
      <c r="C97" s="31" t="s">
        <v>633</v>
      </c>
      <c r="D97" s="28" t="s">
        <v>111</v>
      </c>
      <c r="E97" s="32"/>
      <c r="F97" s="32"/>
      <c r="G97" s="32"/>
      <c r="H97" s="32"/>
      <c r="I97" s="32"/>
      <c r="J97" s="32"/>
      <c r="K97" s="32"/>
      <c r="L97" s="32"/>
      <c r="M97" s="32"/>
      <c r="N97" s="32"/>
      <c r="O97" s="32"/>
      <c r="P97" s="32"/>
      <c r="Q97" s="32"/>
      <c r="R97" s="33"/>
      <c r="S97" s="32"/>
      <c r="T97" s="32"/>
      <c r="U97" s="32"/>
      <c r="V97" s="32"/>
      <c r="W97" s="32"/>
      <c r="X97" s="32"/>
      <c r="Y97" s="32"/>
      <c r="Z97" s="32"/>
      <c r="AA97" s="32"/>
      <c r="AB97" s="32"/>
      <c r="AC97" s="32"/>
      <c r="AD97" s="32"/>
      <c r="AE97" s="32"/>
    </row>
    <row r="98" spans="2:31">
      <c r="B98" s="28"/>
      <c r="C98" s="31" t="s">
        <v>634</v>
      </c>
      <c r="D98" s="28" t="s">
        <v>111</v>
      </c>
      <c r="E98" s="32"/>
      <c r="F98" s="32"/>
      <c r="G98" s="32"/>
      <c r="H98" s="32"/>
      <c r="I98" s="32"/>
      <c r="J98" s="32"/>
      <c r="K98" s="32"/>
      <c r="L98" s="32"/>
      <c r="M98" s="32"/>
      <c r="N98" s="32"/>
      <c r="O98" s="32"/>
      <c r="P98" s="32"/>
      <c r="Q98" s="32"/>
      <c r="R98" s="33"/>
      <c r="S98" s="32"/>
      <c r="T98" s="32"/>
      <c r="U98" s="32"/>
      <c r="V98" s="32"/>
      <c r="W98" s="32"/>
      <c r="X98" s="32"/>
      <c r="Y98" s="32"/>
      <c r="Z98" s="32"/>
      <c r="AA98" s="32"/>
      <c r="AB98" s="32"/>
      <c r="AC98" s="32"/>
      <c r="AD98" s="32"/>
      <c r="AE98" s="32"/>
    </row>
    <row r="99" spans="2:31">
      <c r="B99" s="28"/>
      <c r="C99" s="34" t="s">
        <v>635</v>
      </c>
      <c r="D99" s="28" t="s">
        <v>111</v>
      </c>
      <c r="E99" s="32"/>
      <c r="F99" s="32"/>
      <c r="G99" s="32"/>
      <c r="H99" s="32"/>
      <c r="I99" s="32"/>
      <c r="J99" s="32"/>
      <c r="K99" s="32"/>
      <c r="L99" s="32"/>
      <c r="M99" s="32"/>
      <c r="N99" s="32"/>
      <c r="O99" s="32"/>
      <c r="P99" s="32"/>
      <c r="Q99" s="32"/>
      <c r="R99" s="33"/>
      <c r="S99" s="32"/>
      <c r="T99" s="32"/>
      <c r="U99" s="32"/>
      <c r="V99" s="32"/>
      <c r="W99" s="32"/>
      <c r="X99" s="32"/>
      <c r="Y99" s="32"/>
      <c r="Z99" s="32"/>
      <c r="AA99" s="32"/>
      <c r="AB99" s="32"/>
      <c r="AC99" s="32"/>
      <c r="AD99" s="32"/>
      <c r="AE99" s="32"/>
    </row>
    <row r="100" spans="2:31" ht="23.5" customHeight="1">
      <c r="B100" s="22">
        <v>3</v>
      </c>
      <c r="C100" s="23" t="s">
        <v>636</v>
      </c>
      <c r="D100" s="37" t="s">
        <v>111</v>
      </c>
      <c r="E100" s="25">
        <f t="shared" ref="E100:P100" ca="1" si="10">E108+E109+E112-E113+E114+E116+E117+E123+E124+E125+E126</f>
        <v>5416.6201673973701</v>
      </c>
      <c r="F100" s="25">
        <f t="shared" si="10"/>
        <v>0</v>
      </c>
      <c r="G100" s="25">
        <f t="shared" ca="1" si="10"/>
        <v>5923.1239822959787</v>
      </c>
      <c r="H100" s="25">
        <f t="shared" ca="1" si="10"/>
        <v>6357.8750691049781</v>
      </c>
      <c r="I100" s="25">
        <f t="shared" ca="1" si="10"/>
        <v>6796.7338688636019</v>
      </c>
      <c r="J100" s="25">
        <f t="shared" ca="1" si="10"/>
        <v>7175.3537666479097</v>
      </c>
      <c r="K100" s="25">
        <f t="shared" ca="1" si="10"/>
        <v>7564.7607357349516</v>
      </c>
      <c r="L100" s="25">
        <f t="shared" ca="1" si="10"/>
        <v>8040.5278270567878</v>
      </c>
      <c r="M100" s="25">
        <f t="shared" ca="1" si="10"/>
        <v>8419.1838469476479</v>
      </c>
      <c r="N100" s="25">
        <f t="shared" ca="1" si="10"/>
        <v>8791.0428909899765</v>
      </c>
      <c r="O100" s="25">
        <f t="shared" ca="1" si="10"/>
        <v>9177.9901543935139</v>
      </c>
      <c r="P100" s="25">
        <f t="shared" ca="1" si="10"/>
        <v>9580.0886155673688</v>
      </c>
      <c r="Q100" s="25">
        <f t="shared" ref="Q100:AE100" ca="1" si="11">Q108+Q109+Q112-Q113+Q114+Q116+Q117+Q123+Q124+Q125+Q126</f>
        <v>9939.3911885365997</v>
      </c>
      <c r="R100" s="25">
        <f t="shared" ca="1" si="11"/>
        <v>10314.073492376474</v>
      </c>
      <c r="S100" s="25">
        <f t="shared" ca="1" si="11"/>
        <v>10708.181785831894</v>
      </c>
      <c r="T100" s="25">
        <f t="shared" ca="1" si="11"/>
        <v>11120.972217510161</v>
      </c>
      <c r="U100" s="25">
        <f t="shared" ca="1" si="11"/>
        <v>11551.846555742681</v>
      </c>
      <c r="V100" s="25">
        <f t="shared" ca="1" si="11"/>
        <v>11965.341010487635</v>
      </c>
      <c r="W100" s="25">
        <f t="shared" ca="1" si="11"/>
        <v>12363.367108360646</v>
      </c>
      <c r="X100" s="25">
        <f t="shared" ca="1" si="11"/>
        <v>12747.927993691101</v>
      </c>
      <c r="Y100" s="25">
        <f t="shared" ca="1" si="11"/>
        <v>13120.650424681451</v>
      </c>
      <c r="Z100" s="25">
        <f t="shared" ca="1" si="11"/>
        <v>13470.333453182895</v>
      </c>
      <c r="AA100" s="25">
        <f t="shared" ca="1" si="11"/>
        <v>14554.979879032076</v>
      </c>
      <c r="AB100" s="25">
        <f t="shared" ca="1" si="11"/>
        <v>15522.575268573877</v>
      </c>
      <c r="AC100" s="25">
        <f t="shared" ca="1" si="11"/>
        <v>16384.863364210796</v>
      </c>
      <c r="AD100" s="25">
        <f t="shared" ca="1" si="11"/>
        <v>17152.413360230592</v>
      </c>
      <c r="AE100" s="25">
        <f t="shared" ca="1" si="11"/>
        <v>17834.737358400216</v>
      </c>
    </row>
    <row r="101" spans="2:31">
      <c r="B101" s="28"/>
      <c r="C101" s="31" t="s">
        <v>637</v>
      </c>
      <c r="D101" s="28" t="s">
        <v>111</v>
      </c>
      <c r="E101" s="32">
        <f ca="1">'表1-资金筹措及还本付息表'!F11</f>
        <v>5416.6201673973701</v>
      </c>
      <c r="F101" s="32">
        <f>IF('表1-资金筹措及还本付息表'!G5=0,0,E101+'表1-资金筹措及还本付息表'!G11)</f>
        <v>0</v>
      </c>
      <c r="G101" s="32">
        <f ca="1">IF('表1-资金筹措及还本付息表'!G5=0,E101+'表1-资金筹措及还本付息表'!H11,F101+'表1-资金筹措及还本付息表'!H11)</f>
        <v>5488.6201673973701</v>
      </c>
      <c r="H101" s="32">
        <f ca="1">G101+'表1-资金筹措及还本付息表'!I11</f>
        <v>5488.6201673973701</v>
      </c>
      <c r="I101" s="32">
        <f ca="1">H101+'表1-资金筹措及还本付息表'!J11</f>
        <v>5488.6201673973701</v>
      </c>
      <c r="J101" s="32">
        <f ca="1">I101+'表1-资金筹措及还本付息表'!K11</f>
        <v>5488.6201673973701</v>
      </c>
      <c r="K101" s="32">
        <f ca="1">J101+'表1-资金筹措及还本付息表'!L11</f>
        <v>5488.6201673973701</v>
      </c>
      <c r="L101" s="32">
        <f ca="1">K101+'表1-资金筹措及还本付息表'!M11</f>
        <v>5488.6201673973701</v>
      </c>
      <c r="M101" s="32">
        <f ca="1">L101+'表1-资金筹措及还本付息表'!N11</f>
        <v>5488.6201673973701</v>
      </c>
      <c r="N101" s="32">
        <f ca="1">M101+'表1-资金筹措及还本付息表'!O11</f>
        <v>5488.6201673973701</v>
      </c>
      <c r="O101" s="32">
        <f ca="1">N101+'表1-资金筹措及还本付息表'!P11</f>
        <v>5488.6201673973701</v>
      </c>
      <c r="P101" s="32">
        <f ca="1">O101+'表1-资金筹措及还本付息表'!Q11</f>
        <v>5488.6201673973701</v>
      </c>
      <c r="Q101" s="32">
        <f ca="1">P101+'表1-资金筹措及还本付息表'!R11</f>
        <v>5488.6201673973701</v>
      </c>
      <c r="R101" s="33">
        <f ca="1">Q101+'表1-资金筹措及还本付息表'!S11</f>
        <v>5488.6201673973701</v>
      </c>
      <c r="S101" s="32">
        <f ca="1">R101+'表1-资金筹措及还本付息表'!T11</f>
        <v>5488.6201673973701</v>
      </c>
      <c r="T101" s="32">
        <f ca="1">S101+'表1-资金筹措及还本付息表'!U11</f>
        <v>5488.6201673973701</v>
      </c>
      <c r="U101" s="32">
        <f ca="1">T101+'表1-资金筹措及还本付息表'!V11</f>
        <v>5488.6201673973701</v>
      </c>
      <c r="V101" s="32">
        <f ca="1">U101+'表1-资金筹措及还本付息表'!W11</f>
        <v>5488.6201673973701</v>
      </c>
      <c r="W101" s="32">
        <f ca="1">V101+'表1-资金筹措及还本付息表'!X11</f>
        <v>5488.6201673973701</v>
      </c>
      <c r="X101" s="32">
        <f ca="1">W101+'表1-资金筹措及还本付息表'!Y11</f>
        <v>5488.6201673973701</v>
      </c>
      <c r="Y101" s="32">
        <f ca="1">X101+'表1-资金筹措及还本付息表'!Z11</f>
        <v>5488.6201673973701</v>
      </c>
      <c r="Z101" s="32">
        <f ca="1">Y101+'表1-资金筹措及还本付息表'!AA11</f>
        <v>5488.6201673973701</v>
      </c>
      <c r="AA101" s="32">
        <f ca="1">Z101+'表1-资金筹措及还本付息表'!AB11</f>
        <v>5488.6201673973701</v>
      </c>
      <c r="AB101" s="32">
        <f ca="1">AA101+'表1-资金筹措及还本付息表'!AC11</f>
        <v>5488.6201673973701</v>
      </c>
      <c r="AC101" s="32">
        <f ca="1">AB101+'表1-资金筹措及还本付息表'!AD11</f>
        <v>5488.6201673973701</v>
      </c>
      <c r="AD101" s="32">
        <f ca="1">AC101+'表1-资金筹措及还本付息表'!AE11</f>
        <v>5488.6201673973701</v>
      </c>
      <c r="AE101" s="32">
        <f ca="1">AD101+'表1-资金筹措及还本付息表'!AF11</f>
        <v>5488.6201673973701</v>
      </c>
    </row>
    <row r="102" spans="2:31">
      <c r="B102" s="28"/>
      <c r="C102" s="34" t="s">
        <v>638</v>
      </c>
      <c r="D102" s="28" t="s">
        <v>111</v>
      </c>
      <c r="E102" s="32"/>
      <c r="F102" s="32"/>
      <c r="G102" s="32"/>
      <c r="H102" s="32"/>
      <c r="I102" s="32"/>
      <c r="J102" s="32"/>
      <c r="K102" s="32"/>
      <c r="L102" s="32"/>
      <c r="M102" s="32"/>
      <c r="N102" s="32"/>
      <c r="O102" s="32"/>
      <c r="P102" s="32"/>
      <c r="Q102" s="32"/>
      <c r="R102" s="33"/>
      <c r="S102" s="32"/>
      <c r="T102" s="32"/>
      <c r="U102" s="32"/>
      <c r="V102" s="32"/>
      <c r="W102" s="32"/>
      <c r="X102" s="32"/>
      <c r="Y102" s="32"/>
      <c r="Z102" s="32"/>
      <c r="AA102" s="32"/>
      <c r="AB102" s="32"/>
      <c r="AC102" s="32"/>
      <c r="AD102" s="32"/>
      <c r="AE102" s="32"/>
    </row>
    <row r="103" spans="2:31">
      <c r="B103" s="28"/>
      <c r="C103" s="34" t="s">
        <v>639</v>
      </c>
      <c r="D103" s="28" t="s">
        <v>111</v>
      </c>
      <c r="E103" s="32"/>
      <c r="F103" s="32"/>
      <c r="G103" s="32"/>
      <c r="H103" s="32"/>
      <c r="I103" s="32"/>
      <c r="J103" s="32"/>
      <c r="K103" s="32"/>
      <c r="L103" s="32"/>
      <c r="M103" s="32"/>
      <c r="N103" s="32"/>
      <c r="O103" s="32"/>
      <c r="P103" s="32"/>
      <c r="Q103" s="32"/>
      <c r="R103" s="33"/>
      <c r="S103" s="32"/>
      <c r="T103" s="32"/>
      <c r="U103" s="32"/>
      <c r="V103" s="32"/>
      <c r="W103" s="32"/>
      <c r="X103" s="32"/>
      <c r="Y103" s="32"/>
      <c r="Z103" s="32"/>
      <c r="AA103" s="32"/>
      <c r="AB103" s="32"/>
      <c r="AC103" s="32"/>
      <c r="AD103" s="32"/>
      <c r="AE103" s="32"/>
    </row>
    <row r="104" spans="2:31">
      <c r="B104" s="28"/>
      <c r="C104" s="34" t="s">
        <v>640</v>
      </c>
      <c r="D104" s="28" t="s">
        <v>111</v>
      </c>
      <c r="E104" s="32"/>
      <c r="F104" s="32"/>
      <c r="G104" s="32"/>
      <c r="H104" s="32"/>
      <c r="I104" s="32"/>
      <c r="J104" s="32"/>
      <c r="K104" s="32"/>
      <c r="L104" s="32"/>
      <c r="M104" s="32"/>
      <c r="N104" s="32"/>
      <c r="O104" s="32"/>
      <c r="P104" s="32"/>
      <c r="Q104" s="32"/>
      <c r="R104" s="33"/>
      <c r="S104" s="32"/>
      <c r="T104" s="32"/>
      <c r="U104" s="32"/>
      <c r="V104" s="32"/>
      <c r="W104" s="32"/>
      <c r="X104" s="32"/>
      <c r="Y104" s="32"/>
      <c r="Z104" s="32"/>
      <c r="AA104" s="32"/>
      <c r="AB104" s="32"/>
      <c r="AC104" s="32"/>
      <c r="AD104" s="32"/>
      <c r="AE104" s="32"/>
    </row>
    <row r="105" spans="2:31">
      <c r="B105" s="28"/>
      <c r="C105" s="34" t="s">
        <v>641</v>
      </c>
      <c r="D105" s="28" t="s">
        <v>111</v>
      </c>
      <c r="E105" s="32"/>
      <c r="F105" s="32"/>
      <c r="G105" s="32"/>
      <c r="H105" s="32"/>
      <c r="I105" s="32"/>
      <c r="J105" s="32"/>
      <c r="K105" s="32"/>
      <c r="L105" s="32"/>
      <c r="M105" s="32"/>
      <c r="N105" s="32"/>
      <c r="O105" s="32"/>
      <c r="P105" s="32"/>
      <c r="Q105" s="32"/>
      <c r="R105" s="33"/>
      <c r="S105" s="32"/>
      <c r="T105" s="32"/>
      <c r="U105" s="32"/>
      <c r="V105" s="32"/>
      <c r="W105" s="32"/>
      <c r="X105" s="32"/>
      <c r="Y105" s="32"/>
      <c r="Z105" s="32"/>
      <c r="AA105" s="32"/>
      <c r="AB105" s="32"/>
      <c r="AC105" s="32"/>
      <c r="AD105" s="32"/>
      <c r="AE105" s="32"/>
    </row>
    <row r="106" spans="2:31">
      <c r="B106" s="28"/>
      <c r="C106" s="34" t="s">
        <v>642</v>
      </c>
      <c r="D106" s="28" t="s">
        <v>111</v>
      </c>
      <c r="E106" s="32"/>
      <c r="F106" s="32"/>
      <c r="G106" s="32"/>
      <c r="H106" s="32"/>
      <c r="I106" s="32"/>
      <c r="J106" s="32"/>
      <c r="K106" s="32"/>
      <c r="L106" s="32"/>
      <c r="M106" s="32"/>
      <c r="N106" s="32"/>
      <c r="O106" s="32"/>
      <c r="P106" s="32"/>
      <c r="Q106" s="32"/>
      <c r="R106" s="33"/>
      <c r="S106" s="32"/>
      <c r="T106" s="32"/>
      <c r="U106" s="32"/>
      <c r="V106" s="32"/>
      <c r="W106" s="32"/>
      <c r="X106" s="32"/>
      <c r="Y106" s="32"/>
      <c r="Z106" s="32"/>
      <c r="AA106" s="32"/>
      <c r="AB106" s="32"/>
      <c r="AC106" s="32"/>
      <c r="AD106" s="32"/>
      <c r="AE106" s="32"/>
    </row>
    <row r="107" spans="2:31">
      <c r="B107" s="28"/>
      <c r="C107" s="31" t="s">
        <v>643</v>
      </c>
      <c r="D107" s="28" t="s">
        <v>111</v>
      </c>
      <c r="E107" s="32"/>
      <c r="F107" s="32"/>
      <c r="G107" s="32"/>
      <c r="H107" s="32"/>
      <c r="I107" s="32"/>
      <c r="J107" s="32"/>
      <c r="K107" s="32"/>
      <c r="L107" s="32"/>
      <c r="M107" s="32"/>
      <c r="N107" s="32"/>
      <c r="O107" s="32"/>
      <c r="P107" s="32"/>
      <c r="Q107" s="32"/>
      <c r="R107" s="33"/>
      <c r="S107" s="32"/>
      <c r="T107" s="32"/>
      <c r="U107" s="32"/>
      <c r="V107" s="32"/>
      <c r="W107" s="32"/>
      <c r="X107" s="32"/>
      <c r="Y107" s="32"/>
      <c r="Z107" s="32"/>
      <c r="AA107" s="32"/>
      <c r="AB107" s="32"/>
      <c r="AC107" s="32"/>
      <c r="AD107" s="32"/>
      <c r="AE107" s="32"/>
    </row>
    <row r="108" spans="2:31">
      <c r="B108" s="28"/>
      <c r="C108" s="31" t="s">
        <v>644</v>
      </c>
      <c r="D108" s="28" t="s">
        <v>111</v>
      </c>
      <c r="E108" s="32">
        <f ca="1">E101-E107</f>
        <v>5416.6201673973701</v>
      </c>
      <c r="F108" s="32">
        <f>F101-F107</f>
        <v>0</v>
      </c>
      <c r="G108" s="32">
        <f ca="1">G101-G107</f>
        <v>5488.6201673973701</v>
      </c>
      <c r="H108" s="32">
        <f t="shared" ref="H108:AE108" ca="1" si="12">H101-H107</f>
        <v>5488.6201673973701</v>
      </c>
      <c r="I108" s="32">
        <f t="shared" ca="1" si="12"/>
        <v>5488.6201673973701</v>
      </c>
      <c r="J108" s="32">
        <f t="shared" ca="1" si="12"/>
        <v>5488.6201673973701</v>
      </c>
      <c r="K108" s="32">
        <f t="shared" ca="1" si="12"/>
        <v>5488.6201673973701</v>
      </c>
      <c r="L108" s="32">
        <f t="shared" ca="1" si="12"/>
        <v>5488.6201673973701</v>
      </c>
      <c r="M108" s="32">
        <f t="shared" ca="1" si="12"/>
        <v>5488.6201673973701</v>
      </c>
      <c r="N108" s="32">
        <f t="shared" ca="1" si="12"/>
        <v>5488.6201673973701</v>
      </c>
      <c r="O108" s="32">
        <f t="shared" ca="1" si="12"/>
        <v>5488.6201673973701</v>
      </c>
      <c r="P108" s="32">
        <f t="shared" ca="1" si="12"/>
        <v>5488.6201673973701</v>
      </c>
      <c r="Q108" s="32">
        <f t="shared" ca="1" si="12"/>
        <v>5488.6201673973701</v>
      </c>
      <c r="R108" s="33">
        <f t="shared" ca="1" si="12"/>
        <v>5488.6201673973701</v>
      </c>
      <c r="S108" s="32">
        <f t="shared" ca="1" si="12"/>
        <v>5488.6201673973701</v>
      </c>
      <c r="T108" s="32">
        <f t="shared" ca="1" si="12"/>
        <v>5488.6201673973701</v>
      </c>
      <c r="U108" s="32">
        <f t="shared" ca="1" si="12"/>
        <v>5488.6201673973701</v>
      </c>
      <c r="V108" s="32">
        <f t="shared" ca="1" si="12"/>
        <v>5488.6201673973701</v>
      </c>
      <c r="W108" s="32">
        <f t="shared" ca="1" si="12"/>
        <v>5488.6201673973701</v>
      </c>
      <c r="X108" s="32">
        <f t="shared" ca="1" si="12"/>
        <v>5488.6201673973701</v>
      </c>
      <c r="Y108" s="32">
        <f t="shared" ca="1" si="12"/>
        <v>5488.6201673973701</v>
      </c>
      <c r="Z108" s="32">
        <f t="shared" ca="1" si="12"/>
        <v>5488.6201673973701</v>
      </c>
      <c r="AA108" s="32">
        <f t="shared" ca="1" si="12"/>
        <v>5488.6201673973701</v>
      </c>
      <c r="AB108" s="32">
        <f t="shared" ca="1" si="12"/>
        <v>5488.6201673973701</v>
      </c>
      <c r="AC108" s="32">
        <f t="shared" ca="1" si="12"/>
        <v>5488.6201673973701</v>
      </c>
      <c r="AD108" s="32">
        <f t="shared" ca="1" si="12"/>
        <v>5488.6201673973701</v>
      </c>
      <c r="AE108" s="32">
        <f t="shared" ca="1" si="12"/>
        <v>5488.6201673973701</v>
      </c>
    </row>
    <row r="109" spans="2:31">
      <c r="B109" s="28"/>
      <c r="C109" s="31" t="s">
        <v>645</v>
      </c>
      <c r="D109" s="28" t="s">
        <v>111</v>
      </c>
      <c r="E109" s="32"/>
      <c r="F109" s="32"/>
      <c r="G109" s="32"/>
      <c r="H109" s="32"/>
      <c r="I109" s="32"/>
      <c r="J109" s="32"/>
      <c r="K109" s="32"/>
      <c r="L109" s="32"/>
      <c r="M109" s="32"/>
      <c r="N109" s="32"/>
      <c r="O109" s="32"/>
      <c r="P109" s="32"/>
      <c r="Q109" s="32"/>
      <c r="R109" s="33"/>
      <c r="S109" s="32"/>
      <c r="T109" s="32"/>
      <c r="U109" s="32"/>
      <c r="V109" s="32"/>
      <c r="W109" s="32"/>
      <c r="X109" s="32"/>
      <c r="Y109" s="32"/>
      <c r="Z109" s="32"/>
      <c r="AA109" s="32"/>
      <c r="AB109" s="32"/>
      <c r="AC109" s="32"/>
      <c r="AD109" s="32"/>
      <c r="AE109" s="32"/>
    </row>
    <row r="110" spans="2:31">
      <c r="B110" s="28"/>
      <c r="C110" s="34" t="s">
        <v>626</v>
      </c>
      <c r="D110" s="28" t="s">
        <v>111</v>
      </c>
      <c r="E110" s="32"/>
      <c r="F110" s="32"/>
      <c r="G110" s="32"/>
      <c r="H110" s="32"/>
      <c r="I110" s="32"/>
      <c r="J110" s="32"/>
      <c r="K110" s="32"/>
      <c r="L110" s="32"/>
      <c r="M110" s="32"/>
      <c r="N110" s="32"/>
      <c r="O110" s="32"/>
      <c r="P110" s="32"/>
      <c r="Q110" s="32"/>
      <c r="R110" s="33"/>
      <c r="S110" s="32"/>
      <c r="T110" s="32"/>
      <c r="U110" s="32"/>
      <c r="V110" s="32"/>
      <c r="W110" s="32"/>
      <c r="X110" s="32"/>
      <c r="Y110" s="32"/>
      <c r="Z110" s="32"/>
      <c r="AA110" s="32"/>
      <c r="AB110" s="32"/>
      <c r="AC110" s="32"/>
      <c r="AD110" s="32"/>
      <c r="AE110" s="32"/>
    </row>
    <row r="111" spans="2:31">
      <c r="B111" s="28"/>
      <c r="C111" s="34" t="s">
        <v>627</v>
      </c>
      <c r="D111" s="28" t="s">
        <v>111</v>
      </c>
      <c r="E111" s="32"/>
      <c r="F111" s="32"/>
      <c r="G111" s="32"/>
      <c r="H111" s="32"/>
      <c r="I111" s="32"/>
      <c r="J111" s="32"/>
      <c r="K111" s="32"/>
      <c r="L111" s="32"/>
      <c r="M111" s="32"/>
      <c r="N111" s="32"/>
      <c r="O111" s="32"/>
      <c r="P111" s="32"/>
      <c r="Q111" s="32"/>
      <c r="R111" s="33"/>
      <c r="S111" s="32"/>
      <c r="T111" s="32"/>
      <c r="U111" s="32"/>
      <c r="V111" s="32"/>
      <c r="W111" s="32"/>
      <c r="X111" s="32"/>
      <c r="Y111" s="32"/>
      <c r="Z111" s="32"/>
      <c r="AA111" s="32"/>
      <c r="AB111" s="32"/>
      <c r="AC111" s="32"/>
      <c r="AD111" s="32"/>
      <c r="AE111" s="32"/>
    </row>
    <row r="112" spans="2:31">
      <c r="B112" s="28"/>
      <c r="C112" s="31" t="s">
        <v>646</v>
      </c>
      <c r="D112" s="28" t="s">
        <v>111</v>
      </c>
      <c r="E112" s="32"/>
      <c r="F112" s="32"/>
      <c r="G112" s="32"/>
      <c r="H112" s="32"/>
      <c r="I112" s="32"/>
      <c r="J112" s="32"/>
      <c r="K112" s="32"/>
      <c r="L112" s="32"/>
      <c r="M112" s="32"/>
      <c r="N112" s="32"/>
      <c r="O112" s="32"/>
      <c r="P112" s="32"/>
      <c r="Q112" s="32"/>
      <c r="R112" s="33"/>
      <c r="S112" s="32"/>
      <c r="T112" s="32"/>
      <c r="U112" s="32"/>
      <c r="V112" s="32"/>
      <c r="W112" s="32"/>
      <c r="X112" s="32"/>
      <c r="Y112" s="32"/>
      <c r="Z112" s="32"/>
      <c r="AA112" s="32"/>
      <c r="AB112" s="32"/>
      <c r="AC112" s="32"/>
      <c r="AD112" s="32"/>
      <c r="AE112" s="32"/>
    </row>
    <row r="113" spans="2:31">
      <c r="B113" s="28"/>
      <c r="C113" s="31" t="s">
        <v>647</v>
      </c>
      <c r="D113" s="28" t="s">
        <v>111</v>
      </c>
      <c r="E113" s="32"/>
      <c r="F113" s="32"/>
      <c r="G113" s="32"/>
      <c r="H113" s="32"/>
      <c r="I113" s="32"/>
      <c r="J113" s="32"/>
      <c r="K113" s="32"/>
      <c r="L113" s="32"/>
      <c r="M113" s="32"/>
      <c r="N113" s="32"/>
      <c r="O113" s="32"/>
      <c r="P113" s="32"/>
      <c r="Q113" s="32"/>
      <c r="R113" s="33"/>
      <c r="S113" s="32"/>
      <c r="T113" s="32"/>
      <c r="U113" s="32"/>
      <c r="V113" s="32"/>
      <c r="W113" s="32"/>
      <c r="X113" s="32"/>
      <c r="Y113" s="32"/>
      <c r="Z113" s="32"/>
      <c r="AA113" s="32"/>
      <c r="AB113" s="32"/>
      <c r="AC113" s="32"/>
      <c r="AD113" s="32"/>
      <c r="AE113" s="32"/>
    </row>
    <row r="114" spans="2:31">
      <c r="B114" s="28"/>
      <c r="C114" s="31" t="s">
        <v>648</v>
      </c>
      <c r="D114" s="28" t="s">
        <v>111</v>
      </c>
      <c r="E114" s="32"/>
      <c r="F114" s="32"/>
      <c r="G114" s="32"/>
      <c r="H114" s="32"/>
      <c r="I114" s="32"/>
      <c r="J114" s="32"/>
      <c r="K114" s="32"/>
      <c r="L114" s="32"/>
      <c r="M114" s="32"/>
      <c r="N114" s="32"/>
      <c r="O114" s="32"/>
      <c r="P114" s="32"/>
      <c r="Q114" s="32"/>
      <c r="R114" s="33"/>
      <c r="S114" s="32"/>
      <c r="T114" s="32"/>
      <c r="U114" s="32"/>
      <c r="V114" s="32"/>
      <c r="W114" s="32"/>
      <c r="X114" s="32"/>
      <c r="Y114" s="32"/>
      <c r="Z114" s="32"/>
      <c r="AA114" s="32"/>
      <c r="AB114" s="32"/>
      <c r="AC114" s="32"/>
      <c r="AD114" s="32"/>
      <c r="AE114" s="32"/>
    </row>
    <row r="115" spans="2:31">
      <c r="B115" s="28"/>
      <c r="C115" s="34" t="s">
        <v>649</v>
      </c>
      <c r="D115" s="28" t="s">
        <v>111</v>
      </c>
      <c r="E115" s="32"/>
      <c r="F115" s="32"/>
      <c r="G115" s="32"/>
      <c r="H115" s="32"/>
      <c r="I115" s="32"/>
      <c r="J115" s="32"/>
      <c r="K115" s="32"/>
      <c r="L115" s="32"/>
      <c r="M115" s="32"/>
      <c r="N115" s="32"/>
      <c r="O115" s="32"/>
      <c r="P115" s="32"/>
      <c r="Q115" s="32"/>
      <c r="R115" s="33"/>
      <c r="S115" s="32"/>
      <c r="T115" s="32"/>
      <c r="U115" s="32"/>
      <c r="V115" s="32"/>
      <c r="W115" s="32"/>
      <c r="X115" s="32"/>
      <c r="Y115" s="32"/>
      <c r="Z115" s="32"/>
      <c r="AA115" s="32"/>
      <c r="AB115" s="32"/>
      <c r="AC115" s="32"/>
      <c r="AD115" s="32"/>
      <c r="AE115" s="32"/>
    </row>
    <row r="116" spans="2:31">
      <c r="B116" s="28"/>
      <c r="C116" s="31" t="s">
        <v>650</v>
      </c>
      <c r="D116" s="28" t="s">
        <v>111</v>
      </c>
      <c r="E116" s="32"/>
      <c r="F116" s="32"/>
      <c r="G116" s="32"/>
      <c r="H116" s="32"/>
      <c r="I116" s="32"/>
      <c r="J116" s="32"/>
      <c r="K116" s="32"/>
      <c r="L116" s="32"/>
      <c r="M116" s="32"/>
      <c r="N116" s="32"/>
      <c r="O116" s="32"/>
      <c r="P116" s="32"/>
      <c r="Q116" s="32"/>
      <c r="R116" s="33"/>
      <c r="S116" s="32"/>
      <c r="T116" s="32"/>
      <c r="U116" s="32"/>
      <c r="V116" s="32"/>
      <c r="W116" s="32"/>
      <c r="X116" s="32"/>
      <c r="Y116" s="32"/>
      <c r="Z116" s="32"/>
      <c r="AA116" s="32"/>
      <c r="AB116" s="32"/>
      <c r="AC116" s="32"/>
      <c r="AD116" s="32"/>
      <c r="AE116" s="32"/>
    </row>
    <row r="117" spans="2:31">
      <c r="B117" s="28"/>
      <c r="C117" s="31" t="s">
        <v>651</v>
      </c>
      <c r="D117" s="28" t="s">
        <v>111</v>
      </c>
      <c r="E117" s="32">
        <f>SUM(E118:E122)</f>
        <v>0</v>
      </c>
      <c r="F117" s="32">
        <f t="shared" ref="F117:AE117" si="13">SUM(F118:F122)</f>
        <v>0</v>
      </c>
      <c r="G117" s="32">
        <f t="shared" ca="1" si="13"/>
        <v>47.747671966880084</v>
      </c>
      <c r="H117" s="32">
        <f t="shared" ca="1" si="13"/>
        <v>138.02319171860847</v>
      </c>
      <c r="I117" s="32">
        <f t="shared" ca="1" si="13"/>
        <v>266.60456641614951</v>
      </c>
      <c r="J117" s="32">
        <f t="shared" ca="1" si="13"/>
        <v>422.66270189245608</v>
      </c>
      <c r="K117" s="32">
        <f t="shared" ca="1" si="13"/>
        <v>604.3635663369754</v>
      </c>
      <c r="L117" s="32">
        <f t="shared" ca="1" si="13"/>
        <v>818.37940076801306</v>
      </c>
      <c r="M117" s="32">
        <f t="shared" ca="1" si="13"/>
        <v>1050.4875632715587</v>
      </c>
      <c r="N117" s="32">
        <f t="shared" ca="1" si="13"/>
        <v>1297.9529655046408</v>
      </c>
      <c r="O117" s="32">
        <f t="shared" ca="1" si="13"/>
        <v>1560.7460447894214</v>
      </c>
      <c r="P117" s="32">
        <f t="shared" ca="1" si="13"/>
        <v>1838.847407798276</v>
      </c>
      <c r="Q117" s="32">
        <f t="shared" ca="1" si="13"/>
        <v>2125.8719806928862</v>
      </c>
      <c r="R117" s="33">
        <f t="shared" ca="1" si="13"/>
        <v>2422.5292712737892</v>
      </c>
      <c r="S117" s="32">
        <f t="shared" ca="1" si="13"/>
        <v>2729.8954632694745</v>
      </c>
      <c r="T117" s="32">
        <f t="shared" ca="1" si="13"/>
        <v>3048.8467365489601</v>
      </c>
      <c r="U117" s="32">
        <f t="shared" ca="1" si="13"/>
        <v>3380.0972477353725</v>
      </c>
      <c r="V117" s="32">
        <f t="shared" ca="1" si="13"/>
        <v>3720.3855549172285</v>
      </c>
      <c r="W117" s="32">
        <f t="shared" ca="1" si="13"/>
        <v>4067.018674262948</v>
      </c>
      <c r="X117" s="32">
        <f t="shared" ca="1" si="13"/>
        <v>4417.8196799806165</v>
      </c>
      <c r="Y117" s="32">
        <f t="shared" ca="1" si="13"/>
        <v>4771.0296335304474</v>
      </c>
      <c r="Z117" s="32">
        <f t="shared" ca="1" si="13"/>
        <v>5000</v>
      </c>
      <c r="AA117" s="32">
        <f t="shared" ca="1" si="13"/>
        <v>5000</v>
      </c>
      <c r="AB117" s="32">
        <f t="shared" ca="1" si="13"/>
        <v>5000</v>
      </c>
      <c r="AC117" s="32">
        <f t="shared" ca="1" si="13"/>
        <v>5000</v>
      </c>
      <c r="AD117" s="32">
        <f t="shared" ca="1" si="13"/>
        <v>5000</v>
      </c>
      <c r="AE117" s="32">
        <f t="shared" ca="1" si="13"/>
        <v>5000</v>
      </c>
    </row>
    <row r="118" spans="2:31">
      <c r="B118" s="28"/>
      <c r="C118" s="34" t="s">
        <v>652</v>
      </c>
      <c r="D118" s="28" t="s">
        <v>111</v>
      </c>
      <c r="E118" s="32"/>
      <c r="F118" s="32"/>
      <c r="G118" s="32">
        <f ca="1">'表5-利润表-资本金'!H28</f>
        <v>47.747671966880084</v>
      </c>
      <c r="H118" s="32">
        <f ca="1">'表5-利润表-资本金'!I28</f>
        <v>138.02319171860847</v>
      </c>
      <c r="I118" s="32">
        <f ca="1">'表5-利润表-资本金'!J28</f>
        <v>266.60456641614951</v>
      </c>
      <c r="J118" s="32">
        <f ca="1">'表5-利润表-资本金'!K28</f>
        <v>422.66270189245608</v>
      </c>
      <c r="K118" s="32">
        <f ca="1">'表5-利润表-资本金'!L28</f>
        <v>604.3635663369754</v>
      </c>
      <c r="L118" s="32">
        <f ca="1">'表5-利润表-资本金'!M28</f>
        <v>818.37940076801306</v>
      </c>
      <c r="M118" s="32">
        <f ca="1">'表5-利润表-资本金'!N28</f>
        <v>1050.4875632715587</v>
      </c>
      <c r="N118" s="32">
        <f ca="1">'表5-利润表-资本金'!O28</f>
        <v>1297.9529655046408</v>
      </c>
      <c r="O118" s="32">
        <f ca="1">'表5-利润表-资本金'!P28</f>
        <v>1560.7460447894214</v>
      </c>
      <c r="P118" s="32">
        <f ca="1">'表5-利润表-资本金'!Q28</f>
        <v>1838.847407798276</v>
      </c>
      <c r="Q118" s="32">
        <f ca="1">'表5-利润表-资本金'!R28</f>
        <v>2125.8719806928862</v>
      </c>
      <c r="R118" s="33">
        <f ca="1">'表5-利润表-资本金'!S28</f>
        <v>2422.5292712737892</v>
      </c>
      <c r="S118" s="32">
        <f ca="1">'表5-利润表-资本金'!T28</f>
        <v>2729.8954632694745</v>
      </c>
      <c r="T118" s="32">
        <f ca="1">'表5-利润表-资本金'!U28</f>
        <v>3048.8467365489601</v>
      </c>
      <c r="U118" s="32">
        <f ca="1">'表5-利润表-资本金'!V28</f>
        <v>3380.0972477353725</v>
      </c>
      <c r="V118" s="32">
        <f ca="1">'表5-利润表-资本金'!W28</f>
        <v>3720.3855549172285</v>
      </c>
      <c r="W118" s="32">
        <f ca="1">'表5-利润表-资本金'!X28</f>
        <v>4067.018674262948</v>
      </c>
      <c r="X118" s="32">
        <f ca="1">'表5-利润表-资本金'!Y28</f>
        <v>4417.8196799806165</v>
      </c>
      <c r="Y118" s="32">
        <f ca="1">'表5-利润表-资本金'!Z28</f>
        <v>4771.0296335304474</v>
      </c>
      <c r="Z118" s="32">
        <f ca="1">'表5-利润表-资本金'!AA28</f>
        <v>5000</v>
      </c>
      <c r="AA118" s="32">
        <f ca="1">'表5-利润表-资本金'!AB28</f>
        <v>5000</v>
      </c>
      <c r="AB118" s="32">
        <f ca="1">'表5-利润表-资本金'!AC28</f>
        <v>5000</v>
      </c>
      <c r="AC118" s="32">
        <f ca="1">'表5-利润表-资本金'!AD28</f>
        <v>5000</v>
      </c>
      <c r="AD118" s="32">
        <f ca="1">'表5-利润表-资本金'!AE28</f>
        <v>5000</v>
      </c>
      <c r="AE118" s="32">
        <f ca="1">'表5-利润表-资本金'!AF28</f>
        <v>5000</v>
      </c>
    </row>
    <row r="119" spans="2:31">
      <c r="B119" s="28"/>
      <c r="C119" s="34" t="s">
        <v>653</v>
      </c>
      <c r="D119" s="28" t="s">
        <v>111</v>
      </c>
      <c r="E119" s="32"/>
      <c r="F119" s="32"/>
      <c r="G119" s="32"/>
      <c r="H119" s="32"/>
      <c r="I119" s="32"/>
      <c r="J119" s="32"/>
      <c r="K119" s="32"/>
      <c r="L119" s="32"/>
      <c r="M119" s="32"/>
      <c r="N119" s="32"/>
      <c r="O119" s="32"/>
      <c r="P119" s="32"/>
      <c r="Q119" s="32"/>
      <c r="R119" s="33"/>
      <c r="S119" s="32"/>
      <c r="T119" s="32"/>
      <c r="U119" s="32"/>
      <c r="V119" s="32"/>
      <c r="W119" s="32"/>
      <c r="X119" s="32"/>
      <c r="Y119" s="32"/>
      <c r="Z119" s="32"/>
      <c r="AA119" s="32"/>
      <c r="AB119" s="32"/>
      <c r="AC119" s="32"/>
      <c r="AD119" s="32"/>
      <c r="AE119" s="32"/>
    </row>
    <row r="120" spans="2:31">
      <c r="B120" s="28"/>
      <c r="C120" s="34" t="s">
        <v>654</v>
      </c>
      <c r="D120" s="28" t="s">
        <v>111</v>
      </c>
      <c r="E120" s="32"/>
      <c r="F120" s="32"/>
      <c r="G120" s="32"/>
      <c r="H120" s="32"/>
      <c r="I120" s="32"/>
      <c r="J120" s="32"/>
      <c r="K120" s="32"/>
      <c r="L120" s="32"/>
      <c r="M120" s="32"/>
      <c r="N120" s="32"/>
      <c r="O120" s="32"/>
      <c r="P120" s="32"/>
      <c r="Q120" s="32"/>
      <c r="R120" s="33"/>
      <c r="S120" s="32"/>
      <c r="T120" s="32"/>
      <c r="U120" s="32"/>
      <c r="V120" s="32"/>
      <c r="W120" s="32"/>
      <c r="X120" s="32"/>
      <c r="Y120" s="32"/>
      <c r="Z120" s="32"/>
      <c r="AA120" s="32"/>
      <c r="AB120" s="32"/>
      <c r="AC120" s="32"/>
      <c r="AD120" s="32"/>
      <c r="AE120" s="32"/>
    </row>
    <row r="121" spans="2:31">
      <c r="B121" s="28"/>
      <c r="C121" s="34" t="s">
        <v>655</v>
      </c>
      <c r="D121" s="28" t="s">
        <v>111</v>
      </c>
      <c r="E121" s="32"/>
      <c r="F121" s="32"/>
      <c r="G121" s="32"/>
      <c r="H121" s="32"/>
      <c r="I121" s="32"/>
      <c r="J121" s="32"/>
      <c r="K121" s="32"/>
      <c r="L121" s="32"/>
      <c r="M121" s="32"/>
      <c r="N121" s="32"/>
      <c r="O121" s="32"/>
      <c r="P121" s="32"/>
      <c r="Q121" s="32"/>
      <c r="R121" s="33"/>
      <c r="S121" s="32"/>
      <c r="T121" s="32"/>
      <c r="U121" s="32"/>
      <c r="V121" s="32"/>
      <c r="W121" s="32"/>
      <c r="X121" s="32"/>
      <c r="Y121" s="32"/>
      <c r="Z121" s="32"/>
      <c r="AA121" s="32"/>
      <c r="AB121" s="32"/>
      <c r="AC121" s="32"/>
      <c r="AD121" s="32"/>
      <c r="AE121" s="32"/>
    </row>
    <row r="122" spans="2:31">
      <c r="B122" s="28"/>
      <c r="C122" s="34" t="s">
        <v>656</v>
      </c>
      <c r="D122" s="28" t="s">
        <v>111</v>
      </c>
      <c r="E122" s="32"/>
      <c r="F122" s="32"/>
      <c r="G122" s="32"/>
      <c r="H122" s="32"/>
      <c r="I122" s="32"/>
      <c r="J122" s="32"/>
      <c r="K122" s="32"/>
      <c r="L122" s="32"/>
      <c r="M122" s="32"/>
      <c r="N122" s="32"/>
      <c r="O122" s="32"/>
      <c r="P122" s="32"/>
      <c r="Q122" s="32"/>
      <c r="R122" s="33"/>
      <c r="S122" s="32"/>
      <c r="T122" s="32"/>
      <c r="U122" s="32"/>
      <c r="V122" s="32"/>
      <c r="W122" s="32"/>
      <c r="X122" s="32"/>
      <c r="Y122" s="32"/>
      <c r="Z122" s="32"/>
      <c r="AA122" s="32"/>
      <c r="AB122" s="32"/>
      <c r="AC122" s="32"/>
      <c r="AD122" s="32"/>
      <c r="AE122" s="32"/>
    </row>
    <row r="123" spans="2:31">
      <c r="B123" s="28"/>
      <c r="C123" s="31" t="s">
        <v>657</v>
      </c>
      <c r="D123" s="28" t="s">
        <v>111</v>
      </c>
      <c r="E123" s="32"/>
      <c r="F123" s="32"/>
      <c r="G123" s="32"/>
      <c r="H123" s="32"/>
      <c r="I123" s="32"/>
      <c r="J123" s="32"/>
      <c r="K123" s="32"/>
      <c r="L123" s="32"/>
      <c r="M123" s="32"/>
      <c r="N123" s="32"/>
      <c r="O123" s="32"/>
      <c r="P123" s="32"/>
      <c r="Q123" s="32"/>
      <c r="R123" s="33"/>
      <c r="S123" s="32"/>
      <c r="T123" s="32"/>
      <c r="U123" s="32"/>
      <c r="V123" s="32"/>
      <c r="W123" s="32"/>
      <c r="X123" s="32"/>
      <c r="Y123" s="32"/>
      <c r="Z123" s="32"/>
      <c r="AA123" s="32"/>
      <c r="AB123" s="32"/>
      <c r="AC123" s="32"/>
      <c r="AD123" s="32"/>
      <c r="AE123" s="32"/>
    </row>
    <row r="124" spans="2:31">
      <c r="B124" s="28"/>
      <c r="C124" s="31" t="s">
        <v>658</v>
      </c>
      <c r="D124" s="28" t="s">
        <v>111</v>
      </c>
      <c r="E124" s="32"/>
      <c r="F124" s="32"/>
      <c r="G124" s="32">
        <f ca="1">'表5-利润表-资本金'!H32</f>
        <v>386.75614293172862</v>
      </c>
      <c r="H124" s="32">
        <f ca="1">'表5-利润表-资本金'!I32</f>
        <v>731.23170998899991</v>
      </c>
      <c r="I124" s="32">
        <f ca="1">'表5-利润表-资本金'!J32</f>
        <v>1041.5091350500823</v>
      </c>
      <c r="J124" s="32">
        <f ca="1">'表5-利润表-资本金'!K32</f>
        <v>1264.0708973580829</v>
      </c>
      <c r="K124" s="32">
        <f ca="1">'表5-利润表-资本金'!L32</f>
        <v>1471.777002000606</v>
      </c>
      <c r="L124" s="32">
        <f ca="1">'表5-利润表-资本金'!M32</f>
        <v>1733.5282588914044</v>
      </c>
      <c r="M124" s="32">
        <f ca="1">'表5-利润表-资本金'!N32</f>
        <v>1880.0761162787196</v>
      </c>
      <c r="N124" s="32">
        <f ca="1">'表5-利润表-资本金'!O32</f>
        <v>2004.4697580879649</v>
      </c>
      <c r="O124" s="32">
        <f ca="1">'表5-利润表-资本金'!P32</f>
        <v>2128.6239422067229</v>
      </c>
      <c r="P124" s="32">
        <f ca="1">'表5-利润表-资本金'!Q32</f>
        <v>2252.6210403717232</v>
      </c>
      <c r="Q124" s="32">
        <f ca="1">'表5-利润表-资本金'!R32</f>
        <v>2324.8990404463434</v>
      </c>
      <c r="R124" s="33">
        <f ca="1">'表5-利润表-资本金'!S32</f>
        <v>2402.9240537053151</v>
      </c>
      <c r="S124" s="32">
        <f ca="1">'表5-利润表-资本金'!T32</f>
        <v>2489.6661551650495</v>
      </c>
      <c r="T124" s="32">
        <f ca="1">'表5-利润表-资本金'!U32</f>
        <v>2583.5053135638318</v>
      </c>
      <c r="U124" s="32">
        <f ca="1">'表5-利润表-资本金'!V32</f>
        <v>2683.129140609939</v>
      </c>
      <c r="V124" s="32">
        <f ca="1">'表5-利润表-资本金'!W32</f>
        <v>2756.3352881730343</v>
      </c>
      <c r="W124" s="32">
        <f ca="1">'表5-利润表-资本金'!X32</f>
        <v>2807.7282667003265</v>
      </c>
      <c r="X124" s="32">
        <f ca="1">'表5-利润表-资本金'!Y32</f>
        <v>2841.4881463131142</v>
      </c>
      <c r="Y124" s="32">
        <f ca="1">'表5-利润表-资本金'!Z32</f>
        <v>2861.0006237536318</v>
      </c>
      <c r="Z124" s="32">
        <f ca="1">'表5-利润表-资本金'!AA32</f>
        <v>2981.7132857855254</v>
      </c>
      <c r="AA124" s="32">
        <f ca="1">'表5-利润表-资本金'!AB32</f>
        <v>4066.3597116347069</v>
      </c>
      <c r="AB124" s="32">
        <f ca="1">'表5-利润表-资本金'!AC32</f>
        <v>5033.9551011765079</v>
      </c>
      <c r="AC124" s="32">
        <f ca="1">'表5-利润表-资本金'!AD32</f>
        <v>5896.2431968134242</v>
      </c>
      <c r="AD124" s="32">
        <f ca="1">'表5-利润表-资本金'!AE32</f>
        <v>6663.7931928332209</v>
      </c>
      <c r="AE124" s="32">
        <f ca="1">'表5-利润表-资本金'!AF32</f>
        <v>7346.117191002847</v>
      </c>
    </row>
    <row r="125" spans="2:31">
      <c r="B125" s="28"/>
      <c r="C125" s="31" t="s">
        <v>659</v>
      </c>
      <c r="D125" s="28" t="s">
        <v>111</v>
      </c>
      <c r="E125" s="32"/>
      <c r="F125" s="32"/>
      <c r="G125" s="32"/>
      <c r="H125" s="32"/>
      <c r="I125" s="32"/>
      <c r="J125" s="32"/>
      <c r="K125" s="32"/>
      <c r="L125" s="32"/>
      <c r="M125" s="32"/>
      <c r="N125" s="32"/>
      <c r="O125" s="32"/>
      <c r="P125" s="32"/>
      <c r="Q125" s="32"/>
      <c r="R125" s="33"/>
      <c r="S125" s="32"/>
      <c r="T125" s="32"/>
      <c r="U125" s="32"/>
      <c r="V125" s="32"/>
      <c r="W125" s="32"/>
      <c r="X125" s="32"/>
      <c r="Y125" s="32"/>
      <c r="Z125" s="32"/>
      <c r="AA125" s="32"/>
      <c r="AB125" s="32"/>
      <c r="AC125" s="32"/>
      <c r="AD125" s="32"/>
      <c r="AE125" s="32"/>
    </row>
    <row r="126" spans="2:31">
      <c r="B126" s="28"/>
      <c r="C126" s="31" t="s">
        <v>660</v>
      </c>
      <c r="D126" s="28" t="s">
        <v>111</v>
      </c>
      <c r="E126" s="32"/>
      <c r="F126" s="32"/>
      <c r="G126" s="32"/>
      <c r="H126" s="32"/>
      <c r="I126" s="32"/>
      <c r="J126" s="32"/>
      <c r="K126" s="32"/>
      <c r="L126" s="32"/>
      <c r="M126" s="32"/>
      <c r="N126" s="32"/>
      <c r="O126" s="32"/>
      <c r="P126" s="32"/>
      <c r="Q126" s="32"/>
      <c r="R126" s="33"/>
      <c r="S126" s="32"/>
      <c r="T126" s="32"/>
      <c r="U126" s="32"/>
      <c r="V126" s="32"/>
      <c r="W126" s="32"/>
      <c r="X126" s="32"/>
      <c r="Y126" s="32"/>
      <c r="Z126" s="32"/>
      <c r="AA126" s="32"/>
      <c r="AB126" s="32"/>
      <c r="AC126" s="32"/>
      <c r="AD126" s="32"/>
      <c r="AE126" s="32"/>
    </row>
    <row r="127" spans="2:31" ht="23.5" customHeight="1">
      <c r="B127" s="22">
        <v>4</v>
      </c>
      <c r="C127" s="23" t="s">
        <v>661</v>
      </c>
      <c r="D127" s="37" t="s">
        <v>111</v>
      </c>
      <c r="E127" s="25">
        <f t="shared" ref="E127:Q127" ca="1" si="14">E100+E57</f>
        <v>27083.100836986847</v>
      </c>
      <c r="F127" s="25">
        <f t="shared" si="14"/>
        <v>0</v>
      </c>
      <c r="G127" s="25">
        <f t="shared" ca="1" si="14"/>
        <v>24131.445655564654</v>
      </c>
      <c r="H127" s="25">
        <f t="shared" ca="1" si="14"/>
        <v>23509.354532578956</v>
      </c>
      <c r="I127" s="25">
        <f t="shared" ca="1" si="14"/>
        <v>22889.62696828608</v>
      </c>
      <c r="J127" s="25">
        <f t="shared" ca="1" si="14"/>
        <v>22207.924196456246</v>
      </c>
      <c r="K127" s="25">
        <f t="shared" ca="1" si="14"/>
        <v>21535.280003741529</v>
      </c>
      <c r="L127" s="25">
        <f t="shared" ca="1" si="14"/>
        <v>20966.051133259862</v>
      </c>
      <c r="M127" s="25">
        <f t="shared" ca="1" si="14"/>
        <v>20142.640204062031</v>
      </c>
      <c r="N127" s="25">
        <f t="shared" ca="1" si="14"/>
        <v>19070.067203465056</v>
      </c>
      <c r="O127" s="25">
        <f t="shared" ca="1" si="14"/>
        <v>18012.582422229294</v>
      </c>
      <c r="P127" s="25">
        <f t="shared" ca="1" si="14"/>
        <v>16970.248838763851</v>
      </c>
      <c r="Q127" s="25">
        <f t="shared" ca="1" si="14"/>
        <v>15885.119367093785</v>
      </c>
      <c r="R127" s="25">
        <f t="shared" ref="R127:AE127" ca="1" si="15">R100+R57</f>
        <v>14815.369626294359</v>
      </c>
      <c r="S127" s="25">
        <f t="shared" ca="1" si="15"/>
        <v>13765.045875110482</v>
      </c>
      <c r="T127" s="25">
        <f t="shared" ca="1" si="15"/>
        <v>12733.404262149452</v>
      </c>
      <c r="U127" s="25">
        <f t="shared" ca="1" si="15"/>
        <v>11719.846555742672</v>
      </c>
      <c r="V127" s="25">
        <f t="shared" ca="1" si="15"/>
        <v>12133.341010487635</v>
      </c>
      <c r="W127" s="25">
        <f t="shared" ca="1" si="15"/>
        <v>12531.367108360646</v>
      </c>
      <c r="X127" s="25">
        <f t="shared" ca="1" si="15"/>
        <v>12915.927993691101</v>
      </c>
      <c r="Y127" s="25">
        <f t="shared" ca="1" si="15"/>
        <v>13288.650424681451</v>
      </c>
      <c r="Z127" s="25">
        <f t="shared" ca="1" si="15"/>
        <v>13638.333453182895</v>
      </c>
      <c r="AA127" s="25">
        <f t="shared" ca="1" si="15"/>
        <v>14722.979879032076</v>
      </c>
      <c r="AB127" s="25">
        <f t="shared" ca="1" si="15"/>
        <v>15690.575268573877</v>
      </c>
      <c r="AC127" s="25">
        <f t="shared" ca="1" si="15"/>
        <v>16552.863364210796</v>
      </c>
      <c r="AD127" s="25">
        <f t="shared" ca="1" si="15"/>
        <v>17320.413360230592</v>
      </c>
      <c r="AE127" s="25">
        <f t="shared" ca="1" si="15"/>
        <v>17834.737358400216</v>
      </c>
    </row>
    <row r="128" spans="2:31" s="16" customFormat="1" ht="27.65" customHeight="1">
      <c r="B128" s="38"/>
      <c r="C128" s="39" t="s">
        <v>662</v>
      </c>
      <c r="D128" s="38"/>
      <c r="E128" s="40">
        <f t="shared" ref="E128:R128" ca="1" si="16">E5-E127</f>
        <v>0</v>
      </c>
      <c r="F128" s="40">
        <f t="shared" ca="1" si="16"/>
        <v>0</v>
      </c>
      <c r="G128" s="40">
        <f t="shared" ca="1" si="16"/>
        <v>0</v>
      </c>
      <c r="H128" s="40">
        <f t="shared" ca="1" si="16"/>
        <v>0</v>
      </c>
      <c r="I128" s="40">
        <f t="shared" ca="1" si="16"/>
        <v>0</v>
      </c>
      <c r="J128" s="40">
        <f t="shared" ca="1" si="16"/>
        <v>0</v>
      </c>
      <c r="K128" s="40">
        <f t="shared" ca="1" si="16"/>
        <v>0</v>
      </c>
      <c r="L128" s="40">
        <f t="shared" ca="1" si="16"/>
        <v>0</v>
      </c>
      <c r="M128" s="40">
        <f t="shared" ca="1" si="16"/>
        <v>0</v>
      </c>
      <c r="N128" s="40">
        <f t="shared" ca="1" si="16"/>
        <v>0</v>
      </c>
      <c r="O128" s="40">
        <f t="shared" ca="1" si="16"/>
        <v>0</v>
      </c>
      <c r="P128" s="40">
        <f t="shared" ca="1" si="16"/>
        <v>0</v>
      </c>
      <c r="Q128" s="40">
        <f t="shared" ca="1" si="16"/>
        <v>-2.0008883439004421E-11</v>
      </c>
      <c r="R128" s="41">
        <f t="shared" ca="1" si="16"/>
        <v>-1.4551915228366852E-11</v>
      </c>
      <c r="S128" s="40">
        <f t="shared" ref="S128:AE128" ca="1" si="17">S5-S127</f>
        <v>-1.8189894035458565E-11</v>
      </c>
      <c r="T128" s="40">
        <f t="shared" ca="1" si="17"/>
        <v>-2.1827872842550278E-11</v>
      </c>
      <c r="U128" s="40">
        <f t="shared" ca="1" si="17"/>
        <v>-1.6370904631912708E-11</v>
      </c>
      <c r="V128" s="40">
        <f t="shared" ca="1" si="17"/>
        <v>-3.2741809263825417E-11</v>
      </c>
      <c r="W128" s="40">
        <f t="shared" ca="1" si="17"/>
        <v>-3.092281986027956E-11</v>
      </c>
      <c r="X128" s="40">
        <f t="shared" ca="1" si="17"/>
        <v>-2.1827872842550278E-11</v>
      </c>
      <c r="Y128" s="40">
        <f t="shared" ca="1" si="17"/>
        <v>-2.3646862246096134E-11</v>
      </c>
      <c r="Z128" s="40">
        <f t="shared" ca="1" si="17"/>
        <v>-2.0008883439004421E-11</v>
      </c>
      <c r="AA128" s="40">
        <f t="shared" ca="1" si="17"/>
        <v>-2.1827872842550278E-11</v>
      </c>
      <c r="AB128" s="42">
        <f t="shared" ca="1" si="17"/>
        <v>-1.4551915228366852E-11</v>
      </c>
      <c r="AC128" s="42">
        <f t="shared" ca="1" si="17"/>
        <v>0</v>
      </c>
      <c r="AD128" s="42">
        <f t="shared" ca="1" si="17"/>
        <v>0</v>
      </c>
      <c r="AE128" s="42">
        <f t="shared" ca="1" si="17"/>
        <v>0</v>
      </c>
    </row>
    <row r="131" spans="3:31">
      <c r="C131" s="43">
        <f ca="1">MAX(E131:AE131)</f>
        <v>0.79999999999999993</v>
      </c>
      <c r="D131" s="44"/>
      <c r="E131" s="43">
        <f ca="1">E57/E5</f>
        <v>0.79999999999999993</v>
      </c>
      <c r="F131" s="43"/>
      <c r="G131" s="43">
        <f t="shared" ref="G131:AE131" ca="1" si="18">G57/G5</f>
        <v>0.75454748684191986</v>
      </c>
      <c r="H131" s="43">
        <f t="shared" ca="1" si="18"/>
        <v>0.72955977756452994</v>
      </c>
      <c r="I131" s="43">
        <f t="shared" ca="1" si="18"/>
        <v>0.70306489143398543</v>
      </c>
      <c r="J131" s="43">
        <f t="shared" ca="1" si="18"/>
        <v>0.67690119512417601</v>
      </c>
      <c r="K131" s="43">
        <f t="shared" ca="1" si="18"/>
        <v>0.64872707787311568</v>
      </c>
      <c r="L131" s="43">
        <f t="shared" ca="1" si="18"/>
        <v>0.61649774790916401</v>
      </c>
      <c r="M131" s="43">
        <f t="shared" ca="1" si="18"/>
        <v>0.58202183220997006</v>
      </c>
      <c r="N131" s="43">
        <f t="shared" ca="1" si="18"/>
        <v>0.5390135337649663</v>
      </c>
      <c r="O131" s="43">
        <f t="shared" ca="1" si="18"/>
        <v>0.49046783302615365</v>
      </c>
      <c r="P131" s="43">
        <f t="shared" ca="1" si="18"/>
        <v>0.4354774224827927</v>
      </c>
      <c r="Q131" s="43">
        <f t="shared" ca="1" si="18"/>
        <v>0.37429546742178343</v>
      </c>
      <c r="R131" s="45">
        <f t="shared" ca="1" si="18"/>
        <v>0.30382611082000804</v>
      </c>
      <c r="S131" s="43">
        <f t="shared" ca="1" si="18"/>
        <v>0.22207438442365937</v>
      </c>
      <c r="T131" s="43">
        <f t="shared" ca="1" si="18"/>
        <v>0.12663008347518739</v>
      </c>
      <c r="U131" s="43">
        <f t="shared" ca="1" si="18"/>
        <v>1.4334658666471354E-2</v>
      </c>
      <c r="V131" s="43">
        <f t="shared" ca="1" si="18"/>
        <v>1.3846145085247924E-2</v>
      </c>
      <c r="W131" s="43">
        <f t="shared" ca="1" si="18"/>
        <v>1.3406358504006686E-2</v>
      </c>
      <c r="X131" s="43">
        <f t="shared" ca="1" si="18"/>
        <v>1.3007195463002068E-2</v>
      </c>
      <c r="Y131" s="43">
        <f t="shared" ca="1" si="18"/>
        <v>1.2642367330844097E-2</v>
      </c>
      <c r="Z131" s="43">
        <f t="shared" ca="1" si="18"/>
        <v>1.2318220593205444E-2</v>
      </c>
      <c r="AA131" s="43">
        <f t="shared" ca="1" si="18"/>
        <v>1.1410733518644526E-2</v>
      </c>
      <c r="AB131" s="43">
        <f t="shared" ca="1" si="18"/>
        <v>1.070706440805148E-2</v>
      </c>
      <c r="AC131" s="43">
        <f t="shared" ca="1" si="18"/>
        <v>1.0149301441298402E-2</v>
      </c>
      <c r="AD131" s="43">
        <f t="shared" ca="1" si="18"/>
        <v>9.6995375633323489E-3</v>
      </c>
      <c r="AE131" s="43">
        <f t="shared" ca="1" si="18"/>
        <v>0</v>
      </c>
    </row>
    <row r="132" spans="3:31">
      <c r="C132" s="43"/>
      <c r="D132" s="44"/>
      <c r="E132" s="43"/>
      <c r="F132" s="43"/>
      <c r="G132" s="43"/>
      <c r="H132" s="43"/>
      <c r="I132" s="43"/>
      <c r="J132" s="43"/>
      <c r="K132" s="43"/>
      <c r="L132" s="43"/>
      <c r="M132" s="43"/>
      <c r="N132" s="43"/>
      <c r="O132" s="43"/>
      <c r="P132" s="43"/>
      <c r="Q132" s="43"/>
      <c r="R132" s="45"/>
      <c r="S132" s="43"/>
      <c r="T132" s="43"/>
      <c r="U132" s="43"/>
      <c r="V132" s="43"/>
      <c r="W132" s="43"/>
      <c r="X132" s="43"/>
      <c r="Y132" s="43"/>
      <c r="Z132" s="43"/>
      <c r="AA132" s="43"/>
      <c r="AB132" s="43"/>
      <c r="AC132" s="43"/>
      <c r="AD132" s="43"/>
      <c r="AE132" s="43"/>
    </row>
  </sheetData>
  <mergeCells count="5">
    <mergeCell ref="E3:F3"/>
    <mergeCell ref="G3:AE3"/>
    <mergeCell ref="B3:B4"/>
    <mergeCell ref="C3:C4"/>
    <mergeCell ref="D3:D4"/>
  </mergeCells>
  <phoneticPr fontId="51" type="noConversion"/>
  <conditionalFormatting sqref="E128:AE128">
    <cfRule type="cellIs" dxfId="0" priority="1" operator="notEqual">
      <formula>0</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5"/>
  <sheetViews>
    <sheetView tabSelected="1" topLeftCell="A4" workbookViewId="0">
      <selection activeCell="D28" sqref="D28"/>
    </sheetView>
  </sheetViews>
  <sheetFormatPr defaultColWidth="8.90625" defaultRowHeight="14"/>
  <cols>
    <col min="2" max="2" width="33.08984375" customWidth="1"/>
    <col min="3" max="3" width="17.36328125" customWidth="1"/>
    <col min="4" max="4" width="20.54296875" customWidth="1"/>
  </cols>
  <sheetData>
    <row r="1" spans="1:12">
      <c r="A1" s="1" t="s">
        <v>14</v>
      </c>
      <c r="B1" s="1" t="s">
        <v>323</v>
      </c>
      <c r="C1" s="1" t="s">
        <v>39</v>
      </c>
      <c r="D1" s="2" t="s">
        <v>38</v>
      </c>
    </row>
    <row r="2" spans="1:12">
      <c r="A2" s="3" t="s">
        <v>663</v>
      </c>
      <c r="B2" s="3" t="s">
        <v>664</v>
      </c>
      <c r="C2" s="4"/>
      <c r="D2" s="5"/>
    </row>
    <row r="3" spans="1:12">
      <c r="A3" s="3">
        <v>1.1000000000000001</v>
      </c>
      <c r="B3" s="3" t="s">
        <v>665</v>
      </c>
      <c r="C3" s="4" t="s">
        <v>63</v>
      </c>
      <c r="D3" s="5">
        <f>参数输入表!H13</f>
        <v>80</v>
      </c>
    </row>
    <row r="4" spans="1:12">
      <c r="A4" s="3">
        <v>1.2</v>
      </c>
      <c r="B4" s="3" t="s">
        <v>666</v>
      </c>
      <c r="C4" s="4" t="s">
        <v>667</v>
      </c>
      <c r="D4" s="2" t="s">
        <v>668</v>
      </c>
    </row>
    <row r="5" spans="1:12">
      <c r="A5" s="3">
        <v>2</v>
      </c>
      <c r="B5" s="3" t="s">
        <v>669</v>
      </c>
      <c r="C5" s="4"/>
      <c r="D5" s="5"/>
    </row>
    <row r="6" spans="1:12">
      <c r="A6" s="6">
        <v>2.1</v>
      </c>
      <c r="B6" s="6" t="s">
        <v>670</v>
      </c>
      <c r="C6" s="7" t="s">
        <v>67</v>
      </c>
      <c r="D6" s="8">
        <f>'表4-收入税金表'!D9/25*10</f>
        <v>29128.966066873701</v>
      </c>
    </row>
    <row r="7" spans="1:12">
      <c r="A7" s="3">
        <v>2.2000000000000002</v>
      </c>
      <c r="B7" s="6" t="s">
        <v>671</v>
      </c>
      <c r="C7" s="7" t="s">
        <v>67</v>
      </c>
      <c r="D7" s="8">
        <f>'表4-收入税金表'!D14/25*10</f>
        <v>59288.880006800297</v>
      </c>
    </row>
    <row r="8" spans="1:12">
      <c r="A8" s="3">
        <v>3</v>
      </c>
      <c r="B8" s="3" t="s">
        <v>672</v>
      </c>
      <c r="C8" s="4"/>
      <c r="D8" s="5"/>
    </row>
    <row r="9" spans="1:12">
      <c r="A9" s="6">
        <v>3.1</v>
      </c>
      <c r="B9" s="6" t="s">
        <v>673</v>
      </c>
      <c r="C9" s="7" t="s">
        <v>105</v>
      </c>
      <c r="D9" s="9">
        <f>'表4-收入税金表'!D8/'表4-收入税金表'!D9</f>
        <v>0.29203539823008801</v>
      </c>
    </row>
    <row r="10" spans="1:12">
      <c r="A10" s="6">
        <v>3.2</v>
      </c>
      <c r="B10" s="6" t="s">
        <v>674</v>
      </c>
      <c r="C10" s="7" t="s">
        <v>105</v>
      </c>
      <c r="D10" s="9">
        <f>'表4-收入税金表'!D13/'表4-收入税金表'!D14</f>
        <v>0.35398230088495503</v>
      </c>
    </row>
    <row r="11" spans="1:12">
      <c r="A11" s="3">
        <v>4</v>
      </c>
      <c r="B11" s="3" t="s">
        <v>675</v>
      </c>
      <c r="C11" s="4" t="s">
        <v>111</v>
      </c>
      <c r="D11" s="10">
        <f ca="1">'表1-资金筹措及还本付息表'!D6</f>
        <v>27323.100836986847</v>
      </c>
    </row>
    <row r="12" spans="1:12">
      <c r="A12" s="3">
        <v>5</v>
      </c>
      <c r="B12" s="6" t="s">
        <v>519</v>
      </c>
      <c r="C12" s="7" t="s">
        <v>111</v>
      </c>
      <c r="D12" s="11">
        <f>'表1-资金筹措及还本付息表'!D7</f>
        <v>26700</v>
      </c>
    </row>
    <row r="13" spans="1:12">
      <c r="A13" s="3">
        <v>6</v>
      </c>
      <c r="B13" s="3" t="s">
        <v>27</v>
      </c>
      <c r="C13" s="4" t="s">
        <v>111</v>
      </c>
      <c r="D13" s="10">
        <f ca="1">'表1-资金筹措及还本付息表'!D8</f>
        <v>383.1008369868473</v>
      </c>
    </row>
    <row r="14" spans="1:12">
      <c r="A14" s="3">
        <v>7</v>
      </c>
      <c r="B14" s="3" t="s">
        <v>29</v>
      </c>
      <c r="C14" s="4" t="s">
        <v>111</v>
      </c>
      <c r="D14" s="10">
        <f>'表1-资金筹措及还本付息表'!D9</f>
        <v>240</v>
      </c>
    </row>
    <row r="15" spans="1:12">
      <c r="A15" s="3">
        <v>8</v>
      </c>
      <c r="B15" s="3" t="s">
        <v>676</v>
      </c>
      <c r="C15" s="4" t="s">
        <v>111</v>
      </c>
      <c r="D15" s="10">
        <f>'表4-收入税金表'!D5</f>
        <v>73734.758417673598</v>
      </c>
      <c r="F15" s="12" t="s">
        <v>677</v>
      </c>
      <c r="G15" s="12"/>
      <c r="H15" s="12"/>
      <c r="I15" s="12"/>
      <c r="J15" s="12"/>
      <c r="K15" s="12"/>
      <c r="L15" s="12"/>
    </row>
    <row r="16" spans="1:12">
      <c r="A16" s="3">
        <v>9</v>
      </c>
      <c r="B16" s="3" t="s">
        <v>678</v>
      </c>
      <c r="C16" s="4" t="s">
        <v>111</v>
      </c>
      <c r="D16" s="10">
        <f ca="1">'表3-成本费用表'!D5</f>
        <v>46821.458344288614</v>
      </c>
    </row>
    <row r="17" spans="1:7">
      <c r="A17" s="3">
        <v>10</v>
      </c>
      <c r="B17" s="3" t="s">
        <v>679</v>
      </c>
      <c r="C17" s="4" t="s">
        <v>111</v>
      </c>
      <c r="D17" s="10">
        <f ca="1">'表4-收入税金表'!D46</f>
        <v>835.10742364844054</v>
      </c>
    </row>
    <row r="18" spans="1:7">
      <c r="A18" s="3">
        <v>11</v>
      </c>
      <c r="B18" s="3" t="s">
        <v>680</v>
      </c>
      <c r="C18" s="4" t="s">
        <v>111</v>
      </c>
      <c r="D18" s="10">
        <f ca="1">'表5-利润表-资本金'!D14</f>
        <v>26078.19264973648</v>
      </c>
    </row>
    <row r="19" spans="1:7">
      <c r="A19" s="3">
        <v>12</v>
      </c>
      <c r="B19" s="3" t="s">
        <v>681</v>
      </c>
      <c r="C19" s="4" t="s">
        <v>55</v>
      </c>
      <c r="D19" s="10">
        <f ca="1">'表8-现金流量表-全投资'!D29</f>
        <v>11.213687582321837</v>
      </c>
    </row>
    <row r="20" spans="1:7">
      <c r="A20" s="3">
        <v>13</v>
      </c>
      <c r="B20" s="3" t="s">
        <v>682</v>
      </c>
      <c r="C20" s="4" t="s">
        <v>55</v>
      </c>
      <c r="D20" s="10">
        <f ca="1">'表8-现金流量表-全投资'!D28</f>
        <v>12.240488877623296</v>
      </c>
    </row>
    <row r="21" spans="1:7">
      <c r="A21" s="3">
        <v>14</v>
      </c>
      <c r="B21" s="3" t="s">
        <v>683</v>
      </c>
      <c r="C21" s="4" t="s">
        <v>51</v>
      </c>
      <c r="D21" s="13">
        <f ca="1">'表8-现金流量表-全投资'!D26</f>
        <v>7.8979360475482707E-2</v>
      </c>
      <c r="E21" s="372" t="s">
        <v>684</v>
      </c>
      <c r="F21" s="372"/>
      <c r="G21" s="372"/>
    </row>
    <row r="22" spans="1:7">
      <c r="A22" s="3">
        <v>15</v>
      </c>
      <c r="B22" s="3" t="s">
        <v>685</v>
      </c>
      <c r="C22" s="4" t="s">
        <v>51</v>
      </c>
      <c r="D22" s="13">
        <f ca="1">'表8-现金流量表-全投资'!D27</f>
        <v>6.8172545929696016E-2</v>
      </c>
      <c r="E22" s="372"/>
      <c r="F22" s="372"/>
      <c r="G22" s="372"/>
    </row>
    <row r="23" spans="1:7">
      <c r="A23" s="3">
        <v>16</v>
      </c>
      <c r="B23" s="3" t="s">
        <v>686</v>
      </c>
      <c r="C23" s="4" t="s">
        <v>51</v>
      </c>
      <c r="D23" s="13">
        <f ca="1">'表6-现金流量表-资本金'!D34</f>
        <v>0.12140836823169421</v>
      </c>
      <c r="E23" s="372"/>
      <c r="F23" s="372"/>
      <c r="G23" s="372"/>
    </row>
    <row r="24" spans="1:7">
      <c r="A24" s="3">
        <v>17</v>
      </c>
      <c r="B24" s="3" t="s">
        <v>687</v>
      </c>
      <c r="C24" s="4" t="s">
        <v>51</v>
      </c>
      <c r="D24" s="14">
        <f ca="1">'表10-资产负债表'!C131</f>
        <v>0.79999999999999993</v>
      </c>
      <c r="E24" s="372"/>
      <c r="F24" s="372"/>
      <c r="G24" s="372"/>
    </row>
    <row r="25" spans="1:7">
      <c r="A25" s="3">
        <v>18</v>
      </c>
      <c r="B25" s="3" t="s">
        <v>688</v>
      </c>
      <c r="C25" s="4" t="s">
        <v>51</v>
      </c>
      <c r="D25" s="14">
        <f ca="1">D16/(D15-D17)</f>
        <v>0.64227273664350049</v>
      </c>
    </row>
  </sheetData>
  <mergeCells count="1">
    <mergeCell ref="E21:G24"/>
  </mergeCells>
  <phoneticPr fontId="51" type="noConversion"/>
  <pageMargins left="0.75" right="0.75" top="1" bottom="1" header="0.5" footer="0.5"/>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说明</vt:lpstr>
      <vt:lpstr>可抵扣进项税</vt:lpstr>
      <vt:lpstr>参数输入表</vt:lpstr>
      <vt:lpstr>表1-资金筹措及还本付息表</vt:lpstr>
      <vt:lpstr>表2-折旧摊销表</vt:lpstr>
      <vt:lpstr>表3-成本费用表</vt:lpstr>
      <vt:lpstr>表4-收入税金表</vt:lpstr>
      <vt:lpstr>表5-利润表-资本金</vt:lpstr>
      <vt:lpstr>表6-现金流量表-资本金</vt:lpstr>
      <vt:lpstr>表7-利润表-全投资</vt:lpstr>
      <vt:lpstr>表8-现金流量表-全投资</vt:lpstr>
      <vt:lpstr>表9-现金流量表-财务计划</vt:lpstr>
      <vt:lpstr>表10-资产负债表</vt:lpstr>
      <vt:lpstr>财务指标表</vt:lpstr>
    </vt:vector>
  </TitlesOfParts>
  <Company>神州网信技术有限公司</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2023-08-01T06:25:00Z</dcterms:created>
  <dcterms:modified xsi:type="dcterms:W3CDTF">2026-06-03T10:45:51Z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40C12C0F4CFC466E8651A578D09A4BA7_13</vt:lpwstr>
  </property>
  <property fmtid="{D5CDD505-2E9C-101B-9397-08002B2CF9AE}" pid="3" name="KSOProductBuildVer">
    <vt:lpwstr>2052-12.1.0.23542</vt:lpwstr>
  </property>
</Properties>
</file>