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5" lowestEdited="5" rupBuild="9302"/>
  <workbookPr/>
  <bookViews>
    <workbookView xWindow="0" yWindow="0" windowWidth="18350" windowHeight="7020" tabRatio="935" firstSheet="7" activeTab="13"/>
  </bookViews>
  <sheets>
    <sheet name="说明" sheetId="13" r:id="rId1"/>
    <sheet name="可抵扣进项税" sheetId="5" state="hidden" r:id="rId2"/>
    <sheet name="参数输入表" sheetId="2" r:id="rId3"/>
    <sheet name="表1-资金筹措及还本付息表" sheetId="3" r:id="rId4"/>
    <sheet name="表2-折旧摊销表" sheetId="4" r:id="rId5"/>
    <sheet name="表3-成本费用表" sheetId="6" r:id="rId6"/>
    <sheet name="表4-收入税金表" sheetId="7" r:id="rId7"/>
    <sheet name="表5-利润表-资本金" sheetId="8" r:id="rId8"/>
    <sheet name="表6-现金流量表-资本金" sheetId="10" r:id="rId9"/>
    <sheet name="表7-利润表-全投资" sheetId="12" r:id="rId10"/>
    <sheet name="表8-现金流量表-全投资" sheetId="9" r:id="rId11"/>
    <sheet name="表9-现金流量表-财务计划" sheetId="11" r:id="rId12"/>
    <sheet name="表10-资产负债表" sheetId="14" r:id="rId13"/>
    <sheet name="财务指标表" sheetId="15" r:id="rId14"/>
  </sheets>
  <externalReferences>
    <externalReference r:id="rId15"/>
    <externalReference r:id="rId16"/>
    <externalReference r:id="rId17"/>
    <externalReference r:id="rId18"/>
  </externalReferences>
  <definedNames>
    <definedName name="____________PH1">'[1]SW-TEO'!#REF!</definedName>
  </definedNames>
  <calcPr calcId="144525" iterate="1" iterateCount="32767"/>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616" i="2" l="1"/>
  <c r="H615" i="2"/>
  <c r="H614" i="2"/>
  <c r="H613" i="2"/>
  <c r="H612" i="2"/>
  <c r="H611" i="2"/>
  <c r="H610" i="2"/>
  <c r="H609" i="2"/>
  <c r="H608" i="2"/>
  <c r="H607" i="2"/>
  <c r="H606" i="2"/>
  <c r="H605" i="2"/>
  <c r="H604" i="2"/>
  <c r="H603" i="2"/>
  <c r="H602" i="2"/>
  <c r="H601" i="2"/>
  <c r="H599" i="2"/>
  <c r="H600" i="2"/>
  <c r="H598" i="2"/>
  <c r="H597" i="2"/>
  <c r="H56" i="2"/>
  <c r="H35" i="2"/>
  <c r="H561" i="2"/>
  <c r="H525" i="2"/>
  <c r="H489" i="2"/>
  <c r="H453" i="2"/>
  <c r="H78" i="2"/>
  <c r="H79" i="2"/>
  <c r="H80" i="2"/>
  <c r="H81" i="2"/>
  <c r="H82" i="2"/>
  <c r="H83" i="2"/>
  <c r="H84" i="2"/>
  <c r="H85" i="2"/>
  <c r="H86" i="2"/>
  <c r="H87" i="2"/>
  <c r="H88" i="2"/>
  <c r="H89" i="2"/>
  <c r="H90" i="2"/>
  <c r="H91" i="2"/>
  <c r="H92" i="2"/>
  <c r="H93" i="2"/>
  <c r="H94" i="2"/>
  <c r="H95" i="2"/>
  <c r="H96" i="2"/>
  <c r="H77" i="2"/>
  <c r="H57" i="2"/>
  <c r="H58" i="2"/>
  <c r="H59" i="2"/>
  <c r="H60" i="2"/>
  <c r="H61" i="2"/>
  <c r="H62" i="2"/>
  <c r="H63" i="2"/>
  <c r="H64" i="2"/>
  <c r="H65" i="2"/>
  <c r="H66" i="2"/>
  <c r="H67" i="2"/>
  <c r="H68" i="2"/>
  <c r="H69" i="2"/>
  <c r="H70" i="2"/>
  <c r="H71" i="2"/>
  <c r="H72" i="2"/>
  <c r="H73" i="2"/>
  <c r="H74" i="2"/>
  <c r="H75" i="2"/>
  <c r="H36" i="2"/>
  <c r="H426" i="2" s="1"/>
  <c r="H37" i="2"/>
  <c r="H435" i="2" s="1"/>
  <c r="H38" i="2"/>
  <c r="H444" i="2" s="1"/>
  <c r="H39" i="2"/>
  <c r="H40" i="2"/>
  <c r="H462" i="2" s="1"/>
  <c r="H41" i="2"/>
  <c r="H471" i="2" s="1"/>
  <c r="H42" i="2"/>
  <c r="H480" i="2" s="1"/>
  <c r="H43" i="2"/>
  <c r="H44" i="2"/>
  <c r="H498" i="2" s="1"/>
  <c r="H45" i="2"/>
  <c r="H507" i="2" s="1"/>
  <c r="H46" i="2"/>
  <c r="H516" i="2" s="1"/>
  <c r="H47" i="2"/>
  <c r="H48" i="2"/>
  <c r="H534" i="2" s="1"/>
  <c r="H49" i="2"/>
  <c r="H543" i="2" s="1"/>
  <c r="H50" i="2"/>
  <c r="H552" i="2" s="1"/>
  <c r="H51" i="2"/>
  <c r="H52" i="2"/>
  <c r="H570" i="2" s="1"/>
  <c r="H53" i="2"/>
  <c r="H579" i="2" s="1"/>
  <c r="H54" i="2"/>
  <c r="H588" i="2" s="1"/>
  <c r="H417" i="2" l="1"/>
  <c r="D9" i="15"/>
  <c r="D5" i="15"/>
  <c r="D4" i="15"/>
  <c r="D3" i="15"/>
  <c r="F124" i="14"/>
  <c r="F117" i="14"/>
  <c r="E117" i="14"/>
  <c r="Z88" i="14"/>
  <c r="Y88" i="14"/>
  <c r="X88" i="14"/>
  <c r="W88" i="14"/>
  <c r="V88" i="14"/>
  <c r="F59" i="14"/>
  <c r="E59" i="14"/>
  <c r="F58" i="14"/>
  <c r="E58" i="14"/>
  <c r="F42" i="14"/>
  <c r="Z30" i="14"/>
  <c r="Y30" i="14"/>
  <c r="X30" i="14"/>
  <c r="W30" i="14"/>
  <c r="V30" i="14"/>
  <c r="U30" i="14"/>
  <c r="T30" i="14"/>
  <c r="S30" i="14"/>
  <c r="R30" i="14"/>
  <c r="Q30" i="14"/>
  <c r="P30" i="14"/>
  <c r="O30" i="14"/>
  <c r="N30" i="14"/>
  <c r="M30" i="14"/>
  <c r="L30" i="14"/>
  <c r="K30" i="14"/>
  <c r="J30" i="14"/>
  <c r="I30" i="14"/>
  <c r="H30" i="14"/>
  <c r="Z24" i="14"/>
  <c r="Y24" i="14"/>
  <c r="X24" i="14"/>
  <c r="W24" i="14"/>
  <c r="V24" i="14"/>
  <c r="U24" i="14"/>
  <c r="T24" i="14"/>
  <c r="S24" i="14"/>
  <c r="R24" i="14"/>
  <c r="Q24" i="14"/>
  <c r="P24" i="14"/>
  <c r="O24" i="14"/>
  <c r="N24" i="14"/>
  <c r="M24" i="14"/>
  <c r="L24" i="14"/>
  <c r="K24" i="14"/>
  <c r="J24" i="14"/>
  <c r="I24" i="14"/>
  <c r="H24" i="14"/>
  <c r="G24" i="14"/>
  <c r="F24" i="14"/>
  <c r="E24" i="14"/>
  <c r="Z21" i="14"/>
  <c r="Y21" i="14"/>
  <c r="X21" i="14"/>
  <c r="W21" i="14"/>
  <c r="V21" i="14"/>
  <c r="U21" i="14"/>
  <c r="T21" i="14"/>
  <c r="S21" i="14"/>
  <c r="R21" i="14"/>
  <c r="Q21" i="14"/>
  <c r="P21" i="14"/>
  <c r="O21" i="14"/>
  <c r="N21" i="14"/>
  <c r="M21" i="14"/>
  <c r="L21" i="14"/>
  <c r="K21" i="14"/>
  <c r="J21" i="14"/>
  <c r="I21" i="14"/>
  <c r="H21" i="14"/>
  <c r="G21" i="14"/>
  <c r="F21" i="14"/>
  <c r="AA42" i="11"/>
  <c r="Z42" i="11"/>
  <c r="Y42" i="11"/>
  <c r="X42" i="11"/>
  <c r="W42" i="11"/>
  <c r="V42" i="11"/>
  <c r="U42" i="11"/>
  <c r="T42" i="11"/>
  <c r="S42" i="11"/>
  <c r="R42" i="11"/>
  <c r="Q42" i="11"/>
  <c r="P42" i="11"/>
  <c r="O42" i="11"/>
  <c r="N42" i="11"/>
  <c r="M42" i="11"/>
  <c r="L42" i="11"/>
  <c r="K42" i="11"/>
  <c r="J42" i="11"/>
  <c r="I42" i="11"/>
  <c r="H42" i="11"/>
  <c r="Z30" i="11"/>
  <c r="Y30" i="11"/>
  <c r="X30" i="11"/>
  <c r="W30" i="11"/>
  <c r="AA28" i="11"/>
  <c r="Z28" i="11"/>
  <c r="Y28" i="11"/>
  <c r="X28" i="11"/>
  <c r="W28" i="11"/>
  <c r="V28" i="11"/>
  <c r="U28" i="11"/>
  <c r="T28" i="11"/>
  <c r="S28" i="11"/>
  <c r="R28" i="11"/>
  <c r="Q28" i="11"/>
  <c r="P28" i="11"/>
  <c r="O28" i="11"/>
  <c r="N28" i="11"/>
  <c r="M28" i="11"/>
  <c r="L28" i="11"/>
  <c r="K28" i="11"/>
  <c r="J28" i="11"/>
  <c r="I28" i="11"/>
  <c r="H28" i="11"/>
  <c r="G28" i="11"/>
  <c r="F28" i="11"/>
  <c r="D28" i="11"/>
  <c r="AA27" i="11"/>
  <c r="Z27" i="11"/>
  <c r="Y27" i="11"/>
  <c r="X27" i="11"/>
  <c r="W27" i="11"/>
  <c r="V27" i="11"/>
  <c r="U27" i="11"/>
  <c r="T27" i="11"/>
  <c r="S27" i="11"/>
  <c r="R27" i="11"/>
  <c r="Q27" i="11"/>
  <c r="P27" i="11"/>
  <c r="O27" i="11"/>
  <c r="N27" i="11"/>
  <c r="M27" i="11"/>
  <c r="L27" i="11"/>
  <c r="K27" i="11"/>
  <c r="J27" i="11"/>
  <c r="I27" i="11"/>
  <c r="G27" i="11"/>
  <c r="F27" i="11"/>
  <c r="AA26" i="11"/>
  <c r="Z26" i="11"/>
  <c r="Y26" i="11"/>
  <c r="X26" i="11"/>
  <c r="W26" i="11"/>
  <c r="V26" i="11"/>
  <c r="U26" i="11"/>
  <c r="T26" i="11"/>
  <c r="S26" i="11"/>
  <c r="R26" i="11"/>
  <c r="Q26" i="11"/>
  <c r="P26" i="11"/>
  <c r="O26" i="11"/>
  <c r="N26" i="11"/>
  <c r="M26" i="11"/>
  <c r="L26" i="11"/>
  <c r="K26" i="11"/>
  <c r="J26" i="11"/>
  <c r="I26" i="11"/>
  <c r="H26" i="11"/>
  <c r="AA24" i="11"/>
  <c r="Z24" i="11"/>
  <c r="Y24" i="11"/>
  <c r="X24" i="11"/>
  <c r="W24" i="11"/>
  <c r="V24" i="11"/>
  <c r="U24" i="11"/>
  <c r="T24" i="11"/>
  <c r="S24" i="11"/>
  <c r="R24" i="11"/>
  <c r="Q24" i="11"/>
  <c r="P24" i="11"/>
  <c r="O24" i="11"/>
  <c r="N24" i="11"/>
  <c r="M24" i="11"/>
  <c r="L24" i="11"/>
  <c r="K24" i="11"/>
  <c r="J24" i="11"/>
  <c r="I24" i="11"/>
  <c r="AA22" i="11"/>
  <c r="Z22" i="11"/>
  <c r="Y22" i="11"/>
  <c r="X22" i="11"/>
  <c r="W22" i="11"/>
  <c r="V22" i="11"/>
  <c r="U22" i="11"/>
  <c r="T22" i="11"/>
  <c r="S22" i="11"/>
  <c r="R22" i="11"/>
  <c r="Q22" i="11"/>
  <c r="P22" i="11"/>
  <c r="O22" i="11"/>
  <c r="N22" i="11"/>
  <c r="M22" i="11"/>
  <c r="L22" i="11"/>
  <c r="K22" i="11"/>
  <c r="J22" i="11"/>
  <c r="I22" i="11"/>
  <c r="H22" i="11"/>
  <c r="D22" i="11" s="1"/>
  <c r="H21" i="11"/>
  <c r="D21" i="11"/>
  <c r="AA19" i="11"/>
  <c r="Z19" i="11"/>
  <c r="Y19" i="11"/>
  <c r="X19" i="11"/>
  <c r="W19" i="11"/>
  <c r="V19" i="11"/>
  <c r="U19" i="11"/>
  <c r="T19" i="11"/>
  <c r="S19" i="11"/>
  <c r="R19" i="11"/>
  <c r="Q19" i="11"/>
  <c r="P19" i="11"/>
  <c r="O19" i="11"/>
  <c r="N19" i="11"/>
  <c r="M19" i="11"/>
  <c r="L19" i="11"/>
  <c r="K19" i="11"/>
  <c r="J19" i="11"/>
  <c r="I19" i="11"/>
  <c r="H19" i="11"/>
  <c r="D18" i="11"/>
  <c r="AA17" i="11"/>
  <c r="Z17" i="11"/>
  <c r="Y17" i="11"/>
  <c r="X17" i="11"/>
  <c r="W17" i="11"/>
  <c r="V17" i="11"/>
  <c r="U17" i="11"/>
  <c r="T17" i="11"/>
  <c r="S17" i="11"/>
  <c r="R17" i="11"/>
  <c r="Q17" i="11"/>
  <c r="P17" i="11"/>
  <c r="O17" i="11"/>
  <c r="N17" i="11"/>
  <c r="M17" i="11"/>
  <c r="L17" i="11"/>
  <c r="K17" i="11"/>
  <c r="J17" i="11"/>
  <c r="I17" i="11"/>
  <c r="H17" i="11"/>
  <c r="G12" i="11"/>
  <c r="F12" i="11"/>
  <c r="H10" i="11"/>
  <c r="D10" i="11" s="1"/>
  <c r="D9" i="11"/>
  <c r="G6" i="11"/>
  <c r="F6" i="11"/>
  <c r="G5" i="11"/>
  <c r="F5" i="11"/>
  <c r="E46" i="9"/>
  <c r="AA19" i="9"/>
  <c r="Z19" i="9"/>
  <c r="Y19" i="9"/>
  <c r="X19" i="9"/>
  <c r="W19" i="9"/>
  <c r="V19" i="9"/>
  <c r="U19" i="9"/>
  <c r="T19" i="9"/>
  <c r="S19" i="9"/>
  <c r="R19" i="9"/>
  <c r="Q19" i="9"/>
  <c r="P19" i="9"/>
  <c r="O19" i="9"/>
  <c r="N19" i="9"/>
  <c r="M19" i="9"/>
  <c r="L19" i="9"/>
  <c r="K19" i="9"/>
  <c r="J19" i="9"/>
  <c r="I19" i="9"/>
  <c r="H19" i="9"/>
  <c r="D19" i="9" s="1"/>
  <c r="H14" i="9"/>
  <c r="D14" i="9" s="1"/>
  <c r="AA10" i="9"/>
  <c r="D10" i="9" s="1"/>
  <c r="H8" i="9"/>
  <c r="D8" i="9" s="1"/>
  <c r="G5" i="9"/>
  <c r="F5" i="9"/>
  <c r="H24" i="12"/>
  <c r="H15" i="12"/>
  <c r="AA26" i="10"/>
  <c r="Z26" i="10"/>
  <c r="Y26" i="10"/>
  <c r="X26" i="10"/>
  <c r="W26" i="10"/>
  <c r="V26" i="10"/>
  <c r="U26" i="10"/>
  <c r="T26" i="10"/>
  <c r="S26" i="10"/>
  <c r="R26" i="10"/>
  <c r="Q26" i="10"/>
  <c r="P26" i="10"/>
  <c r="O26" i="10"/>
  <c r="N26" i="10"/>
  <c r="M26" i="10"/>
  <c r="L26" i="10"/>
  <c r="K26" i="10"/>
  <c r="J26" i="10"/>
  <c r="I26" i="10"/>
  <c r="H26" i="10"/>
  <c r="D26" i="10"/>
  <c r="Z20" i="10"/>
  <c r="Y20" i="10"/>
  <c r="X20" i="10"/>
  <c r="W20" i="10"/>
  <c r="V20" i="10"/>
  <c r="U20" i="10"/>
  <c r="T20" i="10"/>
  <c r="S20" i="10"/>
  <c r="R20" i="10"/>
  <c r="Q20" i="10"/>
  <c r="P20" i="10"/>
  <c r="O20" i="10"/>
  <c r="N20" i="10"/>
  <c r="M20" i="10"/>
  <c r="L20" i="10"/>
  <c r="K20" i="10"/>
  <c r="J20" i="10"/>
  <c r="I20" i="10"/>
  <c r="H20" i="10"/>
  <c r="AA19" i="10"/>
  <c r="Z19" i="10"/>
  <c r="Y19" i="10"/>
  <c r="X19" i="10"/>
  <c r="W19" i="10"/>
  <c r="H9" i="10"/>
  <c r="D9" i="10"/>
  <c r="H24" i="8"/>
  <c r="H15" i="8"/>
  <c r="AA11" i="8"/>
  <c r="AA11" i="12" s="1"/>
  <c r="Z11" i="8"/>
  <c r="Z11" i="12" s="1"/>
  <c r="Y11" i="8"/>
  <c r="Y11" i="12" s="1"/>
  <c r="X11" i="8"/>
  <c r="X11" i="12" s="1"/>
  <c r="W11" i="8"/>
  <c r="W11" i="12" s="1"/>
  <c r="V11" i="8"/>
  <c r="V11" i="12" s="1"/>
  <c r="U11" i="8"/>
  <c r="U11" i="12" s="1"/>
  <c r="T11" i="8"/>
  <c r="T11" i="12" s="1"/>
  <c r="S11" i="8"/>
  <c r="S11" i="12" s="1"/>
  <c r="R11" i="8"/>
  <c r="R11" i="12" s="1"/>
  <c r="Q11" i="8"/>
  <c r="Q11" i="12" s="1"/>
  <c r="P11" i="8"/>
  <c r="P11" i="12" s="1"/>
  <c r="O11" i="8"/>
  <c r="O11" i="12" s="1"/>
  <c r="N11" i="8"/>
  <c r="N11" i="12" s="1"/>
  <c r="M11" i="8"/>
  <c r="M11" i="12" s="1"/>
  <c r="L11" i="8"/>
  <c r="L11" i="12" s="1"/>
  <c r="K11" i="8"/>
  <c r="K11" i="12" s="1"/>
  <c r="J11" i="8"/>
  <c r="J11" i="12" s="1"/>
  <c r="I11" i="8"/>
  <c r="I11" i="12" s="1"/>
  <c r="H11" i="8"/>
  <c r="H11" i="12" s="1"/>
  <c r="D11" i="8"/>
  <c r="G62" i="7"/>
  <c r="F62" i="7"/>
  <c r="G61" i="7"/>
  <c r="F61" i="7"/>
  <c r="AA58" i="7"/>
  <c r="Z58" i="7"/>
  <c r="Y58" i="7"/>
  <c r="X58" i="7"/>
  <c r="W58" i="7"/>
  <c r="V58" i="7"/>
  <c r="U58" i="7"/>
  <c r="T58" i="7"/>
  <c r="S58" i="7"/>
  <c r="R58" i="7"/>
  <c r="Q58" i="7"/>
  <c r="P58" i="7"/>
  <c r="O58" i="7"/>
  <c r="N58" i="7"/>
  <c r="M58" i="7"/>
  <c r="L58" i="7"/>
  <c r="K58" i="7"/>
  <c r="J58" i="7"/>
  <c r="I58" i="7"/>
  <c r="H58" i="7"/>
  <c r="G58" i="7"/>
  <c r="F58" i="7"/>
  <c r="G53" i="7"/>
  <c r="F53" i="7"/>
  <c r="AA44" i="7"/>
  <c r="Z44" i="7"/>
  <c r="Y44" i="7"/>
  <c r="X44" i="7"/>
  <c r="W44" i="7"/>
  <c r="V44" i="7"/>
  <c r="U44" i="7"/>
  <c r="T44" i="7"/>
  <c r="S44" i="7"/>
  <c r="R44" i="7"/>
  <c r="Q44" i="7"/>
  <c r="P44" i="7"/>
  <c r="O44" i="7"/>
  <c r="N44" i="7"/>
  <c r="M44" i="7"/>
  <c r="L44" i="7"/>
  <c r="K44" i="7"/>
  <c r="J44" i="7"/>
  <c r="I44" i="7"/>
  <c r="H44" i="7"/>
  <c r="D44" i="7"/>
  <c r="AA37" i="7"/>
  <c r="Z37" i="7"/>
  <c r="Y37" i="7"/>
  <c r="X37" i="7"/>
  <c r="W37" i="7"/>
  <c r="V37" i="7"/>
  <c r="U37" i="7"/>
  <c r="T37" i="7"/>
  <c r="S37" i="7"/>
  <c r="R37" i="7"/>
  <c r="Q37" i="7"/>
  <c r="P37" i="7"/>
  <c r="O37" i="7"/>
  <c r="N37" i="7"/>
  <c r="M37" i="7"/>
  <c r="L37" i="7"/>
  <c r="K37" i="7"/>
  <c r="J37" i="7"/>
  <c r="I37" i="7"/>
  <c r="H37" i="7"/>
  <c r="D37" i="7" s="1"/>
  <c r="D35" i="7"/>
  <c r="Z34" i="7"/>
  <c r="Y34" i="7"/>
  <c r="X34" i="7"/>
  <c r="W34" i="7"/>
  <c r="V34" i="7"/>
  <c r="U34" i="7"/>
  <c r="T34" i="7"/>
  <c r="S34" i="7"/>
  <c r="R34" i="7"/>
  <c r="Q34" i="7"/>
  <c r="P34" i="7"/>
  <c r="O34" i="7"/>
  <c r="N34" i="7"/>
  <c r="M34" i="7"/>
  <c r="L34" i="7"/>
  <c r="K34" i="7"/>
  <c r="J34" i="7"/>
  <c r="I34" i="7"/>
  <c r="H34" i="7"/>
  <c r="D31" i="7"/>
  <c r="G22" i="7"/>
  <c r="F22" i="7"/>
  <c r="G21" i="7"/>
  <c r="G20" i="7" s="1"/>
  <c r="F21" i="7"/>
  <c r="F20" i="7" s="1"/>
  <c r="G17" i="7"/>
  <c r="F17" i="7"/>
  <c r="H12" i="7"/>
  <c r="D12" i="7" s="1"/>
  <c r="AA10" i="7"/>
  <c r="Z10" i="7"/>
  <c r="Y10" i="7"/>
  <c r="X10" i="7"/>
  <c r="W10" i="7"/>
  <c r="V10" i="7"/>
  <c r="U10" i="7"/>
  <c r="T10" i="7"/>
  <c r="S10" i="7"/>
  <c r="R10" i="7"/>
  <c r="Q10" i="7"/>
  <c r="P10" i="7"/>
  <c r="O10" i="7"/>
  <c r="N10" i="7"/>
  <c r="M10" i="7"/>
  <c r="L10" i="7"/>
  <c r="K10" i="7"/>
  <c r="J10" i="7"/>
  <c r="I10" i="7"/>
  <c r="H10" i="7"/>
  <c r="AA9" i="7"/>
  <c r="Z9" i="7"/>
  <c r="Y9" i="7"/>
  <c r="X9" i="7"/>
  <c r="W9" i="7"/>
  <c r="V9" i="7"/>
  <c r="U9" i="7"/>
  <c r="T9" i="7"/>
  <c r="S9" i="7"/>
  <c r="R9" i="7"/>
  <c r="Q9" i="7"/>
  <c r="P9" i="7"/>
  <c r="O9" i="7"/>
  <c r="N9" i="7"/>
  <c r="M9" i="7"/>
  <c r="L9" i="7"/>
  <c r="K9" i="7"/>
  <c r="J9" i="7"/>
  <c r="I9" i="7"/>
  <c r="H9" i="7"/>
  <c r="D9" i="7" s="1"/>
  <c r="AA8" i="7"/>
  <c r="Z8" i="7"/>
  <c r="Y8" i="7"/>
  <c r="X8" i="7"/>
  <c r="W8" i="7"/>
  <c r="V8" i="7"/>
  <c r="U8" i="7"/>
  <c r="T8" i="7"/>
  <c r="S8" i="7"/>
  <c r="R8" i="7"/>
  <c r="Q8" i="7"/>
  <c r="P8" i="7"/>
  <c r="O8" i="7"/>
  <c r="N8" i="7"/>
  <c r="M8" i="7"/>
  <c r="L8" i="7"/>
  <c r="K8" i="7"/>
  <c r="J8" i="7"/>
  <c r="I8" i="7"/>
  <c r="H8" i="7"/>
  <c r="AA7" i="7"/>
  <c r="Z7" i="7"/>
  <c r="Y7" i="7"/>
  <c r="Y6" i="7" s="1"/>
  <c r="Y5" i="7" s="1"/>
  <c r="Y6" i="12" s="1"/>
  <c r="X7" i="7"/>
  <c r="W7" i="7"/>
  <c r="V7" i="7"/>
  <c r="U7" i="7"/>
  <c r="U6" i="7" s="1"/>
  <c r="U5" i="7" s="1"/>
  <c r="U6" i="12" s="1"/>
  <c r="T7" i="7"/>
  <c r="S7" i="7"/>
  <c r="R7" i="7"/>
  <c r="Q7" i="7"/>
  <c r="Q6" i="7" s="1"/>
  <c r="Q5" i="7" s="1"/>
  <c r="Q6" i="12" s="1"/>
  <c r="P7" i="7"/>
  <c r="O7" i="7"/>
  <c r="N7" i="7"/>
  <c r="M7" i="7"/>
  <c r="M6" i="7" s="1"/>
  <c r="M5" i="7" s="1"/>
  <c r="M6" i="12" s="1"/>
  <c r="L7" i="7"/>
  <c r="K7" i="7"/>
  <c r="J7" i="7"/>
  <c r="I7" i="7"/>
  <c r="I6" i="7" s="1"/>
  <c r="I5" i="7" s="1"/>
  <c r="I6" i="12" s="1"/>
  <c r="H7" i="7"/>
  <c r="G7" i="7" s="1"/>
  <c r="AA6" i="7"/>
  <c r="Z6" i="7"/>
  <c r="X6" i="7"/>
  <c r="X5" i="7" s="1"/>
  <c r="X6" i="12" s="1"/>
  <c r="W6" i="7"/>
  <c r="V6" i="7"/>
  <c r="V5" i="7" s="1"/>
  <c r="V6" i="12" s="1"/>
  <c r="T6" i="7"/>
  <c r="T5" i="7" s="1"/>
  <c r="T6" i="12" s="1"/>
  <c r="S6" i="7"/>
  <c r="R6" i="7"/>
  <c r="R5" i="7" s="1"/>
  <c r="R6" i="12" s="1"/>
  <c r="P6" i="7"/>
  <c r="P5" i="7" s="1"/>
  <c r="P6" i="12" s="1"/>
  <c r="O6" i="7"/>
  <c r="N6" i="7"/>
  <c r="N5" i="7" s="1"/>
  <c r="N6" i="12" s="1"/>
  <c r="L6" i="7"/>
  <c r="L5" i="7" s="1"/>
  <c r="L6" i="12" s="1"/>
  <c r="K6" i="7"/>
  <c r="J6" i="7"/>
  <c r="H6" i="7"/>
  <c r="AA5" i="7"/>
  <c r="AA6" i="12" s="1"/>
  <c r="Z5" i="7"/>
  <c r="Z6" i="12" s="1"/>
  <c r="W5" i="7"/>
  <c r="W6" i="12" s="1"/>
  <c r="S5" i="7"/>
  <c r="S6" i="12" s="1"/>
  <c r="O5" i="7"/>
  <c r="O6" i="12" s="1"/>
  <c r="K5" i="7"/>
  <c r="K6" i="12" s="1"/>
  <c r="J5" i="7"/>
  <c r="J6" i="12" s="1"/>
  <c r="AA62" i="6"/>
  <c r="Z62" i="6"/>
  <c r="Y62" i="6"/>
  <c r="X62" i="6"/>
  <c r="W62" i="6"/>
  <c r="V62" i="6"/>
  <c r="U62" i="6"/>
  <c r="T62" i="6"/>
  <c r="S62" i="6"/>
  <c r="R62" i="6"/>
  <c r="Q62" i="6"/>
  <c r="P62" i="6"/>
  <c r="O62" i="6"/>
  <c r="N62" i="6"/>
  <c r="M62" i="6"/>
  <c r="L62" i="6"/>
  <c r="K62" i="6"/>
  <c r="J62" i="6"/>
  <c r="I62" i="6"/>
  <c r="H62" i="6"/>
  <c r="D61" i="6"/>
  <c r="D57" i="6"/>
  <c r="AA53" i="6"/>
  <c r="AA30" i="7" s="1"/>
  <c r="Z53" i="6"/>
  <c r="Z30" i="7" s="1"/>
  <c r="Y53" i="6"/>
  <c r="Y30" i="7" s="1"/>
  <c r="X53" i="6"/>
  <c r="X30" i="7" s="1"/>
  <c r="W53" i="6"/>
  <c r="W30" i="7" s="1"/>
  <c r="V53" i="6"/>
  <c r="V30" i="7" s="1"/>
  <c r="U53" i="6"/>
  <c r="U30" i="7" s="1"/>
  <c r="T53" i="6"/>
  <c r="T30" i="7" s="1"/>
  <c r="S53" i="6"/>
  <c r="S30" i="7" s="1"/>
  <c r="R53" i="6"/>
  <c r="R30" i="7" s="1"/>
  <c r="Q53" i="6"/>
  <c r="Q30" i="7" s="1"/>
  <c r="P53" i="6"/>
  <c r="P30" i="7" s="1"/>
  <c r="O53" i="6"/>
  <c r="O30" i="7" s="1"/>
  <c r="N53" i="6"/>
  <c r="N30" i="7" s="1"/>
  <c r="M53" i="6"/>
  <c r="M30" i="7" s="1"/>
  <c r="L53" i="6"/>
  <c r="L30" i="7" s="1"/>
  <c r="K53" i="6"/>
  <c r="K30" i="7" s="1"/>
  <c r="J53" i="6"/>
  <c r="J30" i="7" s="1"/>
  <c r="I53" i="6"/>
  <c r="I30" i="7" s="1"/>
  <c r="H53" i="6"/>
  <c r="H30" i="7" s="1"/>
  <c r="AA52" i="6"/>
  <c r="AA26" i="7" s="1"/>
  <c r="Z52" i="6"/>
  <c r="Z26" i="7" s="1"/>
  <c r="Y52" i="6"/>
  <c r="Y26" i="7" s="1"/>
  <c r="X52" i="6"/>
  <c r="X26" i="7" s="1"/>
  <c r="W52" i="6"/>
  <c r="W26" i="7" s="1"/>
  <c r="V52" i="6"/>
  <c r="V26" i="7" s="1"/>
  <c r="U52" i="6"/>
  <c r="U26" i="7" s="1"/>
  <c r="T52" i="6"/>
  <c r="T26" i="7" s="1"/>
  <c r="S52" i="6"/>
  <c r="S26" i="7" s="1"/>
  <c r="R52" i="6"/>
  <c r="R26" i="7" s="1"/>
  <c r="Q52" i="6"/>
  <c r="Q26" i="7" s="1"/>
  <c r="P52" i="6"/>
  <c r="P26" i="7" s="1"/>
  <c r="O52" i="6"/>
  <c r="O26" i="7" s="1"/>
  <c r="N52" i="6"/>
  <c r="N26" i="7" s="1"/>
  <c r="M52" i="6"/>
  <c r="M26" i="7" s="1"/>
  <c r="L52" i="6"/>
  <c r="L26" i="7" s="1"/>
  <c r="K52" i="6"/>
  <c r="K26" i="7" s="1"/>
  <c r="J52" i="6"/>
  <c r="J26" i="7" s="1"/>
  <c r="I52" i="6"/>
  <c r="I26" i="7" s="1"/>
  <c r="H52" i="6"/>
  <c r="H26" i="7" s="1"/>
  <c r="AA44" i="6"/>
  <c r="Z44" i="6"/>
  <c r="Y44" i="6"/>
  <c r="X44" i="6"/>
  <c r="W44" i="6"/>
  <c r="V44" i="6"/>
  <c r="U44" i="6"/>
  <c r="T44" i="6"/>
  <c r="S44" i="6"/>
  <c r="R44" i="6"/>
  <c r="Q44" i="6"/>
  <c r="P44" i="6"/>
  <c r="O44" i="6"/>
  <c r="N44" i="6"/>
  <c r="M44" i="6"/>
  <c r="L44" i="6"/>
  <c r="K44" i="6"/>
  <c r="J44" i="6"/>
  <c r="I44" i="6"/>
  <c r="H44" i="6"/>
  <c r="D44" i="6" s="1"/>
  <c r="D43" i="6"/>
  <c r="D39" i="6"/>
  <c r="AA33" i="6"/>
  <c r="Z33" i="6"/>
  <c r="Y33" i="6"/>
  <c r="X33" i="6"/>
  <c r="W33" i="6"/>
  <c r="V33" i="6"/>
  <c r="U33" i="6"/>
  <c r="T33" i="6"/>
  <c r="S33" i="6"/>
  <c r="R33" i="6"/>
  <c r="Q33" i="6"/>
  <c r="P33" i="6"/>
  <c r="O33" i="6"/>
  <c r="N33" i="6"/>
  <c r="M33" i="6"/>
  <c r="L33" i="6"/>
  <c r="K33" i="6"/>
  <c r="J33" i="6"/>
  <c r="I33" i="6"/>
  <c r="H33" i="6"/>
  <c r="AA24" i="6"/>
  <c r="Z24" i="6"/>
  <c r="Y24" i="6"/>
  <c r="X24" i="6"/>
  <c r="W24" i="6"/>
  <c r="V24" i="6"/>
  <c r="U24" i="6"/>
  <c r="T24" i="6"/>
  <c r="S24" i="6"/>
  <c r="R24" i="6"/>
  <c r="Q24" i="6"/>
  <c r="P24" i="6"/>
  <c r="O24" i="6"/>
  <c r="N24" i="6"/>
  <c r="M24" i="6"/>
  <c r="L24" i="6"/>
  <c r="K24" i="6"/>
  <c r="J24" i="6"/>
  <c r="I24" i="6"/>
  <c r="H24" i="6"/>
  <c r="AA21" i="6"/>
  <c r="Z21" i="6"/>
  <c r="Y21" i="6"/>
  <c r="X21" i="6"/>
  <c r="W21" i="6"/>
  <c r="D19" i="6"/>
  <c r="D15" i="6"/>
  <c r="AA14" i="6"/>
  <c r="AA38" i="6" s="1"/>
  <c r="AA56" i="6" s="1"/>
  <c r="AA29" i="7" s="1"/>
  <c r="Z14" i="6"/>
  <c r="Z38" i="6" s="1"/>
  <c r="Z56" i="6" s="1"/>
  <c r="Z29" i="7" s="1"/>
  <c r="Y14" i="6"/>
  <c r="Y38" i="6" s="1"/>
  <c r="Y56" i="6" s="1"/>
  <c r="Y29" i="7" s="1"/>
  <c r="X14" i="6"/>
  <c r="X38" i="6" s="1"/>
  <c r="X56" i="6" s="1"/>
  <c r="X29" i="7" s="1"/>
  <c r="W14" i="6"/>
  <c r="W38" i="6" s="1"/>
  <c r="W56" i="6" s="1"/>
  <c r="W29" i="7" s="1"/>
  <c r="V14" i="6"/>
  <c r="V38" i="6" s="1"/>
  <c r="V56" i="6" s="1"/>
  <c r="V29" i="7" s="1"/>
  <c r="U14" i="6"/>
  <c r="U38" i="6" s="1"/>
  <c r="U56" i="6" s="1"/>
  <c r="U29" i="7" s="1"/>
  <c r="T14" i="6"/>
  <c r="T38" i="6" s="1"/>
  <c r="T56" i="6" s="1"/>
  <c r="T29" i="7" s="1"/>
  <c r="S14" i="6"/>
  <c r="S38" i="6" s="1"/>
  <c r="S56" i="6" s="1"/>
  <c r="S29" i="7" s="1"/>
  <c r="R14" i="6"/>
  <c r="R38" i="6" s="1"/>
  <c r="R56" i="6" s="1"/>
  <c r="R29" i="7" s="1"/>
  <c r="Q14" i="6"/>
  <c r="Q38" i="6" s="1"/>
  <c r="Q56" i="6" s="1"/>
  <c r="Q29" i="7" s="1"/>
  <c r="P14" i="6"/>
  <c r="P38" i="6" s="1"/>
  <c r="P56" i="6" s="1"/>
  <c r="P29" i="7" s="1"/>
  <c r="O14" i="6"/>
  <c r="O38" i="6" s="1"/>
  <c r="O56" i="6" s="1"/>
  <c r="O29" i="7" s="1"/>
  <c r="N14" i="6"/>
  <c r="N38" i="6" s="1"/>
  <c r="N56" i="6" s="1"/>
  <c r="N29" i="7" s="1"/>
  <c r="M14" i="6"/>
  <c r="M38" i="6" s="1"/>
  <c r="M56" i="6" s="1"/>
  <c r="M29" i="7" s="1"/>
  <c r="L14" i="6"/>
  <c r="L38" i="6" s="1"/>
  <c r="L56" i="6" s="1"/>
  <c r="L29" i="7" s="1"/>
  <c r="K14" i="6"/>
  <c r="K38" i="6" s="1"/>
  <c r="K56" i="6" s="1"/>
  <c r="K29" i="7" s="1"/>
  <c r="J14" i="6"/>
  <c r="J38" i="6" s="1"/>
  <c r="J56" i="6" s="1"/>
  <c r="J29" i="7" s="1"/>
  <c r="I14" i="6"/>
  <c r="I38" i="6" s="1"/>
  <c r="I56" i="6" s="1"/>
  <c r="I29" i="7" s="1"/>
  <c r="H14" i="6"/>
  <c r="H38" i="6" s="1"/>
  <c r="AA12" i="6"/>
  <c r="Z12" i="6"/>
  <c r="Y12" i="6"/>
  <c r="X12" i="6"/>
  <c r="W12" i="6"/>
  <c r="V12" i="6"/>
  <c r="U12" i="6"/>
  <c r="T12" i="6"/>
  <c r="S12" i="6"/>
  <c r="R12" i="6"/>
  <c r="Q12" i="6"/>
  <c r="P12" i="6"/>
  <c r="O12" i="6"/>
  <c r="N12" i="6"/>
  <c r="M12" i="6"/>
  <c r="L12" i="6"/>
  <c r="K12" i="6"/>
  <c r="J12" i="6"/>
  <c r="I12" i="6"/>
  <c r="H12" i="6"/>
  <c r="AA9" i="6"/>
  <c r="Z9" i="6"/>
  <c r="Y9" i="6"/>
  <c r="X9" i="6"/>
  <c r="W9" i="6"/>
  <c r="V9" i="6"/>
  <c r="U9" i="6"/>
  <c r="T9" i="6"/>
  <c r="S9" i="6"/>
  <c r="R9" i="6"/>
  <c r="Q9" i="6"/>
  <c r="P9" i="6"/>
  <c r="O9" i="6"/>
  <c r="N9" i="6"/>
  <c r="M9" i="6"/>
  <c r="L9" i="6"/>
  <c r="K9" i="6"/>
  <c r="J9" i="6"/>
  <c r="I9" i="6"/>
  <c r="H9" i="6"/>
  <c r="AA7" i="6"/>
  <c r="Z7" i="6"/>
  <c r="Y7" i="6"/>
  <c r="Y50" i="6" s="1"/>
  <c r="Y24" i="7" s="1"/>
  <c r="X7" i="6"/>
  <c r="X50" i="6" s="1"/>
  <c r="X24" i="7" s="1"/>
  <c r="W7" i="6"/>
  <c r="V7" i="6"/>
  <c r="V50" i="6" s="1"/>
  <c r="V24" i="7" s="1"/>
  <c r="U7" i="6"/>
  <c r="U50" i="6" s="1"/>
  <c r="U24" i="7" s="1"/>
  <c r="T7" i="6"/>
  <c r="T50" i="6" s="1"/>
  <c r="T24" i="7" s="1"/>
  <c r="S7" i="6"/>
  <c r="S50" i="6" s="1"/>
  <c r="S24" i="7" s="1"/>
  <c r="R7" i="6"/>
  <c r="R50" i="6" s="1"/>
  <c r="R24" i="7" s="1"/>
  <c r="Q7" i="6"/>
  <c r="Q50" i="6" s="1"/>
  <c r="Q24" i="7" s="1"/>
  <c r="P7" i="6"/>
  <c r="P50" i="6" s="1"/>
  <c r="P24" i="7" s="1"/>
  <c r="O7" i="6"/>
  <c r="O50" i="6" s="1"/>
  <c r="O24" i="7" s="1"/>
  <c r="N7" i="6"/>
  <c r="N50" i="6" s="1"/>
  <c r="N24" i="7" s="1"/>
  <c r="M7" i="6"/>
  <c r="M50" i="6" s="1"/>
  <c r="M24" i="7" s="1"/>
  <c r="L7" i="6"/>
  <c r="L50" i="6" s="1"/>
  <c r="L24" i="7" s="1"/>
  <c r="K7" i="6"/>
  <c r="K50" i="6" s="1"/>
  <c r="K24" i="7" s="1"/>
  <c r="J7" i="6"/>
  <c r="J50" i="6" s="1"/>
  <c r="J24" i="7" s="1"/>
  <c r="I7" i="6"/>
  <c r="I50" i="6" s="1"/>
  <c r="I24" i="7" s="1"/>
  <c r="H7" i="6"/>
  <c r="H50" i="6" s="1"/>
  <c r="G84" i="4"/>
  <c r="F84" i="4"/>
  <c r="P82" i="4"/>
  <c r="O82" i="4"/>
  <c r="N82" i="4"/>
  <c r="M82" i="4"/>
  <c r="L82" i="4"/>
  <c r="K82" i="4"/>
  <c r="J82" i="4"/>
  <c r="I82" i="4"/>
  <c r="H82" i="4"/>
  <c r="Q81" i="4"/>
  <c r="H80" i="4"/>
  <c r="AA73" i="4"/>
  <c r="Z73" i="4"/>
  <c r="Y73" i="4"/>
  <c r="X73" i="4"/>
  <c r="W73" i="4"/>
  <c r="V73" i="4"/>
  <c r="U73" i="4"/>
  <c r="T73" i="4"/>
  <c r="S73" i="4"/>
  <c r="G52" i="4"/>
  <c r="F52" i="4"/>
  <c r="AA49" i="4"/>
  <c r="AA81" i="4" s="1"/>
  <c r="Z49" i="4"/>
  <c r="Z81" i="4" s="1"/>
  <c r="Y49" i="4"/>
  <c r="Y81" i="4" s="1"/>
  <c r="X49" i="4"/>
  <c r="X81" i="4" s="1"/>
  <c r="W49" i="4"/>
  <c r="W81" i="4" s="1"/>
  <c r="V49" i="4"/>
  <c r="V81" i="4" s="1"/>
  <c r="U49" i="4"/>
  <c r="U81" i="4" s="1"/>
  <c r="T49" i="4"/>
  <c r="T81" i="4" s="1"/>
  <c r="S49" i="4"/>
  <c r="S81" i="4" s="1"/>
  <c r="Q49" i="4"/>
  <c r="P49" i="4"/>
  <c r="P81" i="4" s="1"/>
  <c r="O49" i="4"/>
  <c r="O81" i="4" s="1"/>
  <c r="N49" i="4"/>
  <c r="N81" i="4" s="1"/>
  <c r="M49" i="4"/>
  <c r="M81" i="4" s="1"/>
  <c r="L49" i="4"/>
  <c r="L81" i="4" s="1"/>
  <c r="K49" i="4"/>
  <c r="K81" i="4" s="1"/>
  <c r="J49" i="4"/>
  <c r="J81" i="4" s="1"/>
  <c r="I49" i="4"/>
  <c r="I81" i="4" s="1"/>
  <c r="H49" i="4"/>
  <c r="H81" i="4" s="1"/>
  <c r="AA43" i="4"/>
  <c r="AA75" i="4" s="1"/>
  <c r="Z43" i="4"/>
  <c r="Z75" i="4" s="1"/>
  <c r="Y43" i="4"/>
  <c r="Y75" i="4" s="1"/>
  <c r="X43" i="4"/>
  <c r="X75" i="4" s="1"/>
  <c r="W43" i="4"/>
  <c r="V43" i="4"/>
  <c r="V75" i="4" s="1"/>
  <c r="U43" i="4"/>
  <c r="U75" i="4" s="1"/>
  <c r="T43" i="4"/>
  <c r="T75" i="4" s="1"/>
  <c r="S43" i="4"/>
  <c r="S75" i="4" s="1"/>
  <c r="R43" i="4"/>
  <c r="R75" i="4" s="1"/>
  <c r="Q43" i="4"/>
  <c r="Q75" i="4" s="1"/>
  <c r="P43" i="4"/>
  <c r="P75" i="4" s="1"/>
  <c r="O43" i="4"/>
  <c r="O75" i="4" s="1"/>
  <c r="N43" i="4"/>
  <c r="N75" i="4" s="1"/>
  <c r="M43" i="4"/>
  <c r="M75" i="4" s="1"/>
  <c r="L43" i="4"/>
  <c r="L75" i="4" s="1"/>
  <c r="K43" i="4"/>
  <c r="K75" i="4" s="1"/>
  <c r="J43" i="4"/>
  <c r="J75" i="4" s="1"/>
  <c r="I43" i="4"/>
  <c r="I75" i="4" s="1"/>
  <c r="H43" i="4"/>
  <c r="H75" i="4" s="1"/>
  <c r="H76" i="4" s="1"/>
  <c r="R41" i="4"/>
  <c r="R73" i="4" s="1"/>
  <c r="D32" i="4"/>
  <c r="D31" i="4"/>
  <c r="AA30" i="4"/>
  <c r="Z30" i="4"/>
  <c r="Y30" i="4"/>
  <c r="X30" i="4"/>
  <c r="W30" i="4"/>
  <c r="V30" i="4"/>
  <c r="U30" i="4"/>
  <c r="T30" i="4"/>
  <c r="S30" i="4"/>
  <c r="R30" i="4"/>
  <c r="Q30" i="4"/>
  <c r="P30" i="4"/>
  <c r="O30" i="4"/>
  <c r="N30" i="4"/>
  <c r="M30" i="4"/>
  <c r="L30" i="4"/>
  <c r="K30" i="4"/>
  <c r="J30" i="4"/>
  <c r="I30" i="4"/>
  <c r="H30" i="4"/>
  <c r="D28" i="4"/>
  <c r="D27" i="4"/>
  <c r="D25" i="4"/>
  <c r="D24" i="4"/>
  <c r="D21" i="4"/>
  <c r="D20" i="4"/>
  <c r="D19" i="4"/>
  <c r="D18" i="4"/>
  <c r="D14" i="4"/>
  <c r="D9" i="4"/>
  <c r="D7" i="4"/>
  <c r="D6" i="4"/>
  <c r="Z39" i="4" s="1"/>
  <c r="Z71" i="4" s="1"/>
  <c r="D3" i="4"/>
  <c r="Z92" i="3"/>
  <c r="Y92" i="3"/>
  <c r="X92" i="3"/>
  <c r="W92" i="3"/>
  <c r="AA90" i="3"/>
  <c r="Z90" i="3"/>
  <c r="Y90" i="3"/>
  <c r="X90" i="3"/>
  <c r="W90" i="3"/>
  <c r="V90" i="3"/>
  <c r="U90" i="3"/>
  <c r="T90" i="3"/>
  <c r="S90" i="3"/>
  <c r="R90" i="3"/>
  <c r="Q90" i="3"/>
  <c r="P90" i="3"/>
  <c r="O90" i="3"/>
  <c r="N90" i="3"/>
  <c r="M90" i="3"/>
  <c r="L90" i="3"/>
  <c r="K90" i="3"/>
  <c r="J90" i="3"/>
  <c r="I90" i="3"/>
  <c r="F89" i="3"/>
  <c r="Z82" i="3"/>
  <c r="Y82" i="3"/>
  <c r="X82" i="3"/>
  <c r="W82" i="3"/>
  <c r="AA80" i="3"/>
  <c r="Z80" i="3"/>
  <c r="Y80" i="3"/>
  <c r="X80" i="3"/>
  <c r="W80" i="3"/>
  <c r="V80" i="3"/>
  <c r="U80" i="3"/>
  <c r="T80" i="3"/>
  <c r="S80" i="3"/>
  <c r="R80" i="3"/>
  <c r="Q80" i="3"/>
  <c r="P80" i="3"/>
  <c r="O80" i="3"/>
  <c r="N80" i="3"/>
  <c r="M80" i="3"/>
  <c r="L80" i="3"/>
  <c r="K80" i="3"/>
  <c r="J80" i="3"/>
  <c r="I80" i="3"/>
  <c r="F79" i="3"/>
  <c r="AA74" i="3"/>
  <c r="Z74" i="3"/>
  <c r="Y74" i="3"/>
  <c r="X74" i="3"/>
  <c r="W74" i="3"/>
  <c r="V74" i="3"/>
  <c r="U74" i="3"/>
  <c r="T74" i="3"/>
  <c r="S74" i="3"/>
  <c r="R74" i="3"/>
  <c r="Q74" i="3"/>
  <c r="P74" i="3"/>
  <c r="O74" i="3"/>
  <c r="N74" i="3"/>
  <c r="M74" i="3"/>
  <c r="L74" i="3"/>
  <c r="K74" i="3"/>
  <c r="J74" i="3"/>
  <c r="I74" i="3"/>
  <c r="H74" i="3"/>
  <c r="G74" i="3"/>
  <c r="F74" i="3"/>
  <c r="D74" i="3"/>
  <c r="AA73" i="3"/>
  <c r="AA23" i="6" s="1"/>
  <c r="Z73" i="3"/>
  <c r="Z23" i="6" s="1"/>
  <c r="Y73" i="3"/>
  <c r="Y23" i="6" s="1"/>
  <c r="X73" i="3"/>
  <c r="X23" i="6" s="1"/>
  <c r="W73" i="3"/>
  <c r="W23" i="6" s="1"/>
  <c r="V73" i="3"/>
  <c r="V23" i="6" s="1"/>
  <c r="U73" i="3"/>
  <c r="U23" i="6" s="1"/>
  <c r="T73" i="3"/>
  <c r="T23" i="6" s="1"/>
  <c r="S73" i="3"/>
  <c r="S23" i="6" s="1"/>
  <c r="R73" i="3"/>
  <c r="R23" i="6" s="1"/>
  <c r="Q73" i="3"/>
  <c r="Q23" i="6" s="1"/>
  <c r="P73" i="3"/>
  <c r="P23" i="6" s="1"/>
  <c r="O73" i="3"/>
  <c r="O23" i="6" s="1"/>
  <c r="N73" i="3"/>
  <c r="N23" i="6" s="1"/>
  <c r="M73" i="3"/>
  <c r="M23" i="6" s="1"/>
  <c r="L73" i="3"/>
  <c r="L23" i="6" s="1"/>
  <c r="K73" i="3"/>
  <c r="K23" i="6" s="1"/>
  <c r="J73" i="3"/>
  <c r="J23" i="6" s="1"/>
  <c r="I73" i="3"/>
  <c r="I23" i="6" s="1"/>
  <c r="H73" i="3"/>
  <c r="H23" i="6" s="1"/>
  <c r="AA72" i="3"/>
  <c r="Z72" i="3"/>
  <c r="Y72" i="3"/>
  <c r="X72" i="3"/>
  <c r="W72" i="3"/>
  <c r="V72" i="3"/>
  <c r="U72" i="3"/>
  <c r="T72" i="3"/>
  <c r="S72" i="3"/>
  <c r="R72" i="3"/>
  <c r="Q72" i="3"/>
  <c r="P72" i="3"/>
  <c r="O72" i="3"/>
  <c r="N72" i="3"/>
  <c r="M72" i="3"/>
  <c r="L72" i="3"/>
  <c r="K72" i="3"/>
  <c r="J72" i="3"/>
  <c r="I72" i="3"/>
  <c r="H72" i="3"/>
  <c r="D72" i="3"/>
  <c r="Z71" i="3"/>
  <c r="V71" i="3"/>
  <c r="S71" i="3"/>
  <c r="R71" i="3"/>
  <c r="O71" i="3"/>
  <c r="N71" i="3"/>
  <c r="K71" i="3"/>
  <c r="J71" i="3"/>
  <c r="AA70" i="3"/>
  <c r="Z70" i="3"/>
  <c r="Y70" i="3"/>
  <c r="X70" i="3"/>
  <c r="W70" i="3"/>
  <c r="V70" i="3"/>
  <c r="U70" i="3"/>
  <c r="T70" i="3"/>
  <c r="S70" i="3"/>
  <c r="R70" i="3"/>
  <c r="Q70" i="3"/>
  <c r="P70" i="3"/>
  <c r="O70" i="3"/>
  <c r="N70" i="3"/>
  <c r="M70" i="3"/>
  <c r="L70" i="3"/>
  <c r="K70" i="3"/>
  <c r="J70" i="3"/>
  <c r="I70" i="3"/>
  <c r="H70" i="3"/>
  <c r="D70" i="3"/>
  <c r="AA69" i="3"/>
  <c r="Z69" i="3"/>
  <c r="Y69" i="3"/>
  <c r="X69" i="3"/>
  <c r="W69" i="3"/>
  <c r="V69" i="3"/>
  <c r="U69" i="3"/>
  <c r="T69" i="3"/>
  <c r="S69" i="3"/>
  <c r="R69" i="3"/>
  <c r="Q69" i="3"/>
  <c r="P69" i="3"/>
  <c r="O69" i="3"/>
  <c r="N69" i="3"/>
  <c r="M69" i="3"/>
  <c r="L69" i="3"/>
  <c r="K69" i="3"/>
  <c r="J69" i="3"/>
  <c r="I69" i="3"/>
  <c r="H69" i="3"/>
  <c r="G69" i="3"/>
  <c r="G64" i="3"/>
  <c r="F64" i="3"/>
  <c r="H59" i="3"/>
  <c r="G59" i="3"/>
  <c r="AA39" i="3"/>
  <c r="Z39" i="3"/>
  <c r="Y39" i="3"/>
  <c r="X39" i="3"/>
  <c r="D34" i="3"/>
  <c r="AA31" i="3"/>
  <c r="Z31" i="3"/>
  <c r="Y31" i="3"/>
  <c r="X31" i="3"/>
  <c r="W31" i="3"/>
  <c r="V31" i="3"/>
  <c r="U31" i="3"/>
  <c r="T31" i="3"/>
  <c r="S31" i="3"/>
  <c r="R31" i="3"/>
  <c r="Q31" i="3"/>
  <c r="P31" i="3"/>
  <c r="O31" i="3"/>
  <c r="N31" i="3"/>
  <c r="M31" i="3"/>
  <c r="L31" i="3"/>
  <c r="K31" i="3"/>
  <c r="J31" i="3"/>
  <c r="I31" i="3"/>
  <c r="H31" i="3"/>
  <c r="D31" i="3" s="1"/>
  <c r="D30" i="3"/>
  <c r="AA29" i="3"/>
  <c r="Z29" i="3"/>
  <c r="Y29" i="3"/>
  <c r="X29" i="3"/>
  <c r="W29" i="3"/>
  <c r="V29" i="3"/>
  <c r="U29" i="3"/>
  <c r="T29" i="3"/>
  <c r="S29" i="3"/>
  <c r="R29" i="3"/>
  <c r="Q29" i="3"/>
  <c r="P29" i="3"/>
  <c r="O29" i="3"/>
  <c r="N29" i="3"/>
  <c r="M29" i="3"/>
  <c r="L29" i="3"/>
  <c r="K29" i="3"/>
  <c r="J29" i="3"/>
  <c r="I29" i="3"/>
  <c r="G29" i="3"/>
  <c r="F29" i="3"/>
  <c r="G28" i="3"/>
  <c r="F28" i="3"/>
  <c r="D26" i="3"/>
  <c r="H16" i="3"/>
  <c r="D13" i="3"/>
  <c r="H9" i="3"/>
  <c r="H6" i="3" s="1"/>
  <c r="H8" i="3"/>
  <c r="G5" i="3"/>
  <c r="F5" i="3"/>
  <c r="E50" i="14" s="1"/>
  <c r="H680" i="2"/>
  <c r="H625" i="2"/>
  <c r="G78" i="4" s="1"/>
  <c r="H589" i="2"/>
  <c r="H580" i="2"/>
  <c r="H571" i="2"/>
  <c r="H562" i="2"/>
  <c r="H553" i="2"/>
  <c r="H544" i="2"/>
  <c r="H535" i="2"/>
  <c r="H526" i="2"/>
  <c r="H517" i="2"/>
  <c r="H508" i="2"/>
  <c r="H499" i="2"/>
  <c r="H490" i="2"/>
  <c r="H481" i="2"/>
  <c r="H472" i="2"/>
  <c r="H463" i="2"/>
  <c r="H454" i="2"/>
  <c r="H445" i="2"/>
  <c r="H436" i="2"/>
  <c r="H427" i="2"/>
  <c r="H418" i="2"/>
  <c r="H357" i="2"/>
  <c r="J352" i="2"/>
  <c r="J351" i="2"/>
  <c r="H348" i="2"/>
  <c r="D7" i="15" s="1"/>
  <c r="Z13" i="6"/>
  <c r="X13" i="6"/>
  <c r="V13" i="6"/>
  <c r="T13" i="6"/>
  <c r="R13" i="6"/>
  <c r="P13" i="6"/>
  <c r="N13" i="6"/>
  <c r="L13" i="6"/>
  <c r="J13" i="6"/>
  <c r="I13" i="6"/>
  <c r="H13" i="6"/>
  <c r="F8" i="5"/>
  <c r="G8" i="5" s="1"/>
  <c r="F7" i="5"/>
  <c r="G7" i="5" s="1"/>
  <c r="F6" i="5"/>
  <c r="G6" i="5" s="1"/>
  <c r="F5" i="5"/>
  <c r="G5" i="5" s="1"/>
  <c r="F4" i="5"/>
  <c r="G4" i="5" s="1"/>
  <c r="F3" i="5"/>
  <c r="G3" i="5" s="1"/>
  <c r="D53" i="6" l="1"/>
  <c r="U71" i="3"/>
  <c r="AA71" i="3"/>
  <c r="D10" i="7"/>
  <c r="F46" i="4"/>
  <c r="F78" i="4"/>
  <c r="W71" i="3"/>
  <c r="R44" i="4"/>
  <c r="G46" i="4"/>
  <c r="E13" i="5"/>
  <c r="D8" i="7"/>
  <c r="Q71" i="3"/>
  <c r="R50" i="4"/>
  <c r="R82" i="4" s="1"/>
  <c r="X37" i="4"/>
  <c r="M76" i="4"/>
  <c r="N76" i="4" s="1"/>
  <c r="H51" i="4"/>
  <c r="H83" i="4" s="1"/>
  <c r="D7" i="6"/>
  <c r="D5" i="3"/>
  <c r="D9" i="3"/>
  <c r="M71" i="3"/>
  <c r="W39" i="4"/>
  <c r="W71" i="4" s="1"/>
  <c r="R76" i="4"/>
  <c r="D14" i="6"/>
  <c r="D33" i="6"/>
  <c r="D6" i="7"/>
  <c r="D7" i="7"/>
  <c r="I71" i="3"/>
  <c r="Y71" i="3"/>
  <c r="W44" i="4"/>
  <c r="X44" i="4" s="1"/>
  <c r="D62" i="6"/>
  <c r="H34" i="6"/>
  <c r="I76" i="4"/>
  <c r="R34" i="6"/>
  <c r="S76" i="4"/>
  <c r="AA11" i="10"/>
  <c r="D11" i="10" s="1"/>
  <c r="H11" i="3"/>
  <c r="R10" i="6"/>
  <c r="S44" i="4"/>
  <c r="W10" i="6"/>
  <c r="M13" i="6"/>
  <c r="Q13" i="6"/>
  <c r="U13" i="6"/>
  <c r="Y13" i="6"/>
  <c r="D23" i="6"/>
  <c r="AA39" i="4"/>
  <c r="AA71" i="4" s="1"/>
  <c r="R49" i="4"/>
  <c r="R81" i="4" s="1"/>
  <c r="W75" i="4"/>
  <c r="W76" i="4" s="1"/>
  <c r="O31" i="6"/>
  <c r="F7" i="3"/>
  <c r="H14" i="3"/>
  <c r="D14" i="3" s="1"/>
  <c r="Y37" i="4"/>
  <c r="X39" i="4"/>
  <c r="X71" i="4" s="1"/>
  <c r="H47" i="4"/>
  <c r="I48" i="4"/>
  <c r="S50" i="4"/>
  <c r="H77" i="4"/>
  <c r="I74" i="4" s="1"/>
  <c r="I77" i="4" s="1"/>
  <c r="J74" i="4" s="1"/>
  <c r="W50" i="6"/>
  <c r="W24" i="7" s="1"/>
  <c r="W31" i="6"/>
  <c r="AA50" i="6"/>
  <c r="AA24" i="7" s="1"/>
  <c r="AA31" i="6"/>
  <c r="S31" i="6"/>
  <c r="K13" i="6"/>
  <c r="O13" i="6"/>
  <c r="S13" i="6"/>
  <c r="W13" i="6"/>
  <c r="AA13" i="6"/>
  <c r="F50" i="14"/>
  <c r="G7" i="3"/>
  <c r="H71" i="3"/>
  <c r="L71" i="3"/>
  <c r="P71" i="3"/>
  <c r="T71" i="3"/>
  <c r="X71" i="3"/>
  <c r="Z37" i="4"/>
  <c r="Y39" i="4"/>
  <c r="Y71" i="4" s="1"/>
  <c r="H44" i="4"/>
  <c r="H45" i="4" s="1"/>
  <c r="D9" i="6"/>
  <c r="H13" i="12"/>
  <c r="H13" i="8"/>
  <c r="D24" i="6"/>
  <c r="L13" i="12"/>
  <c r="L13" i="8"/>
  <c r="P13" i="12"/>
  <c r="P13" i="8"/>
  <c r="T13" i="12"/>
  <c r="T13" i="8"/>
  <c r="X13" i="12"/>
  <c r="X13" i="8"/>
  <c r="D73" i="3"/>
  <c r="H79" i="4"/>
  <c r="W37" i="4"/>
  <c r="AA37" i="4"/>
  <c r="M44" i="4"/>
  <c r="Q50" i="4"/>
  <c r="H54" i="6"/>
  <c r="H36" i="6"/>
  <c r="D12" i="6"/>
  <c r="L54" i="6"/>
  <c r="L27" i="7" s="1"/>
  <c r="L36" i="6"/>
  <c r="P54" i="6"/>
  <c r="P27" i="7" s="1"/>
  <c r="P36" i="6"/>
  <c r="T54" i="6"/>
  <c r="T27" i="7" s="1"/>
  <c r="T36" i="6"/>
  <c r="X54" i="6"/>
  <c r="X27" i="7" s="1"/>
  <c r="X36" i="6"/>
  <c r="K31" i="6"/>
  <c r="J54" i="6"/>
  <c r="J27" i="7" s="1"/>
  <c r="J36" i="6"/>
  <c r="N54" i="6"/>
  <c r="N27" i="7" s="1"/>
  <c r="N36" i="6"/>
  <c r="R54" i="6"/>
  <c r="R27" i="7" s="1"/>
  <c r="R36" i="6"/>
  <c r="V54" i="6"/>
  <c r="V27" i="7" s="1"/>
  <c r="V36" i="6"/>
  <c r="Z54" i="6"/>
  <c r="Z27" i="7" s="1"/>
  <c r="Z36" i="6"/>
  <c r="J13" i="12"/>
  <c r="J13" i="8"/>
  <c r="N13" i="12"/>
  <c r="N13" i="8"/>
  <c r="R13" i="12"/>
  <c r="R13" i="8"/>
  <c r="V13" i="12"/>
  <c r="V13" i="8"/>
  <c r="Z13" i="12"/>
  <c r="Z13" i="8"/>
  <c r="I31" i="6"/>
  <c r="M31" i="6"/>
  <c r="Q31" i="6"/>
  <c r="U31" i="6"/>
  <c r="Y31" i="6"/>
  <c r="D26" i="7"/>
  <c r="Z50" i="6"/>
  <c r="Z24" i="7" s="1"/>
  <c r="Z31" i="6"/>
  <c r="K54" i="6"/>
  <c r="K27" i="7" s="1"/>
  <c r="K36" i="6"/>
  <c r="O54" i="6"/>
  <c r="O27" i="7" s="1"/>
  <c r="O36" i="6"/>
  <c r="S54" i="6"/>
  <c r="S27" i="7" s="1"/>
  <c r="S36" i="6"/>
  <c r="W54" i="6"/>
  <c r="W27" i="7" s="1"/>
  <c r="W36" i="6"/>
  <c r="AA54" i="6"/>
  <c r="AA27" i="7" s="1"/>
  <c r="AA36" i="6"/>
  <c r="K13" i="12"/>
  <c r="K13" i="8"/>
  <c r="O13" i="12"/>
  <c r="O13" i="8"/>
  <c r="S13" i="12"/>
  <c r="S13" i="8"/>
  <c r="W13" i="12"/>
  <c r="W13" i="8"/>
  <c r="AA13" i="12"/>
  <c r="AA13" i="8"/>
  <c r="J31" i="6"/>
  <c r="N31" i="6"/>
  <c r="R31" i="6"/>
  <c r="V31" i="6"/>
  <c r="D50" i="6"/>
  <c r="H24" i="7"/>
  <c r="I54" i="6"/>
  <c r="I27" i="7" s="1"/>
  <c r="I36" i="6"/>
  <c r="M54" i="6"/>
  <c r="M27" i="7" s="1"/>
  <c r="M36" i="6"/>
  <c r="Q54" i="6"/>
  <c r="Q27" i="7" s="1"/>
  <c r="Q36" i="6"/>
  <c r="U54" i="6"/>
  <c r="U27" i="7" s="1"/>
  <c r="U36" i="6"/>
  <c r="Y54" i="6"/>
  <c r="Y27" i="7" s="1"/>
  <c r="Y36" i="6"/>
  <c r="D38" i="6"/>
  <c r="H56" i="6"/>
  <c r="I13" i="12"/>
  <c r="I13" i="8"/>
  <c r="M13" i="12"/>
  <c r="M13" i="8"/>
  <c r="Q13" i="12"/>
  <c r="Q13" i="8"/>
  <c r="U13" i="12"/>
  <c r="U13" i="8"/>
  <c r="Y13" i="12"/>
  <c r="Y13" i="8"/>
  <c r="H31" i="6"/>
  <c r="L31" i="6"/>
  <c r="P31" i="6"/>
  <c r="T31" i="6"/>
  <c r="X31" i="6"/>
  <c r="D52" i="6"/>
  <c r="I16" i="9"/>
  <c r="I23" i="10"/>
  <c r="I36" i="7"/>
  <c r="M16" i="9"/>
  <c r="M23" i="10"/>
  <c r="M36" i="7"/>
  <c r="Q16" i="9"/>
  <c r="Q23" i="10"/>
  <c r="Q36" i="7"/>
  <c r="U16" i="9"/>
  <c r="U23" i="10"/>
  <c r="U36" i="7"/>
  <c r="Y16" i="9"/>
  <c r="Y23" i="10"/>
  <c r="Y36" i="7"/>
  <c r="H5" i="7"/>
  <c r="K6" i="8"/>
  <c r="O6" i="8"/>
  <c r="S6" i="8"/>
  <c r="W6" i="8"/>
  <c r="AA6" i="8"/>
  <c r="J7" i="12"/>
  <c r="J7" i="8"/>
  <c r="N7" i="12"/>
  <c r="N7" i="8"/>
  <c r="R7" i="9"/>
  <c r="R7" i="12"/>
  <c r="R7" i="8"/>
  <c r="V7" i="12"/>
  <c r="V7" i="8"/>
  <c r="Z7" i="12"/>
  <c r="Z7" i="8"/>
  <c r="K18" i="7"/>
  <c r="O18" i="7"/>
  <c r="O6" i="9" s="1"/>
  <c r="S18" i="7"/>
  <c r="W18" i="7"/>
  <c r="W6" i="9" s="1"/>
  <c r="AA18" i="7"/>
  <c r="J19" i="7"/>
  <c r="J8" i="10" s="1"/>
  <c r="J8" i="11" s="1"/>
  <c r="N19" i="7"/>
  <c r="N8" i="10" s="1"/>
  <c r="N8" i="11" s="1"/>
  <c r="R19" i="7"/>
  <c r="R8" i="10" s="1"/>
  <c r="R8" i="11" s="1"/>
  <c r="V19" i="7"/>
  <c r="V8" i="10" s="1"/>
  <c r="V8" i="11" s="1"/>
  <c r="Z19" i="7"/>
  <c r="Z8" i="10" s="1"/>
  <c r="Z8" i="11" s="1"/>
  <c r="D21" i="7"/>
  <c r="J16" i="9"/>
  <c r="J23" i="10"/>
  <c r="J36" i="7"/>
  <c r="N16" i="9"/>
  <c r="N23" i="10"/>
  <c r="N36" i="7"/>
  <c r="R16" i="9"/>
  <c r="R23" i="10"/>
  <c r="R36" i="7"/>
  <c r="V16" i="9"/>
  <c r="V23" i="10"/>
  <c r="V36" i="7"/>
  <c r="Z16" i="9"/>
  <c r="Z23" i="10"/>
  <c r="Z36" i="7"/>
  <c r="H6" i="8"/>
  <c r="L6" i="8"/>
  <c r="P6" i="8"/>
  <c r="T6" i="8"/>
  <c r="X6" i="8"/>
  <c r="K7" i="12"/>
  <c r="K7" i="8"/>
  <c r="O7" i="12"/>
  <c r="O7" i="8"/>
  <c r="S7" i="12"/>
  <c r="S7" i="8"/>
  <c r="W7" i="12"/>
  <c r="W7" i="8"/>
  <c r="AA7" i="12"/>
  <c r="AA7" i="8"/>
  <c r="H18" i="7"/>
  <c r="H7" i="10" s="1"/>
  <c r="L18" i="7"/>
  <c r="P18" i="7"/>
  <c r="P7" i="10" s="1"/>
  <c r="P7" i="11" s="1"/>
  <c r="T18" i="7"/>
  <c r="X18" i="7"/>
  <c r="K19" i="7"/>
  <c r="K7" i="9" s="1"/>
  <c r="O19" i="7"/>
  <c r="O7" i="9" s="1"/>
  <c r="S19" i="7"/>
  <c r="S7" i="9" s="1"/>
  <c r="W19" i="7"/>
  <c r="W7" i="9" s="1"/>
  <c r="AA19" i="7"/>
  <c r="AA7" i="9" s="1"/>
  <c r="D30" i="7"/>
  <c r="K16" i="9"/>
  <c r="K23" i="10"/>
  <c r="K36" i="7"/>
  <c r="O16" i="9"/>
  <c r="O23" i="10"/>
  <c r="O36" i="7"/>
  <c r="S16" i="9"/>
  <c r="S23" i="10"/>
  <c r="S36" i="7"/>
  <c r="W16" i="9"/>
  <c r="W23" i="10"/>
  <c r="W36" i="7"/>
  <c r="AA16" i="9"/>
  <c r="AA23" i="10"/>
  <c r="AA36" i="7"/>
  <c r="J5" i="12"/>
  <c r="N5" i="12"/>
  <c r="R5" i="12"/>
  <c r="V5" i="12"/>
  <c r="Z5" i="12"/>
  <c r="I6" i="8"/>
  <c r="M6" i="8"/>
  <c r="Q6" i="8"/>
  <c r="U6" i="8"/>
  <c r="Y6" i="8"/>
  <c r="H7" i="12"/>
  <c r="H7" i="8"/>
  <c r="L7" i="12"/>
  <c r="L5" i="12" s="1"/>
  <c r="L7" i="8"/>
  <c r="P7" i="12"/>
  <c r="P5" i="12" s="1"/>
  <c r="P7" i="8"/>
  <c r="T7" i="12"/>
  <c r="T5" i="12" s="1"/>
  <c r="T7" i="8"/>
  <c r="X7" i="12"/>
  <c r="X5" i="12" s="1"/>
  <c r="X7" i="8"/>
  <c r="F38" i="7"/>
  <c r="F39" i="7" s="1"/>
  <c r="I18" i="7"/>
  <c r="M18" i="7"/>
  <c r="Q18" i="7"/>
  <c r="Q6" i="9" s="1"/>
  <c r="U18" i="7"/>
  <c r="Y18" i="7"/>
  <c r="H19" i="7"/>
  <c r="H7" i="9" s="1"/>
  <c r="L19" i="7"/>
  <c r="L8" i="10" s="1"/>
  <c r="L8" i="11" s="1"/>
  <c r="P19" i="7"/>
  <c r="P8" i="10" s="1"/>
  <c r="P8" i="11" s="1"/>
  <c r="T19" i="7"/>
  <c r="T7" i="9" s="1"/>
  <c r="X19" i="7"/>
  <c r="X8" i="10" s="1"/>
  <c r="X8" i="11" s="1"/>
  <c r="H16" i="9"/>
  <c r="H36" i="7"/>
  <c r="H23" i="10"/>
  <c r="L16" i="9"/>
  <c r="L36" i="7"/>
  <c r="L23" i="10"/>
  <c r="P16" i="9"/>
  <c r="P36" i="7"/>
  <c r="P23" i="10"/>
  <c r="T16" i="9"/>
  <c r="T36" i="7"/>
  <c r="T23" i="10"/>
  <c r="X16" i="9"/>
  <c r="X36" i="7"/>
  <c r="X23" i="10"/>
  <c r="K5" i="12"/>
  <c r="O5" i="12"/>
  <c r="S5" i="12"/>
  <c r="W5" i="12"/>
  <c r="AA5" i="12"/>
  <c r="J6" i="8"/>
  <c r="J5" i="8" s="1"/>
  <c r="N6" i="8"/>
  <c r="N5" i="8" s="1"/>
  <c r="R6" i="8"/>
  <c r="R5" i="8" s="1"/>
  <c r="V6" i="8"/>
  <c r="V5" i="8" s="1"/>
  <c r="Z6" i="8"/>
  <c r="Z5" i="8" s="1"/>
  <c r="I7" i="12"/>
  <c r="I5" i="12" s="1"/>
  <c r="I7" i="8"/>
  <c r="M7" i="12"/>
  <c r="M5" i="12" s="1"/>
  <c r="M7" i="8"/>
  <c r="Q7" i="12"/>
  <c r="Q5" i="12" s="1"/>
  <c r="Q7" i="8"/>
  <c r="U7" i="12"/>
  <c r="U5" i="12" s="1"/>
  <c r="U7" i="8"/>
  <c r="Y7" i="12"/>
  <c r="Y5" i="12" s="1"/>
  <c r="Y7" i="8"/>
  <c r="G38" i="7"/>
  <c r="J18" i="7"/>
  <c r="J17" i="7" s="1"/>
  <c r="N18" i="7"/>
  <c r="N17" i="7" s="1"/>
  <c r="R18" i="7"/>
  <c r="R17" i="7" s="1"/>
  <c r="V18" i="7"/>
  <c r="V17" i="7" s="1"/>
  <c r="Z18" i="7"/>
  <c r="Z17" i="7" s="1"/>
  <c r="I19" i="7"/>
  <c r="I8" i="10" s="1"/>
  <c r="I8" i="11" s="1"/>
  <c r="M19" i="7"/>
  <c r="M8" i="10" s="1"/>
  <c r="M8" i="11" s="1"/>
  <c r="Q19" i="7"/>
  <c r="Q8" i="10" s="1"/>
  <c r="Q8" i="11" s="1"/>
  <c r="U19" i="7"/>
  <c r="U8" i="10" s="1"/>
  <c r="U8" i="11" s="1"/>
  <c r="Y19" i="7"/>
  <c r="Y8" i="10" s="1"/>
  <c r="Y8" i="11" s="1"/>
  <c r="D11" i="12"/>
  <c r="I37" i="6"/>
  <c r="I55" i="6" s="1"/>
  <c r="I28" i="7"/>
  <c r="N28" i="7"/>
  <c r="N37" i="6"/>
  <c r="N55" i="6" s="1"/>
  <c r="V28" i="7"/>
  <c r="V37" i="6"/>
  <c r="V55" i="6" s="1"/>
  <c r="L28" i="7"/>
  <c r="L37" i="6"/>
  <c r="L55" i="6" s="1"/>
  <c r="T28" i="7"/>
  <c r="T37" i="6"/>
  <c r="T55" i="6" s="1"/>
  <c r="H28" i="7"/>
  <c r="H37" i="6"/>
  <c r="J28" i="7"/>
  <c r="J37" i="6"/>
  <c r="J55" i="6" s="1"/>
  <c r="R28" i="7"/>
  <c r="R37" i="6"/>
  <c r="R55" i="6" s="1"/>
  <c r="Z28" i="7"/>
  <c r="Z37" i="6"/>
  <c r="Z55" i="6" s="1"/>
  <c r="P28" i="7"/>
  <c r="P37" i="6"/>
  <c r="P55" i="6" s="1"/>
  <c r="X28" i="7"/>
  <c r="X37" i="6"/>
  <c r="X55" i="6" s="1"/>
  <c r="W69" i="4"/>
  <c r="AA69" i="4"/>
  <c r="X69" i="4"/>
  <c r="Y69" i="4"/>
  <c r="M34" i="6" l="1"/>
  <c r="Y54" i="7"/>
  <c r="I54" i="7"/>
  <c r="AA54" i="7"/>
  <c r="K54" i="7"/>
  <c r="V7" i="10"/>
  <c r="V7" i="11" s="1"/>
  <c r="N7" i="10"/>
  <c r="N7" i="11" s="1"/>
  <c r="T8" i="10"/>
  <c r="T8" i="11" s="1"/>
  <c r="L7" i="9"/>
  <c r="Y6" i="9"/>
  <c r="L54" i="7"/>
  <c r="W8" i="10"/>
  <c r="W8" i="11" s="1"/>
  <c r="J7" i="9"/>
  <c r="D24" i="7"/>
  <c r="X54" i="7"/>
  <c r="H54" i="7"/>
  <c r="O8" i="10"/>
  <c r="O8" i="11" s="1"/>
  <c r="V54" i="7"/>
  <c r="N54" i="7"/>
  <c r="M54" i="7"/>
  <c r="M53" i="7" s="1"/>
  <c r="M61" i="7" s="1"/>
  <c r="I6" i="9"/>
  <c r="T17" i="7"/>
  <c r="X7" i="10"/>
  <c r="X7" i="11" s="1"/>
  <c r="Z7" i="9"/>
  <c r="H18" i="3"/>
  <c r="L14" i="14"/>
  <c r="M25" i="3"/>
  <c r="AA28" i="7"/>
  <c r="AA37" i="6"/>
  <c r="AA55" i="6" s="1"/>
  <c r="K28" i="7"/>
  <c r="D13" i="6"/>
  <c r="K37" i="6"/>
  <c r="K55" i="6" s="1"/>
  <c r="Y37" i="6"/>
  <c r="Y55" i="6" s="1"/>
  <c r="Y28" i="7"/>
  <c r="X14" i="14"/>
  <c r="Y53" i="7"/>
  <c r="Y61" i="7" s="1"/>
  <c r="Y25" i="3"/>
  <c r="H14" i="14"/>
  <c r="I53" i="7"/>
  <c r="I61" i="7" s="1"/>
  <c r="I25" i="3"/>
  <c r="Z14" i="14"/>
  <c r="AA53" i="7"/>
  <c r="AA61" i="7" s="1"/>
  <c r="AA25" i="3"/>
  <c r="J14" i="14"/>
  <c r="K53" i="7"/>
  <c r="K61" i="7" s="1"/>
  <c r="K25" i="3"/>
  <c r="W37" i="6"/>
  <c r="W55" i="6" s="1"/>
  <c r="W28" i="7"/>
  <c r="U37" i="6"/>
  <c r="U55" i="6" s="1"/>
  <c r="U28" i="7"/>
  <c r="K14" i="14"/>
  <c r="L53" i="7"/>
  <c r="L61" i="7" s="1"/>
  <c r="L62" i="7" s="1"/>
  <c r="L25" i="3"/>
  <c r="G53" i="14"/>
  <c r="I42" i="4"/>
  <c r="S28" i="7"/>
  <c r="S37" i="6"/>
  <c r="S55" i="6" s="1"/>
  <c r="Q37" i="6"/>
  <c r="Q55" i="6" s="1"/>
  <c r="Q28" i="7"/>
  <c r="W14" i="14"/>
  <c r="X53" i="7"/>
  <c r="X61" i="7" s="1"/>
  <c r="X25" i="3"/>
  <c r="G14" i="14"/>
  <c r="H53" i="7"/>
  <c r="H61" i="7" s="1"/>
  <c r="H62" i="7" s="1"/>
  <c r="H25" i="3"/>
  <c r="O37" i="6"/>
  <c r="O55" i="6" s="1"/>
  <c r="O28" i="7"/>
  <c r="M37" i="6"/>
  <c r="M55" i="6" s="1"/>
  <c r="M28" i="7"/>
  <c r="Z7" i="10"/>
  <c r="Z7" i="11" s="1"/>
  <c r="R7" i="10"/>
  <c r="R7" i="11" s="1"/>
  <c r="J7" i="10"/>
  <c r="J7" i="11" s="1"/>
  <c r="D36" i="7"/>
  <c r="U17" i="7"/>
  <c r="G39" i="7"/>
  <c r="F27" i="3"/>
  <c r="X7" i="9"/>
  <c r="P7" i="9"/>
  <c r="U6" i="9"/>
  <c r="M6" i="9"/>
  <c r="AA8" i="10"/>
  <c r="AA8" i="11" s="1"/>
  <c r="S8" i="10"/>
  <c r="S8" i="11" s="1"/>
  <c r="K8" i="10"/>
  <c r="K8" i="11" s="1"/>
  <c r="T7" i="10"/>
  <c r="T7" i="11" s="1"/>
  <c r="L7" i="10"/>
  <c r="L7" i="11" s="1"/>
  <c r="H7" i="11"/>
  <c r="S17" i="7"/>
  <c r="W54" i="7"/>
  <c r="S54" i="7"/>
  <c r="O54" i="7"/>
  <c r="D31" i="6"/>
  <c r="D54" i="6"/>
  <c r="H27" i="7"/>
  <c r="D27" i="7" s="1"/>
  <c r="D13" i="8"/>
  <c r="Z69" i="4"/>
  <c r="F20" i="11"/>
  <c r="F13" i="9"/>
  <c r="D7" i="3"/>
  <c r="S10" i="6"/>
  <c r="T44" i="4"/>
  <c r="S34" i="6"/>
  <c r="T76" i="4"/>
  <c r="Y7" i="9"/>
  <c r="U7" i="9"/>
  <c r="Q7" i="9"/>
  <c r="M7" i="9"/>
  <c r="I7" i="9"/>
  <c r="Z6" i="9"/>
  <c r="V6" i="9"/>
  <c r="R6" i="9"/>
  <c r="N6" i="9"/>
  <c r="J6" i="9"/>
  <c r="D16" i="9"/>
  <c r="Q17" i="7"/>
  <c r="D7" i="8"/>
  <c r="U54" i="7"/>
  <c r="Q54" i="7"/>
  <c r="P17" i="7"/>
  <c r="T54" i="7"/>
  <c r="P54" i="7"/>
  <c r="O17" i="7"/>
  <c r="AA5" i="8"/>
  <c r="W5" i="8"/>
  <c r="S5" i="8"/>
  <c r="O5" i="8"/>
  <c r="K5" i="8"/>
  <c r="M10" i="6"/>
  <c r="N44" i="4"/>
  <c r="H78" i="4"/>
  <c r="D13" i="12"/>
  <c r="D71" i="3"/>
  <c r="S82" i="4"/>
  <c r="T50" i="4"/>
  <c r="W34" i="6"/>
  <c r="X76" i="4"/>
  <c r="I34" i="6"/>
  <c r="J76" i="4"/>
  <c r="J77" i="4" s="1"/>
  <c r="K74" i="4" s="1"/>
  <c r="U14" i="14"/>
  <c r="V53" i="7"/>
  <c r="V61" i="7" s="1"/>
  <c r="V25" i="3"/>
  <c r="R54" i="7"/>
  <c r="M14" i="14"/>
  <c r="N53" i="7"/>
  <c r="N61" i="7" s="1"/>
  <c r="N25" i="3"/>
  <c r="J54" i="7"/>
  <c r="D19" i="7"/>
  <c r="M17" i="7"/>
  <c r="H8" i="10"/>
  <c r="Y5" i="8"/>
  <c r="U5" i="8"/>
  <c r="Q5" i="8"/>
  <c r="M5" i="8"/>
  <c r="I5" i="8"/>
  <c r="L17" i="7"/>
  <c r="X5" i="8"/>
  <c r="T5" i="8"/>
  <c r="P5" i="8"/>
  <c r="L5" i="8"/>
  <c r="D6" i="8"/>
  <c r="H5" i="8"/>
  <c r="AA17" i="7"/>
  <c r="K17" i="7"/>
  <c r="V7" i="9"/>
  <c r="N7" i="9"/>
  <c r="AA6" i="9"/>
  <c r="S6" i="9"/>
  <c r="K6" i="9"/>
  <c r="H10" i="6"/>
  <c r="I44" i="4"/>
  <c r="G13" i="9"/>
  <c r="G12" i="9" s="1"/>
  <c r="G20" i="9" s="1"/>
  <c r="G23" i="9" s="1"/>
  <c r="G20" i="11"/>
  <c r="G19" i="11" s="1"/>
  <c r="G17" i="11" s="1"/>
  <c r="I51" i="4"/>
  <c r="I80" i="4"/>
  <c r="H15" i="3"/>
  <c r="H60" i="3" s="1"/>
  <c r="D18" i="3"/>
  <c r="X10" i="6"/>
  <c r="Y44" i="4"/>
  <c r="H25" i="11"/>
  <c r="H17" i="10"/>
  <c r="D17" i="10" s="1"/>
  <c r="N34" i="6"/>
  <c r="O76" i="4"/>
  <c r="Z54" i="7"/>
  <c r="D23" i="10"/>
  <c r="Y17" i="7"/>
  <c r="I17" i="7"/>
  <c r="D7" i="12"/>
  <c r="Y7" i="10"/>
  <c r="Y7" i="11" s="1"/>
  <c r="U7" i="10"/>
  <c r="U7" i="11" s="1"/>
  <c r="Q7" i="10"/>
  <c r="Q7" i="11" s="1"/>
  <c r="M7" i="10"/>
  <c r="M7" i="11" s="1"/>
  <c r="I7" i="10"/>
  <c r="I7" i="11" s="1"/>
  <c r="X17" i="7"/>
  <c r="D18" i="7"/>
  <c r="H17" i="7"/>
  <c r="D17" i="7" s="1"/>
  <c r="X6" i="9"/>
  <c r="T6" i="9"/>
  <c r="P6" i="9"/>
  <c r="L6" i="9"/>
  <c r="H6" i="9"/>
  <c r="W17" i="7"/>
  <c r="AA7" i="10"/>
  <c r="AA7" i="11" s="1"/>
  <c r="W7" i="10"/>
  <c r="W7" i="11" s="1"/>
  <c r="S7" i="10"/>
  <c r="S7" i="11" s="1"/>
  <c r="O7" i="10"/>
  <c r="O7" i="11" s="1"/>
  <c r="K7" i="10"/>
  <c r="K7" i="11" s="1"/>
  <c r="H6" i="12"/>
  <c r="D5" i="7"/>
  <c r="D10" i="15" s="1"/>
  <c r="D56" i="6"/>
  <c r="H29" i="7"/>
  <c r="D29" i="7" s="1"/>
  <c r="D36" i="6"/>
  <c r="Q82" i="4"/>
  <c r="H46" i="4"/>
  <c r="H55" i="6"/>
  <c r="D28" i="7" l="1"/>
  <c r="D37" i="6"/>
  <c r="D55" i="6"/>
  <c r="N62" i="7"/>
  <c r="D7" i="9"/>
  <c r="H27" i="11"/>
  <c r="D27" i="11" s="1"/>
  <c r="H90" i="3"/>
  <c r="H64" i="3"/>
  <c r="D60" i="3"/>
  <c r="H29" i="3"/>
  <c r="D29" i="3" s="1"/>
  <c r="H80" i="3"/>
  <c r="H63" i="3"/>
  <c r="X34" i="6"/>
  <c r="Y76" i="4"/>
  <c r="N10" i="6"/>
  <c r="O44" i="4"/>
  <c r="O14" i="14"/>
  <c r="P53" i="7"/>
  <c r="P61" i="7" s="1"/>
  <c r="P25" i="3"/>
  <c r="T14" i="14"/>
  <c r="U53" i="7"/>
  <c r="U61" i="7" s="1"/>
  <c r="U25" i="3"/>
  <c r="T10" i="6"/>
  <c r="U44" i="4"/>
  <c r="D20" i="11"/>
  <c r="F19" i="11"/>
  <c r="N14" i="14"/>
  <c r="O53" i="7"/>
  <c r="O61" i="7" s="1"/>
  <c r="O62" i="7" s="1"/>
  <c r="O25" i="3"/>
  <c r="D7" i="10"/>
  <c r="G16" i="7"/>
  <c r="G27" i="3"/>
  <c r="I45" i="4"/>
  <c r="I62" i="7"/>
  <c r="G50" i="14"/>
  <c r="I47" i="4"/>
  <c r="O34" i="6"/>
  <c r="P76" i="4"/>
  <c r="Y10" i="6"/>
  <c r="Z44" i="4"/>
  <c r="S14" i="14"/>
  <c r="T53" i="7"/>
  <c r="T61" i="7" s="1"/>
  <c r="T25" i="3"/>
  <c r="R14" i="14"/>
  <c r="S53" i="7"/>
  <c r="S61" i="7" s="1"/>
  <c r="S25" i="3"/>
  <c r="D7" i="11"/>
  <c r="M62" i="7"/>
  <c r="D6" i="9"/>
  <c r="I83" i="4"/>
  <c r="J48" i="4"/>
  <c r="I10" i="6"/>
  <c r="J44" i="4"/>
  <c r="I14" i="14"/>
  <c r="J53" i="7"/>
  <c r="J61" i="7" s="1"/>
  <c r="J62" i="7" s="1"/>
  <c r="J25" i="3"/>
  <c r="Q14" i="14"/>
  <c r="R53" i="7"/>
  <c r="R61" i="7" s="1"/>
  <c r="R25" i="3"/>
  <c r="J34" i="6"/>
  <c r="K76" i="4"/>
  <c r="U50" i="4"/>
  <c r="T82" i="4"/>
  <c r="I79" i="4"/>
  <c r="T34" i="6"/>
  <c r="U76" i="4"/>
  <c r="V14" i="14"/>
  <c r="W53" i="7"/>
  <c r="W61" i="7" s="1"/>
  <c r="W62" i="7" s="1"/>
  <c r="W25" i="3"/>
  <c r="D6" i="12"/>
  <c r="H5" i="12"/>
  <c r="D5" i="12" s="1"/>
  <c r="Y14" i="14"/>
  <c r="Z53" i="7"/>
  <c r="Z61" i="7" s="1"/>
  <c r="Z62" i="7" s="1"/>
  <c r="Z25" i="3"/>
  <c r="D5" i="8"/>
  <c r="H8" i="11"/>
  <c r="D8" i="11" s="1"/>
  <c r="D8" i="10"/>
  <c r="P14" i="14"/>
  <c r="Q53" i="7"/>
  <c r="Q61" i="7" s="1"/>
  <c r="Q25" i="3"/>
  <c r="F12" i="9"/>
  <c r="F20" i="9" s="1"/>
  <c r="D13" i="9"/>
  <c r="Y62" i="7"/>
  <c r="K62" i="7" l="1"/>
  <c r="D25" i="3"/>
  <c r="S62" i="7"/>
  <c r="Q62" i="7"/>
  <c r="K34" i="6"/>
  <c r="L76" i="4"/>
  <c r="L34" i="6" s="1"/>
  <c r="J10" i="6"/>
  <c r="K44" i="4"/>
  <c r="Z10" i="6"/>
  <c r="AA44" i="4"/>
  <c r="H53" i="14"/>
  <c r="J42" i="4"/>
  <c r="J45" i="4" s="1"/>
  <c r="U62" i="7"/>
  <c r="X62" i="7"/>
  <c r="I78" i="4"/>
  <c r="T62" i="7"/>
  <c r="I46" i="4"/>
  <c r="U10" i="6"/>
  <c r="V44" i="4"/>
  <c r="V10" i="6" s="1"/>
  <c r="O10" i="6"/>
  <c r="P44" i="4"/>
  <c r="V62" i="7"/>
  <c r="H24" i="11"/>
  <c r="U34" i="6"/>
  <c r="V76" i="4"/>
  <c r="V34" i="6" s="1"/>
  <c r="J80" i="4"/>
  <c r="J51" i="4"/>
  <c r="P34" i="6"/>
  <c r="Q76" i="4"/>
  <c r="Q34" i="6" s="1"/>
  <c r="H22" i="6"/>
  <c r="G59" i="14"/>
  <c r="G58" i="14" s="1"/>
  <c r="AA62" i="3"/>
  <c r="I59" i="3"/>
  <c r="K77" i="4"/>
  <c r="L74" i="4" s="1"/>
  <c r="L77" i="4" s="1"/>
  <c r="M74" i="4" s="1"/>
  <c r="M77" i="4" s="1"/>
  <c r="N74" i="4" s="1"/>
  <c r="N77" i="4" s="1"/>
  <c r="O74" i="4" s="1"/>
  <c r="O77" i="4" s="1"/>
  <c r="P74" i="4" s="1"/>
  <c r="P77" i="4" s="1"/>
  <c r="Q74" i="4" s="1"/>
  <c r="Q77" i="4" s="1"/>
  <c r="R74" i="4" s="1"/>
  <c r="R77" i="4" s="1"/>
  <c r="S74" i="4" s="1"/>
  <c r="S77" i="4" s="1"/>
  <c r="T74" i="4" s="1"/>
  <c r="T77" i="4" s="1"/>
  <c r="U74" i="4" s="1"/>
  <c r="U77" i="4" s="1"/>
  <c r="V74" i="4" s="1"/>
  <c r="V77" i="4" s="1"/>
  <c r="W74" i="4" s="1"/>
  <c r="W77" i="4" s="1"/>
  <c r="X74" i="4" s="1"/>
  <c r="X77" i="4" s="1"/>
  <c r="Y74" i="4" s="1"/>
  <c r="Y77" i="4" s="1"/>
  <c r="Z74" i="4" s="1"/>
  <c r="E44" i="9"/>
  <c r="F23" i="9"/>
  <c r="F21" i="9"/>
  <c r="U82" i="4"/>
  <c r="V50" i="4"/>
  <c r="R62" i="7"/>
  <c r="AA62" i="7"/>
  <c r="D19" i="11"/>
  <c r="F17" i="11"/>
  <c r="D17" i="11" s="1"/>
  <c r="P62" i="7"/>
  <c r="Y34" i="6"/>
  <c r="Z76" i="4"/>
  <c r="E45" i="9" l="1"/>
  <c r="G21" i="9"/>
  <c r="I63" i="3"/>
  <c r="I64" i="3"/>
  <c r="J79" i="4"/>
  <c r="E47" i="9"/>
  <c r="F24" i="9"/>
  <c r="AA20" i="10"/>
  <c r="AA82" i="3"/>
  <c r="D62" i="3"/>
  <c r="AA92" i="3"/>
  <c r="AA30" i="11" s="1"/>
  <c r="P10" i="6"/>
  <c r="Q44" i="4"/>
  <c r="Q10" i="6" s="1"/>
  <c r="H50" i="14"/>
  <c r="J47" i="4"/>
  <c r="K10" i="6"/>
  <c r="L44" i="4"/>
  <c r="Z34" i="6"/>
  <c r="AA76" i="4"/>
  <c r="D76" i="4" s="1"/>
  <c r="W50" i="4"/>
  <c r="V82" i="4"/>
  <c r="Z77" i="4"/>
  <c r="AA74" i="4" s="1"/>
  <c r="K48" i="4"/>
  <c r="J83" i="4"/>
  <c r="I53" i="14"/>
  <c r="K42" i="4"/>
  <c r="K45" i="4" s="1"/>
  <c r="AA10" i="6"/>
  <c r="AA77" i="4" l="1"/>
  <c r="AA34" i="6"/>
  <c r="D34" i="6" s="1"/>
  <c r="K51" i="4"/>
  <c r="K80" i="4"/>
  <c r="W82" i="4"/>
  <c r="X50" i="4"/>
  <c r="L10" i="6"/>
  <c r="D10" i="6" s="1"/>
  <c r="D44" i="4"/>
  <c r="E48" i="9"/>
  <c r="G24" i="9"/>
  <c r="H59" i="14"/>
  <c r="H58" i="14" s="1"/>
  <c r="J59" i="3"/>
  <c r="I22" i="6"/>
  <c r="I61" i="3"/>
  <c r="J53" i="14"/>
  <c r="L42" i="4"/>
  <c r="L45" i="4" s="1"/>
  <c r="J46" i="4"/>
  <c r="J78" i="4"/>
  <c r="K53" i="14" l="1"/>
  <c r="M42" i="4"/>
  <c r="M45" i="4" s="1"/>
  <c r="J63" i="3"/>
  <c r="J64" i="3"/>
  <c r="K79" i="4"/>
  <c r="K78" i="4" s="1"/>
  <c r="K83" i="4"/>
  <c r="L48" i="4"/>
  <c r="Y50" i="4"/>
  <c r="X82" i="4"/>
  <c r="I50" i="14"/>
  <c r="K47" i="4"/>
  <c r="K46" i="4" s="1"/>
  <c r="J50" i="14" l="1"/>
  <c r="L47" i="4"/>
  <c r="L46" i="4" s="1"/>
  <c r="L79" i="4"/>
  <c r="L78" i="4" s="1"/>
  <c r="J61" i="3"/>
  <c r="J22" i="6"/>
  <c r="Y82" i="4"/>
  <c r="Z50" i="4"/>
  <c r="L53" i="14"/>
  <c r="N42" i="4"/>
  <c r="N45" i="4" s="1"/>
  <c r="L80" i="4"/>
  <c r="L51" i="4"/>
  <c r="I59" i="14"/>
  <c r="I58" i="14" s="1"/>
  <c r="K59" i="3"/>
  <c r="K50" i="14" l="1"/>
  <c r="M47" i="4"/>
  <c r="M46" i="4" s="1"/>
  <c r="K63" i="3"/>
  <c r="K64" i="3"/>
  <c r="M53" i="14"/>
  <c r="O42" i="4"/>
  <c r="O45" i="4" s="1"/>
  <c r="M79" i="4"/>
  <c r="M78" i="4" s="1"/>
  <c r="L83" i="4"/>
  <c r="M48" i="4"/>
  <c r="AA50" i="4"/>
  <c r="Z82" i="4"/>
  <c r="L50" i="14" l="1"/>
  <c r="N47" i="4"/>
  <c r="N46" i="4" s="1"/>
  <c r="M51" i="4"/>
  <c r="M80" i="4"/>
  <c r="N79" i="4"/>
  <c r="N78" i="4" s="1"/>
  <c r="K22" i="6"/>
  <c r="K61" i="3"/>
  <c r="N53" i="14"/>
  <c r="P42" i="4"/>
  <c r="P45" i="4" s="1"/>
  <c r="AA82" i="4"/>
  <c r="D82" i="4" s="1"/>
  <c r="D50" i="4"/>
  <c r="J59" i="14"/>
  <c r="J58" i="14" s="1"/>
  <c r="L59" i="3"/>
  <c r="M50" i="14" l="1"/>
  <c r="O47" i="4"/>
  <c r="O46" i="4" s="1"/>
  <c r="O79" i="4"/>
  <c r="O78" i="4" s="1"/>
  <c r="L64" i="3"/>
  <c r="L63" i="3"/>
  <c r="O53" i="14"/>
  <c r="Q42" i="4"/>
  <c r="Q45" i="4" s="1"/>
  <c r="M83" i="4"/>
  <c r="N48" i="4"/>
  <c r="N50" i="14" l="1"/>
  <c r="P47" i="4"/>
  <c r="P46" i="4" s="1"/>
  <c r="P79" i="4"/>
  <c r="P78" i="4" s="1"/>
  <c r="L22" i="6"/>
  <c r="L61" i="3"/>
  <c r="K59" i="14"/>
  <c r="K58" i="14" s="1"/>
  <c r="M59" i="3"/>
  <c r="N80" i="4"/>
  <c r="N51" i="4"/>
  <c r="P53" i="14"/>
  <c r="R42" i="4"/>
  <c r="R45" i="4" s="1"/>
  <c r="O50" i="14" l="1"/>
  <c r="Q47" i="4"/>
  <c r="Q46" i="4" s="1"/>
  <c r="O48" i="4"/>
  <c r="N83" i="4"/>
  <c r="Q79" i="4"/>
  <c r="Q78" i="4" s="1"/>
  <c r="Q53" i="14"/>
  <c r="S42" i="4"/>
  <c r="S45" i="4" s="1"/>
  <c r="M63" i="3"/>
  <c r="M64" i="3"/>
  <c r="P50" i="14" l="1"/>
  <c r="R47" i="4"/>
  <c r="R46" i="4" s="1"/>
  <c r="R79" i="4"/>
  <c r="R78" i="4" s="1"/>
  <c r="O51" i="4"/>
  <c r="O80" i="4"/>
  <c r="L59" i="14"/>
  <c r="L58" i="14" s="1"/>
  <c r="N59" i="3"/>
  <c r="M22" i="6"/>
  <c r="M61" i="3"/>
  <c r="R53" i="14"/>
  <c r="T42" i="4"/>
  <c r="T45" i="4" s="1"/>
  <c r="Q50" i="14" l="1"/>
  <c r="S47" i="4"/>
  <c r="S46" i="4" s="1"/>
  <c r="S79" i="4"/>
  <c r="S78" i="4" s="1"/>
  <c r="O83" i="4"/>
  <c r="P48" i="4"/>
  <c r="S53" i="14"/>
  <c r="U42" i="4"/>
  <c r="U45" i="4" s="1"/>
  <c r="N63" i="3"/>
  <c r="N64" i="3"/>
  <c r="R50" i="14" l="1"/>
  <c r="T47" i="4"/>
  <c r="T46" i="4" s="1"/>
  <c r="T79" i="4"/>
  <c r="T78" i="4" s="1"/>
  <c r="M59" i="14"/>
  <c r="M58" i="14" s="1"/>
  <c r="O59" i="3"/>
  <c r="P80" i="4"/>
  <c r="P51" i="4"/>
  <c r="N61" i="3"/>
  <c r="N22" i="6"/>
  <c r="T53" i="14"/>
  <c r="V42" i="4"/>
  <c r="V45" i="4" s="1"/>
  <c r="S50" i="14" l="1"/>
  <c r="U47" i="4"/>
  <c r="U46" i="4" s="1"/>
  <c r="U79" i="4"/>
  <c r="U78" i="4" s="1"/>
  <c r="O63" i="3"/>
  <c r="O64" i="3"/>
  <c r="U53" i="14"/>
  <c r="W42" i="4"/>
  <c r="W45" i="4" s="1"/>
  <c r="P83" i="4"/>
  <c r="Q48" i="4"/>
  <c r="T50" i="14" l="1"/>
  <c r="V47" i="4"/>
  <c r="V46" i="4" s="1"/>
  <c r="V79" i="4"/>
  <c r="V78" i="4" s="1"/>
  <c r="N59" i="14"/>
  <c r="N58" i="14" s="1"/>
  <c r="P59" i="3"/>
  <c r="O22" i="6"/>
  <c r="O61" i="3"/>
  <c r="Q51" i="4"/>
  <c r="Q80" i="4"/>
  <c r="V53" i="14"/>
  <c r="X42" i="4"/>
  <c r="X45" i="4" s="1"/>
  <c r="U50" i="14" l="1"/>
  <c r="W47" i="4"/>
  <c r="W79" i="4"/>
  <c r="W78" i="4" s="1"/>
  <c r="P64" i="3"/>
  <c r="P63" i="3"/>
  <c r="Q83" i="4"/>
  <c r="R48" i="4"/>
  <c r="W53" i="14"/>
  <c r="Y42" i="4"/>
  <c r="Y45" i="4" s="1"/>
  <c r="X79" i="4" l="1"/>
  <c r="X53" i="14"/>
  <c r="Z42" i="4"/>
  <c r="Z45" i="4" s="1"/>
  <c r="W52" i="4"/>
  <c r="W11" i="6"/>
  <c r="O59" i="14"/>
  <c r="O58" i="14" s="1"/>
  <c r="Q59" i="3"/>
  <c r="W46" i="4"/>
  <c r="P22" i="6"/>
  <c r="P61" i="3"/>
  <c r="R80" i="4"/>
  <c r="R51" i="4"/>
  <c r="W35" i="6"/>
  <c r="W84" i="4"/>
  <c r="Q63" i="3" l="1"/>
  <c r="Q64" i="3"/>
  <c r="Y53" i="14"/>
  <c r="AA42" i="4"/>
  <c r="AA45" i="4" s="1"/>
  <c r="Z53" i="14" s="1"/>
  <c r="X35" i="6"/>
  <c r="X84" i="4"/>
  <c r="S48" i="4"/>
  <c r="R83" i="4"/>
  <c r="V50" i="14"/>
  <c r="X47" i="4"/>
  <c r="X78" i="4"/>
  <c r="X52" i="4" l="1"/>
  <c r="X11" i="6"/>
  <c r="S51" i="4"/>
  <c r="S80" i="4"/>
  <c r="X46" i="4"/>
  <c r="P59" i="14"/>
  <c r="P58" i="14" s="1"/>
  <c r="R59" i="3"/>
  <c r="Y79" i="4"/>
  <c r="Y78" i="4" s="1"/>
  <c r="Q22" i="6"/>
  <c r="Q61" i="3"/>
  <c r="Z79" i="4" l="1"/>
  <c r="R63" i="3"/>
  <c r="R64" i="3"/>
  <c r="S83" i="4"/>
  <c r="T48" i="4"/>
  <c r="Y35" i="6"/>
  <c r="Y84" i="4"/>
  <c r="W50" i="14"/>
  <c r="Y47" i="4"/>
  <c r="Q59" i="14" l="1"/>
  <c r="Q58" i="14" s="1"/>
  <c r="S59" i="3"/>
  <c r="R61" i="3"/>
  <c r="R22" i="6"/>
  <c r="Y11" i="6"/>
  <c r="Y52" i="4"/>
  <c r="Y46" i="4"/>
  <c r="T80" i="4"/>
  <c r="T51" i="4"/>
  <c r="Z35" i="6"/>
  <c r="Z84" i="4"/>
  <c r="Z78" i="4"/>
  <c r="AA79" i="4" l="1"/>
  <c r="X50" i="14"/>
  <c r="Z47" i="4"/>
  <c r="Z46" i="4" s="1"/>
  <c r="S63" i="3"/>
  <c r="S64" i="3"/>
  <c r="U48" i="4"/>
  <c r="T83" i="4"/>
  <c r="U51" i="4" l="1"/>
  <c r="U80" i="4"/>
  <c r="Y50" i="14"/>
  <c r="AA46" i="4"/>
  <c r="Z50" i="14" s="1"/>
  <c r="AA47" i="4"/>
  <c r="R59" i="14"/>
  <c r="R58" i="14" s="1"/>
  <c r="T59" i="3"/>
  <c r="S22" i="6"/>
  <c r="S61" i="3"/>
  <c r="AA35" i="6"/>
  <c r="AA84" i="4"/>
  <c r="D79" i="4"/>
  <c r="Z11" i="6"/>
  <c r="Z52" i="4"/>
  <c r="AA78" i="4"/>
  <c r="T64" i="3" l="1"/>
  <c r="T63" i="3"/>
  <c r="AA11" i="6"/>
  <c r="AA52" i="4"/>
  <c r="D47" i="4"/>
  <c r="U83" i="4"/>
  <c r="V48" i="4"/>
  <c r="V80" i="4" l="1"/>
  <c r="V51" i="4"/>
  <c r="T22" i="6"/>
  <c r="T61" i="3"/>
  <c r="S59" i="14"/>
  <c r="S58" i="14" s="1"/>
  <c r="U59" i="3"/>
  <c r="U63" i="3" l="1"/>
  <c r="U64" i="3"/>
  <c r="W48" i="4"/>
  <c r="V83" i="4"/>
  <c r="W51" i="4" l="1"/>
  <c r="W80" i="4"/>
  <c r="T59" i="14"/>
  <c r="T58" i="14" s="1"/>
  <c r="V59" i="3"/>
  <c r="U22" i="6"/>
  <c r="U61" i="3"/>
  <c r="V63" i="3" l="1"/>
  <c r="V64" i="3"/>
  <c r="W83" i="4"/>
  <c r="X48" i="4"/>
  <c r="X80" i="4" l="1"/>
  <c r="X51" i="4"/>
  <c r="U59" i="14"/>
  <c r="U58" i="14" s="1"/>
  <c r="W59" i="3"/>
  <c r="V22" i="6"/>
  <c r="V61" i="3"/>
  <c r="W63" i="3" l="1"/>
  <c r="W89" i="3"/>
  <c r="W64" i="3"/>
  <c r="Y48" i="4"/>
  <c r="X83" i="4"/>
  <c r="Y51" i="4" l="1"/>
  <c r="Y80" i="4"/>
  <c r="V59" i="14"/>
  <c r="V58" i="14" s="1"/>
  <c r="W94" i="3"/>
  <c r="X59" i="3"/>
  <c r="W84" i="3"/>
  <c r="W21" i="10"/>
  <c r="W18" i="10" s="1"/>
  <c r="W22" i="6"/>
  <c r="W20" i="6" s="1"/>
  <c r="W83" i="3"/>
  <c r="W93" i="3"/>
  <c r="W31" i="11" s="1"/>
  <c r="W61" i="3"/>
  <c r="W91" i="3" l="1"/>
  <c r="W81" i="3"/>
  <c r="X89" i="3"/>
  <c r="X64" i="3"/>
  <c r="X79" i="3"/>
  <c r="X63" i="3"/>
  <c r="Y83" i="4"/>
  <c r="Z48" i="4"/>
  <c r="Z80" i="4" l="1"/>
  <c r="Z51" i="4"/>
  <c r="W59" i="14"/>
  <c r="W58" i="14" s="1"/>
  <c r="X84" i="3"/>
  <c r="X94" i="3"/>
  <c r="Y59" i="3"/>
  <c r="X21" i="10"/>
  <c r="X18" i="10" s="1"/>
  <c r="X22" i="6"/>
  <c r="X20" i="6" s="1"/>
  <c r="X83" i="3"/>
  <c r="X93" i="3"/>
  <c r="X31" i="11" s="1"/>
  <c r="X61" i="3"/>
  <c r="X81" i="3" l="1"/>
  <c r="X91" i="3"/>
  <c r="Y79" i="3"/>
  <c r="Y63" i="3"/>
  <c r="Y89" i="3"/>
  <c r="Y64" i="3"/>
  <c r="AA48" i="4"/>
  <c r="Z83" i="4"/>
  <c r="Y21" i="10" l="1"/>
  <c r="Y18" i="10" s="1"/>
  <c r="Y22" i="6"/>
  <c r="Y20" i="6" s="1"/>
  <c r="Y93" i="3"/>
  <c r="Y31" i="11" s="1"/>
  <c r="Y61" i="3"/>
  <c r="Y83" i="3"/>
  <c r="X59" i="14"/>
  <c r="X58" i="14" s="1"/>
  <c r="Y84" i="3"/>
  <c r="Y94" i="3"/>
  <c r="Z59" i="3"/>
  <c r="AA51" i="4"/>
  <c r="AA83" i="4" s="1"/>
  <c r="AA80" i="4"/>
  <c r="Y81" i="3" l="1"/>
  <c r="Y91" i="3"/>
  <c r="Z79" i="3"/>
  <c r="Z63" i="3"/>
  <c r="Z89" i="3"/>
  <c r="Z64" i="3"/>
  <c r="Z21" i="10" l="1"/>
  <c r="Z18" i="10" s="1"/>
  <c r="Z61" i="3"/>
  <c r="Z83" i="3"/>
  <c r="Z22" i="6"/>
  <c r="Z20" i="6" s="1"/>
  <c r="Z93" i="3"/>
  <c r="Z31" i="11" s="1"/>
  <c r="Y59" i="14"/>
  <c r="Y58" i="14" s="1"/>
  <c r="Z84" i="3"/>
  <c r="Z94" i="3"/>
  <c r="AA59" i="3"/>
  <c r="Z81" i="3" l="1"/>
  <c r="Z91" i="3"/>
  <c r="AA79" i="3"/>
  <c r="AA63" i="3"/>
  <c r="AA89" i="3"/>
  <c r="AA64" i="3"/>
  <c r="AA21" i="10" l="1"/>
  <c r="AA18" i="10" s="1"/>
  <c r="AA22" i="6"/>
  <c r="AA83" i="3"/>
  <c r="AA93" i="3"/>
  <c r="AA31" i="11" s="1"/>
  <c r="AA61" i="3"/>
  <c r="D63" i="3"/>
  <c r="Z59" i="14"/>
  <c r="Z58" i="14" s="1"/>
  <c r="AA94" i="3"/>
  <c r="D94" i="3" s="1"/>
  <c r="AA84" i="3"/>
  <c r="D84" i="3" s="1"/>
  <c r="D64" i="3"/>
  <c r="AA20" i="6" l="1"/>
  <c r="D22" i="6"/>
  <c r="AA91" i="3"/>
  <c r="AA81" i="3"/>
  <c r="D61" i="3"/>
  <c r="E5" i="14" l="1"/>
  <c r="F5" i="14"/>
  <c r="G5" i="14"/>
  <c r="H5" i="14"/>
  <c r="I5" i="14"/>
  <c r="J5" i="14"/>
  <c r="K5" i="14"/>
  <c r="L5" i="14"/>
  <c r="M5" i="14"/>
  <c r="N5" i="14"/>
  <c r="O5" i="14"/>
  <c r="P5" i="14"/>
  <c r="Q5" i="14"/>
  <c r="R5" i="14"/>
  <c r="S5" i="14"/>
  <c r="T5" i="14"/>
  <c r="U5" i="14"/>
  <c r="V5" i="14"/>
  <c r="W5" i="14"/>
  <c r="X5" i="14"/>
  <c r="Y5" i="14"/>
  <c r="Z5" i="14"/>
  <c r="E6" i="14"/>
  <c r="F6" i="14"/>
  <c r="G6" i="14"/>
  <c r="H6" i="14"/>
  <c r="I6" i="14"/>
  <c r="J6" i="14"/>
  <c r="K6" i="14"/>
  <c r="L6" i="14"/>
  <c r="M6" i="14"/>
  <c r="N6" i="14"/>
  <c r="O6" i="14"/>
  <c r="P6" i="14"/>
  <c r="Q6" i="14"/>
  <c r="R6" i="14"/>
  <c r="S6" i="14"/>
  <c r="T6" i="14"/>
  <c r="U6" i="14"/>
  <c r="V6" i="14"/>
  <c r="W6" i="14"/>
  <c r="X6" i="14"/>
  <c r="Y6" i="14"/>
  <c r="Z6" i="14"/>
  <c r="E7" i="14"/>
  <c r="F7" i="14"/>
  <c r="G7" i="14"/>
  <c r="H7" i="14"/>
  <c r="I7" i="14"/>
  <c r="J7" i="14"/>
  <c r="K7" i="14"/>
  <c r="L7" i="14"/>
  <c r="M7" i="14"/>
  <c r="N7" i="14"/>
  <c r="O7" i="14"/>
  <c r="P7" i="14"/>
  <c r="Q7" i="14"/>
  <c r="R7" i="14"/>
  <c r="S7" i="14"/>
  <c r="T7" i="14"/>
  <c r="U7" i="14"/>
  <c r="V7" i="14"/>
  <c r="W7" i="14"/>
  <c r="X7" i="14"/>
  <c r="Y7" i="14"/>
  <c r="Z7" i="14"/>
  <c r="E31" i="14"/>
  <c r="F31" i="14"/>
  <c r="G31" i="14"/>
  <c r="H31" i="14"/>
  <c r="I31" i="14"/>
  <c r="J31" i="14"/>
  <c r="K31" i="14"/>
  <c r="L31" i="14"/>
  <c r="M31" i="14"/>
  <c r="N31" i="14"/>
  <c r="O31" i="14"/>
  <c r="P31" i="14"/>
  <c r="Q31" i="14"/>
  <c r="R31" i="14"/>
  <c r="S31" i="14"/>
  <c r="T31" i="14"/>
  <c r="U31" i="14"/>
  <c r="V31" i="14"/>
  <c r="W31" i="14"/>
  <c r="X31" i="14"/>
  <c r="Y31" i="14"/>
  <c r="Z31" i="14"/>
  <c r="G42" i="14"/>
  <c r="H42" i="14"/>
  <c r="I42" i="14"/>
  <c r="J42" i="14"/>
  <c r="K42" i="14"/>
  <c r="L42" i="14"/>
  <c r="M42" i="14"/>
  <c r="N42" i="14"/>
  <c r="O42" i="14"/>
  <c r="P42" i="14"/>
  <c r="Q42" i="14"/>
  <c r="R42" i="14"/>
  <c r="S42" i="14"/>
  <c r="T42" i="14"/>
  <c r="U42" i="14"/>
  <c r="V42" i="14"/>
  <c r="W42" i="14"/>
  <c r="X42" i="14"/>
  <c r="Y42" i="14"/>
  <c r="Z42" i="14"/>
  <c r="G43" i="14"/>
  <c r="H43" i="14"/>
  <c r="I43" i="14"/>
  <c r="J43" i="14"/>
  <c r="K43" i="14"/>
  <c r="L43" i="14"/>
  <c r="M43" i="14"/>
  <c r="N43" i="14"/>
  <c r="O43" i="14"/>
  <c r="P43" i="14"/>
  <c r="Q43" i="14"/>
  <c r="R43" i="14"/>
  <c r="S43" i="14"/>
  <c r="T43" i="14"/>
  <c r="U43" i="14"/>
  <c r="V43" i="14"/>
  <c r="W43" i="14"/>
  <c r="X43" i="14"/>
  <c r="Y43" i="14"/>
  <c r="Z43" i="14"/>
  <c r="G44" i="14"/>
  <c r="H44" i="14"/>
  <c r="I44" i="14"/>
  <c r="J44" i="14"/>
  <c r="K44" i="14"/>
  <c r="L44" i="14"/>
  <c r="M44" i="14"/>
  <c r="N44" i="14"/>
  <c r="O44" i="14"/>
  <c r="P44" i="14"/>
  <c r="Q44" i="14"/>
  <c r="R44" i="14"/>
  <c r="S44" i="14"/>
  <c r="T44" i="14"/>
  <c r="U44" i="14"/>
  <c r="V44" i="14"/>
  <c r="W44" i="14"/>
  <c r="X44" i="14"/>
  <c r="Y44" i="14"/>
  <c r="Z44" i="14"/>
  <c r="E46" i="14"/>
  <c r="F46" i="14"/>
  <c r="E57" i="14"/>
  <c r="F57" i="14"/>
  <c r="G57" i="14"/>
  <c r="H57" i="14"/>
  <c r="I57" i="14"/>
  <c r="J57" i="14"/>
  <c r="K57" i="14"/>
  <c r="L57" i="14"/>
  <c r="M57" i="14"/>
  <c r="N57" i="14"/>
  <c r="O57" i="14"/>
  <c r="P57" i="14"/>
  <c r="Q57" i="14"/>
  <c r="R57" i="14"/>
  <c r="S57" i="14"/>
  <c r="T57" i="14"/>
  <c r="U57" i="14"/>
  <c r="V57" i="14"/>
  <c r="W57" i="14"/>
  <c r="X57" i="14"/>
  <c r="Y57" i="14"/>
  <c r="Z57" i="14"/>
  <c r="E86" i="14"/>
  <c r="F86" i="14"/>
  <c r="G86" i="14"/>
  <c r="H86" i="14"/>
  <c r="I86" i="14"/>
  <c r="J86" i="14"/>
  <c r="K86" i="14"/>
  <c r="L86" i="14"/>
  <c r="M86" i="14"/>
  <c r="N86" i="14"/>
  <c r="O86" i="14"/>
  <c r="P86" i="14"/>
  <c r="Q86" i="14"/>
  <c r="R86" i="14"/>
  <c r="S86" i="14"/>
  <c r="T86" i="14"/>
  <c r="U86" i="14"/>
  <c r="V86" i="14"/>
  <c r="W86" i="14"/>
  <c r="X86" i="14"/>
  <c r="Y86" i="14"/>
  <c r="Z86" i="14"/>
  <c r="E88" i="14"/>
  <c r="F88" i="14"/>
  <c r="G88" i="14"/>
  <c r="H88" i="14"/>
  <c r="I88" i="14"/>
  <c r="J88" i="14"/>
  <c r="K88" i="14"/>
  <c r="L88" i="14"/>
  <c r="M88" i="14"/>
  <c r="N88" i="14"/>
  <c r="O88" i="14"/>
  <c r="P88" i="14"/>
  <c r="Q88" i="14"/>
  <c r="R88" i="14"/>
  <c r="S88" i="14"/>
  <c r="T88" i="14"/>
  <c r="U88" i="14"/>
  <c r="G96" i="14"/>
  <c r="H96" i="14"/>
  <c r="I96" i="14"/>
  <c r="J96" i="14"/>
  <c r="K96" i="14"/>
  <c r="L96" i="14"/>
  <c r="M96" i="14"/>
  <c r="N96" i="14"/>
  <c r="O96" i="14"/>
  <c r="P96" i="14"/>
  <c r="Q96" i="14"/>
  <c r="R96" i="14"/>
  <c r="S96" i="14"/>
  <c r="T96" i="14"/>
  <c r="U96" i="14"/>
  <c r="V96" i="14"/>
  <c r="W96" i="14"/>
  <c r="X96" i="14"/>
  <c r="Y96" i="14"/>
  <c r="Z96" i="14"/>
  <c r="E100" i="14"/>
  <c r="F100" i="14"/>
  <c r="G100" i="14"/>
  <c r="H100" i="14"/>
  <c r="I100" i="14"/>
  <c r="J100" i="14"/>
  <c r="K100" i="14"/>
  <c r="L100" i="14"/>
  <c r="M100" i="14"/>
  <c r="N100" i="14"/>
  <c r="O100" i="14"/>
  <c r="P100" i="14"/>
  <c r="Q100" i="14"/>
  <c r="R100" i="14"/>
  <c r="S100" i="14"/>
  <c r="T100" i="14"/>
  <c r="U100" i="14"/>
  <c r="V100" i="14"/>
  <c r="W100" i="14"/>
  <c r="X100" i="14"/>
  <c r="Y100" i="14"/>
  <c r="Z100" i="14"/>
  <c r="E101" i="14"/>
  <c r="F101" i="14"/>
  <c r="G101" i="14"/>
  <c r="H101" i="14"/>
  <c r="I101" i="14"/>
  <c r="J101" i="14"/>
  <c r="K101" i="14"/>
  <c r="L101" i="14"/>
  <c r="M101" i="14"/>
  <c r="N101" i="14"/>
  <c r="O101" i="14"/>
  <c r="P101" i="14"/>
  <c r="Q101" i="14"/>
  <c r="R101" i="14"/>
  <c r="S101" i="14"/>
  <c r="T101" i="14"/>
  <c r="U101" i="14"/>
  <c r="V101" i="14"/>
  <c r="W101" i="14"/>
  <c r="X101" i="14"/>
  <c r="Y101" i="14"/>
  <c r="Z101" i="14"/>
  <c r="E108" i="14"/>
  <c r="F108" i="14"/>
  <c r="G108" i="14"/>
  <c r="H108" i="14"/>
  <c r="I108" i="14"/>
  <c r="J108" i="14"/>
  <c r="K108" i="14"/>
  <c r="L108" i="14"/>
  <c r="M108" i="14"/>
  <c r="N108" i="14"/>
  <c r="O108" i="14"/>
  <c r="P108" i="14"/>
  <c r="Q108" i="14"/>
  <c r="R108" i="14"/>
  <c r="S108" i="14"/>
  <c r="T108" i="14"/>
  <c r="U108" i="14"/>
  <c r="V108" i="14"/>
  <c r="W108" i="14"/>
  <c r="X108" i="14"/>
  <c r="Y108" i="14"/>
  <c r="Z108" i="14"/>
  <c r="G117" i="14"/>
  <c r="H117" i="14"/>
  <c r="I117" i="14"/>
  <c r="J117" i="14"/>
  <c r="K117" i="14"/>
  <c r="L117" i="14"/>
  <c r="M117" i="14"/>
  <c r="N117" i="14"/>
  <c r="O117" i="14"/>
  <c r="P117" i="14"/>
  <c r="Q117" i="14"/>
  <c r="R117" i="14"/>
  <c r="S117" i="14"/>
  <c r="T117" i="14"/>
  <c r="U117" i="14"/>
  <c r="V117" i="14"/>
  <c r="W117" i="14"/>
  <c r="X117" i="14"/>
  <c r="Y117" i="14"/>
  <c r="Z117" i="14"/>
  <c r="G118" i="14"/>
  <c r="H118" i="14"/>
  <c r="I118" i="14"/>
  <c r="J118" i="14"/>
  <c r="K118" i="14"/>
  <c r="L118" i="14"/>
  <c r="M118" i="14"/>
  <c r="N118" i="14"/>
  <c r="O118" i="14"/>
  <c r="P118" i="14"/>
  <c r="Q118" i="14"/>
  <c r="R118" i="14"/>
  <c r="S118" i="14"/>
  <c r="T118" i="14"/>
  <c r="U118" i="14"/>
  <c r="V118" i="14"/>
  <c r="W118" i="14"/>
  <c r="X118" i="14"/>
  <c r="Y118" i="14"/>
  <c r="Z118" i="14"/>
  <c r="G124" i="14"/>
  <c r="H124" i="14"/>
  <c r="I124" i="14"/>
  <c r="J124" i="14"/>
  <c r="K124" i="14"/>
  <c r="L124" i="14"/>
  <c r="M124" i="14"/>
  <c r="N124" i="14"/>
  <c r="O124" i="14"/>
  <c r="P124" i="14"/>
  <c r="Q124" i="14"/>
  <c r="R124" i="14"/>
  <c r="S124" i="14"/>
  <c r="T124" i="14"/>
  <c r="U124" i="14"/>
  <c r="V124" i="14"/>
  <c r="W124" i="14"/>
  <c r="X124" i="14"/>
  <c r="Y124" i="14"/>
  <c r="Z124" i="14"/>
  <c r="E127" i="14"/>
  <c r="F127" i="14"/>
  <c r="G127" i="14"/>
  <c r="H127" i="14"/>
  <c r="I127" i="14"/>
  <c r="J127" i="14"/>
  <c r="K127" i="14"/>
  <c r="L127" i="14"/>
  <c r="M127" i="14"/>
  <c r="N127" i="14"/>
  <c r="O127" i="14"/>
  <c r="P127" i="14"/>
  <c r="Q127" i="14"/>
  <c r="R127" i="14"/>
  <c r="S127" i="14"/>
  <c r="T127" i="14"/>
  <c r="U127" i="14"/>
  <c r="V127" i="14"/>
  <c r="W127" i="14"/>
  <c r="X127" i="14"/>
  <c r="Y127" i="14"/>
  <c r="Z127" i="14"/>
  <c r="E128" i="14"/>
  <c r="F128" i="14"/>
  <c r="G128" i="14"/>
  <c r="H128" i="14"/>
  <c r="I128" i="14"/>
  <c r="J128" i="14"/>
  <c r="K128" i="14"/>
  <c r="L128" i="14"/>
  <c r="M128" i="14"/>
  <c r="N128" i="14"/>
  <c r="O128" i="14"/>
  <c r="P128" i="14"/>
  <c r="Q128" i="14"/>
  <c r="R128" i="14"/>
  <c r="S128" i="14"/>
  <c r="T128" i="14"/>
  <c r="U128" i="14"/>
  <c r="V128" i="14"/>
  <c r="W128" i="14"/>
  <c r="X128" i="14"/>
  <c r="Y128" i="14"/>
  <c r="Z128" i="14"/>
  <c r="C129" i="14"/>
  <c r="E129" i="14"/>
  <c r="F129" i="14"/>
  <c r="G129" i="14"/>
  <c r="H129" i="14"/>
  <c r="I129" i="14"/>
  <c r="J129" i="14"/>
  <c r="K129" i="14"/>
  <c r="L129" i="14"/>
  <c r="M129" i="14"/>
  <c r="N129" i="14"/>
  <c r="O129" i="14"/>
  <c r="P129" i="14"/>
  <c r="Q129" i="14"/>
  <c r="R129" i="14"/>
  <c r="S129" i="14"/>
  <c r="T129" i="14"/>
  <c r="U129" i="14"/>
  <c r="V129" i="14"/>
  <c r="W129" i="14"/>
  <c r="X129" i="14"/>
  <c r="Y129" i="14"/>
  <c r="Z129" i="14"/>
  <c r="D6" i="3"/>
  <c r="F6" i="3"/>
  <c r="G6" i="3"/>
  <c r="D8" i="3"/>
  <c r="F8" i="3"/>
  <c r="G8" i="3"/>
  <c r="D11" i="3"/>
  <c r="F11" i="3"/>
  <c r="G11" i="3"/>
  <c r="D12" i="3"/>
  <c r="F12" i="3"/>
  <c r="G12" i="3"/>
  <c r="D15" i="3"/>
  <c r="F15" i="3"/>
  <c r="G15" i="3"/>
  <c r="D16" i="3"/>
  <c r="F16" i="3"/>
  <c r="G16" i="3"/>
  <c r="D17" i="3"/>
  <c r="F17" i="3"/>
  <c r="G17" i="3"/>
  <c r="D23" i="3"/>
  <c r="F23" i="3"/>
  <c r="G23" i="3"/>
  <c r="H23" i="3"/>
  <c r="I23" i="3"/>
  <c r="J23" i="3"/>
  <c r="K23" i="3"/>
  <c r="L23" i="3"/>
  <c r="M23" i="3"/>
  <c r="N23" i="3"/>
  <c r="O23" i="3"/>
  <c r="P23" i="3"/>
  <c r="Q23" i="3"/>
  <c r="R23" i="3"/>
  <c r="S23" i="3"/>
  <c r="T23" i="3"/>
  <c r="U23" i="3"/>
  <c r="V23" i="3"/>
  <c r="W23" i="3"/>
  <c r="X23" i="3"/>
  <c r="Y23" i="3"/>
  <c r="Z23" i="3"/>
  <c r="AA23" i="3"/>
  <c r="D24" i="3"/>
  <c r="F24" i="3"/>
  <c r="G24" i="3"/>
  <c r="H24" i="3"/>
  <c r="I24" i="3"/>
  <c r="J24" i="3"/>
  <c r="K24" i="3"/>
  <c r="L24" i="3"/>
  <c r="M24" i="3"/>
  <c r="N24" i="3"/>
  <c r="O24" i="3"/>
  <c r="P24" i="3"/>
  <c r="Q24" i="3"/>
  <c r="R24" i="3"/>
  <c r="S24" i="3"/>
  <c r="T24" i="3"/>
  <c r="U24" i="3"/>
  <c r="V24" i="3"/>
  <c r="W24" i="3"/>
  <c r="X24" i="3"/>
  <c r="Y24" i="3"/>
  <c r="Z24" i="3"/>
  <c r="AA24" i="3"/>
  <c r="D27" i="3"/>
  <c r="H27" i="3"/>
  <c r="I27" i="3"/>
  <c r="J27" i="3"/>
  <c r="K27" i="3"/>
  <c r="L27" i="3"/>
  <c r="M27" i="3"/>
  <c r="N27" i="3"/>
  <c r="O27" i="3"/>
  <c r="P27" i="3"/>
  <c r="Q27" i="3"/>
  <c r="R27" i="3"/>
  <c r="S27" i="3"/>
  <c r="T27" i="3"/>
  <c r="U27" i="3"/>
  <c r="V27" i="3"/>
  <c r="W27" i="3"/>
  <c r="X27" i="3"/>
  <c r="Y27" i="3"/>
  <c r="Z27" i="3"/>
  <c r="AA27" i="3"/>
  <c r="D28" i="3"/>
  <c r="H28" i="3"/>
  <c r="I28" i="3"/>
  <c r="J28" i="3"/>
  <c r="K28" i="3"/>
  <c r="L28" i="3"/>
  <c r="M28" i="3"/>
  <c r="N28" i="3"/>
  <c r="O28" i="3"/>
  <c r="P28" i="3"/>
  <c r="Q28" i="3"/>
  <c r="R28" i="3"/>
  <c r="S28" i="3"/>
  <c r="T28" i="3"/>
  <c r="U28" i="3"/>
  <c r="V28" i="3"/>
  <c r="W28" i="3"/>
  <c r="X28" i="3"/>
  <c r="Y28" i="3"/>
  <c r="Z28" i="3"/>
  <c r="AA28" i="3"/>
  <c r="D32" i="3"/>
  <c r="H32" i="3"/>
  <c r="I32" i="3"/>
  <c r="J32" i="3"/>
  <c r="K32" i="3"/>
  <c r="L32" i="3"/>
  <c r="M32" i="3"/>
  <c r="N32" i="3"/>
  <c r="O32" i="3"/>
  <c r="P32" i="3"/>
  <c r="Q32" i="3"/>
  <c r="R32" i="3"/>
  <c r="S32" i="3"/>
  <c r="T32" i="3"/>
  <c r="U32" i="3"/>
  <c r="V32" i="3"/>
  <c r="W32" i="3"/>
  <c r="X32" i="3"/>
  <c r="Y32" i="3"/>
  <c r="Z32" i="3"/>
  <c r="AA32" i="3"/>
  <c r="D33" i="3"/>
  <c r="H33" i="3"/>
  <c r="I33" i="3"/>
  <c r="J33" i="3"/>
  <c r="K33" i="3"/>
  <c r="L33" i="3"/>
  <c r="M33" i="3"/>
  <c r="N33" i="3"/>
  <c r="O33" i="3"/>
  <c r="P33" i="3"/>
  <c r="Q33" i="3"/>
  <c r="R33" i="3"/>
  <c r="S33" i="3"/>
  <c r="T33" i="3"/>
  <c r="U33" i="3"/>
  <c r="V33" i="3"/>
  <c r="W33" i="3"/>
  <c r="X33" i="3"/>
  <c r="Y33" i="3"/>
  <c r="Z33" i="3"/>
  <c r="AA33" i="3"/>
  <c r="G39" i="3"/>
  <c r="H39" i="3"/>
  <c r="I39" i="3"/>
  <c r="J39" i="3"/>
  <c r="K39" i="3"/>
  <c r="L39" i="3"/>
  <c r="M39" i="3"/>
  <c r="N39" i="3"/>
  <c r="O39" i="3"/>
  <c r="P39" i="3"/>
  <c r="Q39" i="3"/>
  <c r="R39" i="3"/>
  <c r="S39" i="3"/>
  <c r="T39" i="3"/>
  <c r="U39" i="3"/>
  <c r="V39" i="3"/>
  <c r="W39" i="3"/>
  <c r="D40" i="3"/>
  <c r="F40" i="3"/>
  <c r="G40" i="3"/>
  <c r="D41" i="3"/>
  <c r="H41" i="3"/>
  <c r="I41" i="3"/>
  <c r="J41" i="3"/>
  <c r="K41" i="3"/>
  <c r="L41" i="3"/>
  <c r="M41" i="3"/>
  <c r="N41" i="3"/>
  <c r="O41" i="3"/>
  <c r="P41" i="3"/>
  <c r="Q41" i="3"/>
  <c r="R41" i="3"/>
  <c r="S41" i="3"/>
  <c r="T41" i="3"/>
  <c r="U41" i="3"/>
  <c r="V41" i="3"/>
  <c r="D42" i="3"/>
  <c r="H42" i="3"/>
  <c r="I42" i="3"/>
  <c r="J42" i="3"/>
  <c r="K42" i="3"/>
  <c r="L42" i="3"/>
  <c r="M42" i="3"/>
  <c r="N42" i="3"/>
  <c r="O42" i="3"/>
  <c r="P42" i="3"/>
  <c r="Q42" i="3"/>
  <c r="R42" i="3"/>
  <c r="S42" i="3"/>
  <c r="T42" i="3"/>
  <c r="U42" i="3"/>
  <c r="V42" i="3"/>
  <c r="D43" i="3"/>
  <c r="H43" i="3"/>
  <c r="I43" i="3"/>
  <c r="J43" i="3"/>
  <c r="K43" i="3"/>
  <c r="L43" i="3"/>
  <c r="M43" i="3"/>
  <c r="N43" i="3"/>
  <c r="O43" i="3"/>
  <c r="P43" i="3"/>
  <c r="Q43" i="3"/>
  <c r="R43" i="3"/>
  <c r="S43" i="3"/>
  <c r="T43" i="3"/>
  <c r="U43" i="3"/>
  <c r="V43" i="3"/>
  <c r="D44" i="3"/>
  <c r="F44" i="3"/>
  <c r="G44" i="3"/>
  <c r="H44" i="3"/>
  <c r="I44" i="3"/>
  <c r="J44" i="3"/>
  <c r="K44" i="3"/>
  <c r="L44" i="3"/>
  <c r="M44" i="3"/>
  <c r="N44" i="3"/>
  <c r="O44" i="3"/>
  <c r="P44" i="3"/>
  <c r="Q44" i="3"/>
  <c r="R44" i="3"/>
  <c r="S44" i="3"/>
  <c r="T44" i="3"/>
  <c r="U44" i="3"/>
  <c r="V44" i="3"/>
  <c r="G49" i="3"/>
  <c r="H49" i="3"/>
  <c r="I49" i="3"/>
  <c r="J49" i="3"/>
  <c r="K49" i="3"/>
  <c r="L49" i="3"/>
  <c r="M49" i="3"/>
  <c r="N49" i="3"/>
  <c r="O49" i="3"/>
  <c r="P49" i="3"/>
  <c r="Q49" i="3"/>
  <c r="R49" i="3"/>
  <c r="S49" i="3"/>
  <c r="T49" i="3"/>
  <c r="U49" i="3"/>
  <c r="V49" i="3"/>
  <c r="D50" i="3"/>
  <c r="F50" i="3"/>
  <c r="G50" i="3"/>
  <c r="D51" i="3"/>
  <c r="H51" i="3"/>
  <c r="I51" i="3"/>
  <c r="J51" i="3"/>
  <c r="K51" i="3"/>
  <c r="L51" i="3"/>
  <c r="M51" i="3"/>
  <c r="N51" i="3"/>
  <c r="O51" i="3"/>
  <c r="P51" i="3"/>
  <c r="Q51" i="3"/>
  <c r="R51" i="3"/>
  <c r="S51" i="3"/>
  <c r="T51" i="3"/>
  <c r="U51" i="3"/>
  <c r="V51" i="3"/>
  <c r="D52" i="3"/>
  <c r="H52" i="3"/>
  <c r="I52" i="3"/>
  <c r="J52" i="3"/>
  <c r="K52" i="3"/>
  <c r="L52" i="3"/>
  <c r="M52" i="3"/>
  <c r="N52" i="3"/>
  <c r="O52" i="3"/>
  <c r="P52" i="3"/>
  <c r="Q52" i="3"/>
  <c r="R52" i="3"/>
  <c r="S52" i="3"/>
  <c r="T52" i="3"/>
  <c r="U52" i="3"/>
  <c r="V52" i="3"/>
  <c r="D53" i="3"/>
  <c r="H53" i="3"/>
  <c r="I53" i="3"/>
  <c r="J53" i="3"/>
  <c r="K53" i="3"/>
  <c r="L53" i="3"/>
  <c r="M53" i="3"/>
  <c r="N53" i="3"/>
  <c r="O53" i="3"/>
  <c r="P53" i="3"/>
  <c r="Q53" i="3"/>
  <c r="R53" i="3"/>
  <c r="S53" i="3"/>
  <c r="T53" i="3"/>
  <c r="U53" i="3"/>
  <c r="V53" i="3"/>
  <c r="D54" i="3"/>
  <c r="F54" i="3"/>
  <c r="G54" i="3"/>
  <c r="H54" i="3"/>
  <c r="I54" i="3"/>
  <c r="J54" i="3"/>
  <c r="K54" i="3"/>
  <c r="L54" i="3"/>
  <c r="M54" i="3"/>
  <c r="N54" i="3"/>
  <c r="O54" i="3"/>
  <c r="P54" i="3"/>
  <c r="Q54" i="3"/>
  <c r="R54" i="3"/>
  <c r="S54" i="3"/>
  <c r="T54" i="3"/>
  <c r="U54" i="3"/>
  <c r="V54" i="3"/>
  <c r="G79" i="3"/>
  <c r="H79" i="3"/>
  <c r="I79" i="3"/>
  <c r="J79" i="3"/>
  <c r="K79" i="3"/>
  <c r="L79" i="3"/>
  <c r="M79" i="3"/>
  <c r="N79" i="3"/>
  <c r="O79" i="3"/>
  <c r="P79" i="3"/>
  <c r="Q79" i="3"/>
  <c r="R79" i="3"/>
  <c r="S79" i="3"/>
  <c r="T79" i="3"/>
  <c r="U79" i="3"/>
  <c r="V79" i="3"/>
  <c r="W79" i="3"/>
  <c r="D80" i="3"/>
  <c r="F80" i="3"/>
  <c r="G80" i="3"/>
  <c r="D81" i="3"/>
  <c r="H81" i="3"/>
  <c r="I81" i="3"/>
  <c r="J81" i="3"/>
  <c r="K81" i="3"/>
  <c r="L81" i="3"/>
  <c r="M81" i="3"/>
  <c r="N81" i="3"/>
  <c r="O81" i="3"/>
  <c r="P81" i="3"/>
  <c r="Q81" i="3"/>
  <c r="R81" i="3"/>
  <c r="S81" i="3"/>
  <c r="T81" i="3"/>
  <c r="U81" i="3"/>
  <c r="V81" i="3"/>
  <c r="D82" i="3"/>
  <c r="H82" i="3"/>
  <c r="I82" i="3"/>
  <c r="J82" i="3"/>
  <c r="K82" i="3"/>
  <c r="L82" i="3"/>
  <c r="M82" i="3"/>
  <c r="N82" i="3"/>
  <c r="O82" i="3"/>
  <c r="P82" i="3"/>
  <c r="Q82" i="3"/>
  <c r="R82" i="3"/>
  <c r="S82" i="3"/>
  <c r="T82" i="3"/>
  <c r="U82" i="3"/>
  <c r="V82" i="3"/>
  <c r="D83" i="3"/>
  <c r="H83" i="3"/>
  <c r="I83" i="3"/>
  <c r="J83" i="3"/>
  <c r="K83" i="3"/>
  <c r="L83" i="3"/>
  <c r="M83" i="3"/>
  <c r="N83" i="3"/>
  <c r="O83" i="3"/>
  <c r="P83" i="3"/>
  <c r="Q83" i="3"/>
  <c r="R83" i="3"/>
  <c r="S83" i="3"/>
  <c r="T83" i="3"/>
  <c r="U83" i="3"/>
  <c r="V83" i="3"/>
  <c r="F84" i="3"/>
  <c r="G84" i="3"/>
  <c r="H84" i="3"/>
  <c r="I84" i="3"/>
  <c r="J84" i="3"/>
  <c r="K84" i="3"/>
  <c r="L84" i="3"/>
  <c r="M84" i="3"/>
  <c r="N84" i="3"/>
  <c r="O84" i="3"/>
  <c r="P84" i="3"/>
  <c r="Q84" i="3"/>
  <c r="R84" i="3"/>
  <c r="S84" i="3"/>
  <c r="T84" i="3"/>
  <c r="U84" i="3"/>
  <c r="V84" i="3"/>
  <c r="G89" i="3"/>
  <c r="H89" i="3"/>
  <c r="I89" i="3"/>
  <c r="J89" i="3"/>
  <c r="K89" i="3"/>
  <c r="L89" i="3"/>
  <c r="M89" i="3"/>
  <c r="N89" i="3"/>
  <c r="O89" i="3"/>
  <c r="P89" i="3"/>
  <c r="Q89" i="3"/>
  <c r="R89" i="3"/>
  <c r="S89" i="3"/>
  <c r="T89" i="3"/>
  <c r="U89" i="3"/>
  <c r="V89" i="3"/>
  <c r="D90" i="3"/>
  <c r="F90" i="3"/>
  <c r="G90" i="3"/>
  <c r="D91" i="3"/>
  <c r="H91" i="3"/>
  <c r="I91" i="3"/>
  <c r="J91" i="3"/>
  <c r="K91" i="3"/>
  <c r="L91" i="3"/>
  <c r="M91" i="3"/>
  <c r="N91" i="3"/>
  <c r="O91" i="3"/>
  <c r="P91" i="3"/>
  <c r="Q91" i="3"/>
  <c r="R91" i="3"/>
  <c r="S91" i="3"/>
  <c r="T91" i="3"/>
  <c r="U91" i="3"/>
  <c r="V91" i="3"/>
  <c r="D92" i="3"/>
  <c r="H92" i="3"/>
  <c r="I92" i="3"/>
  <c r="J92" i="3"/>
  <c r="K92" i="3"/>
  <c r="L92" i="3"/>
  <c r="M92" i="3"/>
  <c r="N92" i="3"/>
  <c r="O92" i="3"/>
  <c r="P92" i="3"/>
  <c r="Q92" i="3"/>
  <c r="R92" i="3"/>
  <c r="S92" i="3"/>
  <c r="T92" i="3"/>
  <c r="U92" i="3"/>
  <c r="V92" i="3"/>
  <c r="D93" i="3"/>
  <c r="H93" i="3"/>
  <c r="I93" i="3"/>
  <c r="J93" i="3"/>
  <c r="K93" i="3"/>
  <c r="L93" i="3"/>
  <c r="M93" i="3"/>
  <c r="N93" i="3"/>
  <c r="O93" i="3"/>
  <c r="P93" i="3"/>
  <c r="Q93" i="3"/>
  <c r="R93" i="3"/>
  <c r="S93" i="3"/>
  <c r="T93" i="3"/>
  <c r="U93" i="3"/>
  <c r="V93" i="3"/>
  <c r="F94" i="3"/>
  <c r="G94" i="3"/>
  <c r="H94" i="3"/>
  <c r="I94" i="3"/>
  <c r="J94" i="3"/>
  <c r="K94" i="3"/>
  <c r="L94" i="3"/>
  <c r="M94" i="3"/>
  <c r="N94" i="3"/>
  <c r="O94" i="3"/>
  <c r="P94" i="3"/>
  <c r="Q94" i="3"/>
  <c r="R94" i="3"/>
  <c r="S94" i="3"/>
  <c r="T94" i="3"/>
  <c r="U94" i="3"/>
  <c r="V94" i="3"/>
  <c r="D2" i="4"/>
  <c r="D4" i="4"/>
  <c r="G9" i="4"/>
  <c r="D11" i="4"/>
  <c r="G11" i="4"/>
  <c r="D15" i="4"/>
  <c r="F36" i="4"/>
  <c r="G36" i="4"/>
  <c r="H36" i="4"/>
  <c r="I36" i="4"/>
  <c r="J36" i="4"/>
  <c r="K36" i="4"/>
  <c r="L36" i="4"/>
  <c r="M36" i="4"/>
  <c r="N36" i="4"/>
  <c r="O36" i="4"/>
  <c r="P36" i="4"/>
  <c r="Q36" i="4"/>
  <c r="R36" i="4"/>
  <c r="S36" i="4"/>
  <c r="T36" i="4"/>
  <c r="U36" i="4"/>
  <c r="V36" i="4"/>
  <c r="W36" i="4"/>
  <c r="X36" i="4"/>
  <c r="Y36" i="4"/>
  <c r="Z36" i="4"/>
  <c r="AA36" i="4"/>
  <c r="D37" i="4"/>
  <c r="H37" i="4"/>
  <c r="I37" i="4"/>
  <c r="J37" i="4"/>
  <c r="K37" i="4"/>
  <c r="L37" i="4"/>
  <c r="M37" i="4"/>
  <c r="N37" i="4"/>
  <c r="O37" i="4"/>
  <c r="P37" i="4"/>
  <c r="Q37" i="4"/>
  <c r="R37" i="4"/>
  <c r="S37" i="4"/>
  <c r="T37" i="4"/>
  <c r="U37" i="4"/>
  <c r="V37" i="4"/>
  <c r="F38" i="4"/>
  <c r="H38" i="4"/>
  <c r="I38" i="4"/>
  <c r="J38" i="4"/>
  <c r="K38" i="4"/>
  <c r="L38" i="4"/>
  <c r="M38" i="4"/>
  <c r="N38" i="4"/>
  <c r="O38" i="4"/>
  <c r="P38" i="4"/>
  <c r="Q38" i="4"/>
  <c r="R38" i="4"/>
  <c r="S38" i="4"/>
  <c r="T38" i="4"/>
  <c r="U38" i="4"/>
  <c r="V38" i="4"/>
  <c r="W38" i="4"/>
  <c r="X38" i="4"/>
  <c r="Y38" i="4"/>
  <c r="Z38" i="4"/>
  <c r="AA38" i="4"/>
  <c r="D39" i="4"/>
  <c r="H39" i="4"/>
  <c r="I39" i="4"/>
  <c r="J39" i="4"/>
  <c r="K39" i="4"/>
  <c r="L39" i="4"/>
  <c r="M39" i="4"/>
  <c r="N39" i="4"/>
  <c r="O39" i="4"/>
  <c r="P39" i="4"/>
  <c r="Q39" i="4"/>
  <c r="R39" i="4"/>
  <c r="S39" i="4"/>
  <c r="T39" i="4"/>
  <c r="U39" i="4"/>
  <c r="V39" i="4"/>
  <c r="F40" i="4"/>
  <c r="G40" i="4"/>
  <c r="H40" i="4"/>
  <c r="I40" i="4"/>
  <c r="J40" i="4"/>
  <c r="K40" i="4"/>
  <c r="L40" i="4"/>
  <c r="M40" i="4"/>
  <c r="N40" i="4"/>
  <c r="O40" i="4"/>
  <c r="P40" i="4"/>
  <c r="Q40" i="4"/>
  <c r="R40" i="4"/>
  <c r="S40" i="4"/>
  <c r="T40" i="4"/>
  <c r="U40" i="4"/>
  <c r="V40" i="4"/>
  <c r="W40" i="4"/>
  <c r="X40" i="4"/>
  <c r="Y40" i="4"/>
  <c r="Z40" i="4"/>
  <c r="AA40" i="4"/>
  <c r="D41" i="4"/>
  <c r="H41" i="4"/>
  <c r="I41" i="4"/>
  <c r="J41" i="4"/>
  <c r="K41" i="4"/>
  <c r="L41" i="4"/>
  <c r="M41" i="4"/>
  <c r="N41" i="4"/>
  <c r="O41" i="4"/>
  <c r="P41" i="4"/>
  <c r="Q41" i="4"/>
  <c r="D52" i="4"/>
  <c r="H52" i="4"/>
  <c r="I52" i="4"/>
  <c r="J52" i="4"/>
  <c r="K52" i="4"/>
  <c r="L52" i="4"/>
  <c r="M52" i="4"/>
  <c r="N52" i="4"/>
  <c r="O52" i="4"/>
  <c r="P52" i="4"/>
  <c r="Q52" i="4"/>
  <c r="R52" i="4"/>
  <c r="S52" i="4"/>
  <c r="T52" i="4"/>
  <c r="U52" i="4"/>
  <c r="V52" i="4"/>
  <c r="AA53" i="4"/>
  <c r="F68" i="4"/>
  <c r="G68" i="4"/>
  <c r="H68" i="4"/>
  <c r="I68" i="4"/>
  <c r="J68" i="4"/>
  <c r="K68" i="4"/>
  <c r="L68" i="4"/>
  <c r="M68" i="4"/>
  <c r="N68" i="4"/>
  <c r="O68" i="4"/>
  <c r="P68" i="4"/>
  <c r="Q68" i="4"/>
  <c r="R68" i="4"/>
  <c r="S68" i="4"/>
  <c r="T68" i="4"/>
  <c r="U68" i="4"/>
  <c r="V68" i="4"/>
  <c r="W68" i="4"/>
  <c r="X68" i="4"/>
  <c r="Y68" i="4"/>
  <c r="Z68" i="4"/>
  <c r="AA68" i="4"/>
  <c r="D69" i="4"/>
  <c r="H69" i="4"/>
  <c r="I69" i="4"/>
  <c r="J69" i="4"/>
  <c r="K69" i="4"/>
  <c r="L69" i="4"/>
  <c r="M69" i="4"/>
  <c r="N69" i="4"/>
  <c r="O69" i="4"/>
  <c r="P69" i="4"/>
  <c r="Q69" i="4"/>
  <c r="R69" i="4"/>
  <c r="S69" i="4"/>
  <c r="T69" i="4"/>
  <c r="U69" i="4"/>
  <c r="V69" i="4"/>
  <c r="F70" i="4"/>
  <c r="H70" i="4"/>
  <c r="I70" i="4"/>
  <c r="J70" i="4"/>
  <c r="K70" i="4"/>
  <c r="L70" i="4"/>
  <c r="M70" i="4"/>
  <c r="N70" i="4"/>
  <c r="O70" i="4"/>
  <c r="P70" i="4"/>
  <c r="Q70" i="4"/>
  <c r="R70" i="4"/>
  <c r="S70" i="4"/>
  <c r="T70" i="4"/>
  <c r="U70" i="4"/>
  <c r="V70" i="4"/>
  <c r="W70" i="4"/>
  <c r="X70" i="4"/>
  <c r="Y70" i="4"/>
  <c r="Z70" i="4"/>
  <c r="AA70" i="4"/>
  <c r="D71" i="4"/>
  <c r="H71" i="4"/>
  <c r="I71" i="4"/>
  <c r="J71" i="4"/>
  <c r="K71" i="4"/>
  <c r="L71" i="4"/>
  <c r="M71" i="4"/>
  <c r="N71" i="4"/>
  <c r="O71" i="4"/>
  <c r="P71" i="4"/>
  <c r="Q71" i="4"/>
  <c r="R71" i="4"/>
  <c r="S71" i="4"/>
  <c r="T71" i="4"/>
  <c r="U71" i="4"/>
  <c r="V71" i="4"/>
  <c r="F72" i="4"/>
  <c r="G72" i="4"/>
  <c r="H72" i="4"/>
  <c r="I72" i="4"/>
  <c r="J72" i="4"/>
  <c r="K72" i="4"/>
  <c r="L72" i="4"/>
  <c r="M72" i="4"/>
  <c r="N72" i="4"/>
  <c r="O72" i="4"/>
  <c r="P72" i="4"/>
  <c r="Q72" i="4"/>
  <c r="R72" i="4"/>
  <c r="S72" i="4"/>
  <c r="T72" i="4"/>
  <c r="U72" i="4"/>
  <c r="V72" i="4"/>
  <c r="W72" i="4"/>
  <c r="X72" i="4"/>
  <c r="Y72" i="4"/>
  <c r="Z72" i="4"/>
  <c r="AA72" i="4"/>
  <c r="D73" i="4"/>
  <c r="H73" i="4"/>
  <c r="I73" i="4"/>
  <c r="J73" i="4"/>
  <c r="K73" i="4"/>
  <c r="L73" i="4"/>
  <c r="M73" i="4"/>
  <c r="N73" i="4"/>
  <c r="O73" i="4"/>
  <c r="P73" i="4"/>
  <c r="Q73" i="4"/>
  <c r="D84" i="4"/>
  <c r="H84" i="4"/>
  <c r="I84" i="4"/>
  <c r="J84" i="4"/>
  <c r="K84" i="4"/>
  <c r="L84" i="4"/>
  <c r="M84" i="4"/>
  <c r="N84" i="4"/>
  <c r="O84" i="4"/>
  <c r="P84" i="4"/>
  <c r="Q84" i="4"/>
  <c r="R84" i="4"/>
  <c r="S84" i="4"/>
  <c r="T84" i="4"/>
  <c r="U84" i="4"/>
  <c r="V84" i="4"/>
  <c r="D5" i="6"/>
  <c r="H5" i="6"/>
  <c r="I5" i="6"/>
  <c r="J5" i="6"/>
  <c r="K5" i="6"/>
  <c r="L5" i="6"/>
  <c r="M5" i="6"/>
  <c r="N5" i="6"/>
  <c r="O5" i="6"/>
  <c r="P5" i="6"/>
  <c r="Q5" i="6"/>
  <c r="R5" i="6"/>
  <c r="S5" i="6"/>
  <c r="T5" i="6"/>
  <c r="U5" i="6"/>
  <c r="V5" i="6"/>
  <c r="W5" i="6"/>
  <c r="X5" i="6"/>
  <c r="Y5" i="6"/>
  <c r="Z5" i="6"/>
  <c r="AA5" i="6"/>
  <c r="D6" i="6"/>
  <c r="H6" i="6"/>
  <c r="I6" i="6"/>
  <c r="J6" i="6"/>
  <c r="K6" i="6"/>
  <c r="L6" i="6"/>
  <c r="M6" i="6"/>
  <c r="N6" i="6"/>
  <c r="O6" i="6"/>
  <c r="P6" i="6"/>
  <c r="Q6" i="6"/>
  <c r="R6" i="6"/>
  <c r="S6" i="6"/>
  <c r="T6" i="6"/>
  <c r="U6" i="6"/>
  <c r="V6" i="6"/>
  <c r="W6" i="6"/>
  <c r="X6" i="6"/>
  <c r="Y6" i="6"/>
  <c r="Z6" i="6"/>
  <c r="AA6" i="6"/>
  <c r="D8" i="6"/>
  <c r="H8" i="6"/>
  <c r="I8" i="6"/>
  <c r="J8" i="6"/>
  <c r="K8" i="6"/>
  <c r="L8" i="6"/>
  <c r="M8" i="6"/>
  <c r="N8" i="6"/>
  <c r="O8" i="6"/>
  <c r="P8" i="6"/>
  <c r="Q8" i="6"/>
  <c r="R8" i="6"/>
  <c r="S8" i="6"/>
  <c r="T8" i="6"/>
  <c r="U8" i="6"/>
  <c r="V8" i="6"/>
  <c r="W8" i="6"/>
  <c r="X8" i="6"/>
  <c r="Y8" i="6"/>
  <c r="Z8" i="6"/>
  <c r="AA8" i="6"/>
  <c r="D11" i="6"/>
  <c r="H11" i="6"/>
  <c r="I11" i="6"/>
  <c r="J11" i="6"/>
  <c r="K11" i="6"/>
  <c r="L11" i="6"/>
  <c r="M11" i="6"/>
  <c r="N11" i="6"/>
  <c r="O11" i="6"/>
  <c r="P11" i="6"/>
  <c r="Q11" i="6"/>
  <c r="R11" i="6"/>
  <c r="S11" i="6"/>
  <c r="T11" i="6"/>
  <c r="U11" i="6"/>
  <c r="V11" i="6"/>
  <c r="D16" i="6"/>
  <c r="H16" i="6"/>
  <c r="I16" i="6"/>
  <c r="J16" i="6"/>
  <c r="K16" i="6"/>
  <c r="L16" i="6"/>
  <c r="M16" i="6"/>
  <c r="N16" i="6"/>
  <c r="O16" i="6"/>
  <c r="P16" i="6"/>
  <c r="Q16" i="6"/>
  <c r="R16" i="6"/>
  <c r="S16" i="6"/>
  <c r="T16" i="6"/>
  <c r="U16" i="6"/>
  <c r="V16" i="6"/>
  <c r="W16" i="6"/>
  <c r="X16" i="6"/>
  <c r="Y16" i="6"/>
  <c r="Z16" i="6"/>
  <c r="AA16" i="6"/>
  <c r="D17" i="6"/>
  <c r="H17" i="6"/>
  <c r="I17" i="6"/>
  <c r="J17" i="6"/>
  <c r="K17" i="6"/>
  <c r="L17" i="6"/>
  <c r="M17" i="6"/>
  <c r="N17" i="6"/>
  <c r="O17" i="6"/>
  <c r="P17" i="6"/>
  <c r="Q17" i="6"/>
  <c r="R17" i="6"/>
  <c r="S17" i="6"/>
  <c r="T17" i="6"/>
  <c r="U17" i="6"/>
  <c r="V17" i="6"/>
  <c r="W17" i="6"/>
  <c r="X17" i="6"/>
  <c r="Y17" i="6"/>
  <c r="Z17" i="6"/>
  <c r="AA17" i="6"/>
  <c r="D18" i="6"/>
  <c r="AA18" i="6"/>
  <c r="D20" i="6"/>
  <c r="H20" i="6"/>
  <c r="I20" i="6"/>
  <c r="J20" i="6"/>
  <c r="K20" i="6"/>
  <c r="L20" i="6"/>
  <c r="M20" i="6"/>
  <c r="N20" i="6"/>
  <c r="O20" i="6"/>
  <c r="P20" i="6"/>
  <c r="Q20" i="6"/>
  <c r="R20" i="6"/>
  <c r="S20" i="6"/>
  <c r="T20" i="6"/>
  <c r="U20" i="6"/>
  <c r="V20" i="6"/>
  <c r="D21" i="6"/>
  <c r="H21" i="6"/>
  <c r="I21" i="6"/>
  <c r="J21" i="6"/>
  <c r="K21" i="6"/>
  <c r="L21" i="6"/>
  <c r="M21" i="6"/>
  <c r="N21" i="6"/>
  <c r="O21" i="6"/>
  <c r="P21" i="6"/>
  <c r="Q21" i="6"/>
  <c r="R21" i="6"/>
  <c r="S21" i="6"/>
  <c r="T21" i="6"/>
  <c r="U21" i="6"/>
  <c r="V21" i="6"/>
  <c r="D29" i="6"/>
  <c r="H29" i="6"/>
  <c r="I29" i="6"/>
  <c r="J29" i="6"/>
  <c r="K29" i="6"/>
  <c r="L29" i="6"/>
  <c r="M29" i="6"/>
  <c r="N29" i="6"/>
  <c r="O29" i="6"/>
  <c r="P29" i="6"/>
  <c r="Q29" i="6"/>
  <c r="R29" i="6"/>
  <c r="S29" i="6"/>
  <c r="T29" i="6"/>
  <c r="U29" i="6"/>
  <c r="V29" i="6"/>
  <c r="W29" i="6"/>
  <c r="X29" i="6"/>
  <c r="Y29" i="6"/>
  <c r="Z29" i="6"/>
  <c r="AA29" i="6"/>
  <c r="D30" i="6"/>
  <c r="H30" i="6"/>
  <c r="I30" i="6"/>
  <c r="J30" i="6"/>
  <c r="K30" i="6"/>
  <c r="L30" i="6"/>
  <c r="M30" i="6"/>
  <c r="N30" i="6"/>
  <c r="O30" i="6"/>
  <c r="P30" i="6"/>
  <c r="Q30" i="6"/>
  <c r="R30" i="6"/>
  <c r="S30" i="6"/>
  <c r="T30" i="6"/>
  <c r="U30" i="6"/>
  <c r="V30" i="6"/>
  <c r="W30" i="6"/>
  <c r="X30" i="6"/>
  <c r="Y30" i="6"/>
  <c r="Z30" i="6"/>
  <c r="AA30" i="6"/>
  <c r="D32" i="6"/>
  <c r="H32" i="6"/>
  <c r="I32" i="6"/>
  <c r="J32" i="6"/>
  <c r="K32" i="6"/>
  <c r="L32" i="6"/>
  <c r="M32" i="6"/>
  <c r="N32" i="6"/>
  <c r="O32" i="6"/>
  <c r="P32" i="6"/>
  <c r="Q32" i="6"/>
  <c r="R32" i="6"/>
  <c r="S32" i="6"/>
  <c r="T32" i="6"/>
  <c r="U32" i="6"/>
  <c r="V32" i="6"/>
  <c r="W32" i="6"/>
  <c r="X32" i="6"/>
  <c r="Y32" i="6"/>
  <c r="Z32" i="6"/>
  <c r="AA32" i="6"/>
  <c r="D35" i="6"/>
  <c r="H35" i="6"/>
  <c r="I35" i="6"/>
  <c r="J35" i="6"/>
  <c r="K35" i="6"/>
  <c r="L35" i="6"/>
  <c r="M35" i="6"/>
  <c r="N35" i="6"/>
  <c r="O35" i="6"/>
  <c r="P35" i="6"/>
  <c r="Q35" i="6"/>
  <c r="R35" i="6"/>
  <c r="S35" i="6"/>
  <c r="T35" i="6"/>
  <c r="U35" i="6"/>
  <c r="V35" i="6"/>
  <c r="D40" i="6"/>
  <c r="H40" i="6"/>
  <c r="I40" i="6"/>
  <c r="J40" i="6"/>
  <c r="K40" i="6"/>
  <c r="L40" i="6"/>
  <c r="M40" i="6"/>
  <c r="N40" i="6"/>
  <c r="O40" i="6"/>
  <c r="P40" i="6"/>
  <c r="Q40" i="6"/>
  <c r="R40" i="6"/>
  <c r="S40" i="6"/>
  <c r="T40" i="6"/>
  <c r="U40" i="6"/>
  <c r="V40" i="6"/>
  <c r="W40" i="6"/>
  <c r="X40" i="6"/>
  <c r="Y40" i="6"/>
  <c r="Z40" i="6"/>
  <c r="AA40" i="6"/>
  <c r="D41" i="6"/>
  <c r="H41" i="6"/>
  <c r="I41" i="6"/>
  <c r="J41" i="6"/>
  <c r="K41" i="6"/>
  <c r="L41" i="6"/>
  <c r="M41" i="6"/>
  <c r="N41" i="6"/>
  <c r="O41" i="6"/>
  <c r="P41" i="6"/>
  <c r="Q41" i="6"/>
  <c r="R41" i="6"/>
  <c r="S41" i="6"/>
  <c r="T41" i="6"/>
  <c r="U41" i="6"/>
  <c r="V41" i="6"/>
  <c r="W41" i="6"/>
  <c r="X41" i="6"/>
  <c r="Y41" i="6"/>
  <c r="Z41" i="6"/>
  <c r="AA41" i="6"/>
  <c r="D42" i="6"/>
  <c r="AA42" i="6"/>
  <c r="D48" i="6"/>
  <c r="H48" i="6"/>
  <c r="I48" i="6"/>
  <c r="J48" i="6"/>
  <c r="K48" i="6"/>
  <c r="L48" i="6"/>
  <c r="M48" i="6"/>
  <c r="N48" i="6"/>
  <c r="O48" i="6"/>
  <c r="P48" i="6"/>
  <c r="Q48" i="6"/>
  <c r="R48" i="6"/>
  <c r="S48" i="6"/>
  <c r="T48" i="6"/>
  <c r="U48" i="6"/>
  <c r="V48" i="6"/>
  <c r="W48" i="6"/>
  <c r="X48" i="6"/>
  <c r="Y48" i="6"/>
  <c r="Z48" i="6"/>
  <c r="AA48" i="6"/>
  <c r="D49" i="6"/>
  <c r="H49" i="6"/>
  <c r="I49" i="6"/>
  <c r="J49" i="6"/>
  <c r="K49" i="6"/>
  <c r="L49" i="6"/>
  <c r="M49" i="6"/>
  <c r="N49" i="6"/>
  <c r="O49" i="6"/>
  <c r="P49" i="6"/>
  <c r="Q49" i="6"/>
  <c r="R49" i="6"/>
  <c r="S49" i="6"/>
  <c r="T49" i="6"/>
  <c r="U49" i="6"/>
  <c r="V49" i="6"/>
  <c r="W49" i="6"/>
  <c r="X49" i="6"/>
  <c r="Y49" i="6"/>
  <c r="Z49" i="6"/>
  <c r="AA49" i="6"/>
  <c r="D51" i="6"/>
  <c r="H51" i="6"/>
  <c r="I51" i="6"/>
  <c r="J51" i="6"/>
  <c r="K51" i="6"/>
  <c r="L51" i="6"/>
  <c r="M51" i="6"/>
  <c r="N51" i="6"/>
  <c r="O51" i="6"/>
  <c r="P51" i="6"/>
  <c r="Q51" i="6"/>
  <c r="R51" i="6"/>
  <c r="S51" i="6"/>
  <c r="T51" i="6"/>
  <c r="U51" i="6"/>
  <c r="V51" i="6"/>
  <c r="W51" i="6"/>
  <c r="X51" i="6"/>
  <c r="Y51" i="6"/>
  <c r="Z51" i="6"/>
  <c r="AA51" i="6"/>
  <c r="D58" i="6"/>
  <c r="H58" i="6"/>
  <c r="I58" i="6"/>
  <c r="J58" i="6"/>
  <c r="K58" i="6"/>
  <c r="L58" i="6"/>
  <c r="M58" i="6"/>
  <c r="N58" i="6"/>
  <c r="O58" i="6"/>
  <c r="P58" i="6"/>
  <c r="Q58" i="6"/>
  <c r="R58" i="6"/>
  <c r="S58" i="6"/>
  <c r="T58" i="6"/>
  <c r="U58" i="6"/>
  <c r="V58" i="6"/>
  <c r="W58" i="6"/>
  <c r="X58" i="6"/>
  <c r="Y58" i="6"/>
  <c r="Z58" i="6"/>
  <c r="AA58" i="6"/>
  <c r="D59" i="6"/>
  <c r="H59" i="6"/>
  <c r="I59" i="6"/>
  <c r="J59" i="6"/>
  <c r="K59" i="6"/>
  <c r="L59" i="6"/>
  <c r="M59" i="6"/>
  <c r="N59" i="6"/>
  <c r="O59" i="6"/>
  <c r="P59" i="6"/>
  <c r="Q59" i="6"/>
  <c r="R59" i="6"/>
  <c r="S59" i="6"/>
  <c r="T59" i="6"/>
  <c r="U59" i="6"/>
  <c r="V59" i="6"/>
  <c r="W59" i="6"/>
  <c r="X59" i="6"/>
  <c r="Y59" i="6"/>
  <c r="Z59" i="6"/>
  <c r="AA59" i="6"/>
  <c r="D60" i="6"/>
  <c r="AA60" i="6"/>
  <c r="D11" i="7"/>
  <c r="H11" i="7"/>
  <c r="I11" i="7"/>
  <c r="J11" i="7"/>
  <c r="K11" i="7"/>
  <c r="L11" i="7"/>
  <c r="M11" i="7"/>
  <c r="N11" i="7"/>
  <c r="O11" i="7"/>
  <c r="P11" i="7"/>
  <c r="Q11" i="7"/>
  <c r="R11" i="7"/>
  <c r="S11" i="7"/>
  <c r="T11" i="7"/>
  <c r="U11" i="7"/>
  <c r="V11" i="7"/>
  <c r="W11" i="7"/>
  <c r="X11" i="7"/>
  <c r="Y11" i="7"/>
  <c r="Z11" i="7"/>
  <c r="AA11" i="7"/>
  <c r="D13" i="7"/>
  <c r="H13" i="7"/>
  <c r="I13" i="7"/>
  <c r="J13" i="7"/>
  <c r="K13" i="7"/>
  <c r="L13" i="7"/>
  <c r="M13" i="7"/>
  <c r="N13" i="7"/>
  <c r="O13" i="7"/>
  <c r="P13" i="7"/>
  <c r="Q13" i="7"/>
  <c r="R13" i="7"/>
  <c r="S13" i="7"/>
  <c r="T13" i="7"/>
  <c r="U13" i="7"/>
  <c r="V13" i="7"/>
  <c r="W13" i="7"/>
  <c r="X13" i="7"/>
  <c r="Y13" i="7"/>
  <c r="Z13" i="7"/>
  <c r="AA13" i="7"/>
  <c r="D16" i="7"/>
  <c r="H16" i="7"/>
  <c r="I16" i="7"/>
  <c r="J16" i="7"/>
  <c r="K16" i="7"/>
  <c r="L16" i="7"/>
  <c r="M16" i="7"/>
  <c r="N16" i="7"/>
  <c r="O16" i="7"/>
  <c r="P16" i="7"/>
  <c r="Q16" i="7"/>
  <c r="R16" i="7"/>
  <c r="S16" i="7"/>
  <c r="T16" i="7"/>
  <c r="U16" i="7"/>
  <c r="V16" i="7"/>
  <c r="W16" i="7"/>
  <c r="X16" i="7"/>
  <c r="Y16" i="7"/>
  <c r="Z16" i="7"/>
  <c r="AA16" i="7"/>
  <c r="D20" i="7"/>
  <c r="H20" i="7"/>
  <c r="I20" i="7"/>
  <c r="J20" i="7"/>
  <c r="K20" i="7"/>
  <c r="L20" i="7"/>
  <c r="M20" i="7"/>
  <c r="N20" i="7"/>
  <c r="O20" i="7"/>
  <c r="P20" i="7"/>
  <c r="Q20" i="7"/>
  <c r="R20" i="7"/>
  <c r="S20" i="7"/>
  <c r="T20" i="7"/>
  <c r="U20" i="7"/>
  <c r="V20" i="7"/>
  <c r="W20" i="7"/>
  <c r="X20" i="7"/>
  <c r="Y20" i="7"/>
  <c r="Z20" i="7"/>
  <c r="AA20" i="7"/>
  <c r="D22" i="7"/>
  <c r="H22" i="7"/>
  <c r="I22" i="7"/>
  <c r="J22" i="7"/>
  <c r="K22" i="7"/>
  <c r="L22" i="7"/>
  <c r="M22" i="7"/>
  <c r="N22" i="7"/>
  <c r="O22" i="7"/>
  <c r="P22" i="7"/>
  <c r="Q22" i="7"/>
  <c r="R22" i="7"/>
  <c r="S22" i="7"/>
  <c r="T22" i="7"/>
  <c r="U22" i="7"/>
  <c r="V22" i="7"/>
  <c r="W22" i="7"/>
  <c r="X22" i="7"/>
  <c r="Y22" i="7"/>
  <c r="Z22" i="7"/>
  <c r="AA22" i="7"/>
  <c r="D23" i="7"/>
  <c r="H23" i="7"/>
  <c r="I23" i="7"/>
  <c r="J23" i="7"/>
  <c r="K23" i="7"/>
  <c r="L23" i="7"/>
  <c r="M23" i="7"/>
  <c r="N23" i="7"/>
  <c r="O23" i="7"/>
  <c r="P23" i="7"/>
  <c r="Q23" i="7"/>
  <c r="R23" i="7"/>
  <c r="S23" i="7"/>
  <c r="T23" i="7"/>
  <c r="U23" i="7"/>
  <c r="V23" i="7"/>
  <c r="W23" i="7"/>
  <c r="X23" i="7"/>
  <c r="Y23" i="7"/>
  <c r="Z23" i="7"/>
  <c r="AA23" i="7"/>
  <c r="D25" i="7"/>
  <c r="H25" i="7"/>
  <c r="I25" i="7"/>
  <c r="J25" i="7"/>
  <c r="K25" i="7"/>
  <c r="L25" i="7"/>
  <c r="M25" i="7"/>
  <c r="N25" i="7"/>
  <c r="O25" i="7"/>
  <c r="P25" i="7"/>
  <c r="Q25" i="7"/>
  <c r="R25" i="7"/>
  <c r="S25" i="7"/>
  <c r="T25" i="7"/>
  <c r="U25" i="7"/>
  <c r="V25" i="7"/>
  <c r="W25" i="7"/>
  <c r="X25" i="7"/>
  <c r="Y25" i="7"/>
  <c r="Z25" i="7"/>
  <c r="AA25" i="7"/>
  <c r="D32" i="7"/>
  <c r="H32" i="7"/>
  <c r="I32" i="7"/>
  <c r="J32" i="7"/>
  <c r="K32" i="7"/>
  <c r="L32" i="7"/>
  <c r="M32" i="7"/>
  <c r="N32" i="7"/>
  <c r="O32" i="7"/>
  <c r="P32" i="7"/>
  <c r="Q32" i="7"/>
  <c r="R32" i="7"/>
  <c r="S32" i="7"/>
  <c r="T32" i="7"/>
  <c r="U32" i="7"/>
  <c r="V32" i="7"/>
  <c r="W32" i="7"/>
  <c r="X32" i="7"/>
  <c r="Y32" i="7"/>
  <c r="Z32" i="7"/>
  <c r="AA32" i="7"/>
  <c r="D33" i="7"/>
  <c r="H33" i="7"/>
  <c r="I33" i="7"/>
  <c r="J33" i="7"/>
  <c r="K33" i="7"/>
  <c r="L33" i="7"/>
  <c r="M33" i="7"/>
  <c r="N33" i="7"/>
  <c r="O33" i="7"/>
  <c r="P33" i="7"/>
  <c r="Q33" i="7"/>
  <c r="R33" i="7"/>
  <c r="S33" i="7"/>
  <c r="T33" i="7"/>
  <c r="U33" i="7"/>
  <c r="V33" i="7"/>
  <c r="W33" i="7"/>
  <c r="X33" i="7"/>
  <c r="Y33" i="7"/>
  <c r="Z33" i="7"/>
  <c r="AA33" i="7"/>
  <c r="D34" i="7"/>
  <c r="AA34" i="7"/>
  <c r="D38" i="7"/>
  <c r="H38" i="7"/>
  <c r="I38" i="7"/>
  <c r="J38" i="7"/>
  <c r="K38" i="7"/>
  <c r="L38" i="7"/>
  <c r="M38" i="7"/>
  <c r="N38" i="7"/>
  <c r="O38" i="7"/>
  <c r="P38" i="7"/>
  <c r="Q38" i="7"/>
  <c r="R38" i="7"/>
  <c r="S38" i="7"/>
  <c r="T38" i="7"/>
  <c r="U38" i="7"/>
  <c r="V38" i="7"/>
  <c r="W38" i="7"/>
  <c r="X38" i="7"/>
  <c r="Y38" i="7"/>
  <c r="Z38" i="7"/>
  <c r="AA38" i="7"/>
  <c r="H39" i="7"/>
  <c r="I39" i="7"/>
  <c r="J39" i="7"/>
  <c r="K39" i="7"/>
  <c r="L39" i="7"/>
  <c r="M39" i="7"/>
  <c r="N39" i="7"/>
  <c r="O39" i="7"/>
  <c r="P39" i="7"/>
  <c r="Q39" i="7"/>
  <c r="R39" i="7"/>
  <c r="S39" i="7"/>
  <c r="T39" i="7"/>
  <c r="U39" i="7"/>
  <c r="V39" i="7"/>
  <c r="W39" i="7"/>
  <c r="X39" i="7"/>
  <c r="Y39" i="7"/>
  <c r="Z39" i="7"/>
  <c r="AA39" i="7"/>
  <c r="D40" i="7"/>
  <c r="H40" i="7"/>
  <c r="I40" i="7"/>
  <c r="J40" i="7"/>
  <c r="K40" i="7"/>
  <c r="L40" i="7"/>
  <c r="M40" i="7"/>
  <c r="N40" i="7"/>
  <c r="O40" i="7"/>
  <c r="P40" i="7"/>
  <c r="Q40" i="7"/>
  <c r="R40" i="7"/>
  <c r="S40" i="7"/>
  <c r="T40" i="7"/>
  <c r="U40" i="7"/>
  <c r="V40" i="7"/>
  <c r="W40" i="7"/>
  <c r="X40" i="7"/>
  <c r="Y40" i="7"/>
  <c r="Z40" i="7"/>
  <c r="AA40" i="7"/>
  <c r="D41" i="7"/>
  <c r="H41" i="7"/>
  <c r="I41" i="7"/>
  <c r="J41" i="7"/>
  <c r="K41" i="7"/>
  <c r="L41" i="7"/>
  <c r="M41" i="7"/>
  <c r="N41" i="7"/>
  <c r="O41" i="7"/>
  <c r="P41" i="7"/>
  <c r="Q41" i="7"/>
  <c r="R41" i="7"/>
  <c r="S41" i="7"/>
  <c r="T41" i="7"/>
  <c r="U41" i="7"/>
  <c r="V41" i="7"/>
  <c r="W41" i="7"/>
  <c r="X41" i="7"/>
  <c r="Y41" i="7"/>
  <c r="Z41" i="7"/>
  <c r="AA41" i="7"/>
  <c r="D42" i="7"/>
  <c r="H42" i="7"/>
  <c r="I42" i="7"/>
  <c r="J42" i="7"/>
  <c r="K42" i="7"/>
  <c r="L42" i="7"/>
  <c r="M42" i="7"/>
  <c r="N42" i="7"/>
  <c r="O42" i="7"/>
  <c r="P42" i="7"/>
  <c r="Q42" i="7"/>
  <c r="R42" i="7"/>
  <c r="S42" i="7"/>
  <c r="T42" i="7"/>
  <c r="U42" i="7"/>
  <c r="V42" i="7"/>
  <c r="W42" i="7"/>
  <c r="X42" i="7"/>
  <c r="Y42" i="7"/>
  <c r="Z42" i="7"/>
  <c r="AA42" i="7"/>
  <c r="D43" i="7"/>
  <c r="H43" i="7"/>
  <c r="I43" i="7"/>
  <c r="J43" i="7"/>
  <c r="K43" i="7"/>
  <c r="L43" i="7"/>
  <c r="M43" i="7"/>
  <c r="N43" i="7"/>
  <c r="O43" i="7"/>
  <c r="P43" i="7"/>
  <c r="Q43" i="7"/>
  <c r="R43" i="7"/>
  <c r="S43" i="7"/>
  <c r="T43" i="7"/>
  <c r="U43" i="7"/>
  <c r="V43" i="7"/>
  <c r="W43" i="7"/>
  <c r="X43" i="7"/>
  <c r="Y43" i="7"/>
  <c r="Z43" i="7"/>
  <c r="AA43" i="7"/>
  <c r="D8" i="8"/>
  <c r="H8" i="8"/>
  <c r="I8" i="8"/>
  <c r="J8" i="8"/>
  <c r="K8" i="8"/>
  <c r="L8" i="8"/>
  <c r="M8" i="8"/>
  <c r="N8" i="8"/>
  <c r="O8" i="8"/>
  <c r="P8" i="8"/>
  <c r="Q8" i="8"/>
  <c r="R8" i="8"/>
  <c r="S8" i="8"/>
  <c r="T8" i="8"/>
  <c r="U8" i="8"/>
  <c r="V8" i="8"/>
  <c r="W8" i="8"/>
  <c r="X8" i="8"/>
  <c r="Y8" i="8"/>
  <c r="Z8" i="8"/>
  <c r="AA8" i="8"/>
  <c r="D9" i="8"/>
  <c r="H9" i="8"/>
  <c r="I9" i="8"/>
  <c r="J9" i="8"/>
  <c r="K9" i="8"/>
  <c r="L9" i="8"/>
  <c r="M9" i="8"/>
  <c r="N9" i="8"/>
  <c r="O9" i="8"/>
  <c r="P9" i="8"/>
  <c r="Q9" i="8"/>
  <c r="R9" i="8"/>
  <c r="S9" i="8"/>
  <c r="T9" i="8"/>
  <c r="U9" i="8"/>
  <c r="V9" i="8"/>
  <c r="W9" i="8"/>
  <c r="X9" i="8"/>
  <c r="Y9" i="8"/>
  <c r="Z9" i="8"/>
  <c r="AA9" i="8"/>
  <c r="D10" i="8"/>
  <c r="H10" i="8"/>
  <c r="I10" i="8"/>
  <c r="J10" i="8"/>
  <c r="K10" i="8"/>
  <c r="L10" i="8"/>
  <c r="M10" i="8"/>
  <c r="N10" i="8"/>
  <c r="O10" i="8"/>
  <c r="P10" i="8"/>
  <c r="Q10" i="8"/>
  <c r="R10" i="8"/>
  <c r="S10" i="8"/>
  <c r="T10" i="8"/>
  <c r="U10" i="8"/>
  <c r="V10" i="8"/>
  <c r="W10" i="8"/>
  <c r="X10" i="8"/>
  <c r="Y10" i="8"/>
  <c r="Z10" i="8"/>
  <c r="AA10" i="8"/>
  <c r="D12" i="8"/>
  <c r="H12" i="8"/>
  <c r="I12" i="8"/>
  <c r="J12" i="8"/>
  <c r="K12" i="8"/>
  <c r="L12" i="8"/>
  <c r="M12" i="8"/>
  <c r="N12" i="8"/>
  <c r="O12" i="8"/>
  <c r="P12" i="8"/>
  <c r="Q12" i="8"/>
  <c r="R12" i="8"/>
  <c r="S12" i="8"/>
  <c r="T12" i="8"/>
  <c r="U12" i="8"/>
  <c r="V12" i="8"/>
  <c r="W12" i="8"/>
  <c r="X12" i="8"/>
  <c r="Y12" i="8"/>
  <c r="Z12" i="8"/>
  <c r="AA12" i="8"/>
  <c r="D14" i="8"/>
  <c r="H14" i="8"/>
  <c r="I14" i="8"/>
  <c r="J14" i="8"/>
  <c r="K14" i="8"/>
  <c r="L14" i="8"/>
  <c r="M14" i="8"/>
  <c r="N14" i="8"/>
  <c r="O14" i="8"/>
  <c r="P14" i="8"/>
  <c r="Q14" i="8"/>
  <c r="R14" i="8"/>
  <c r="S14" i="8"/>
  <c r="T14" i="8"/>
  <c r="U14" i="8"/>
  <c r="V14" i="8"/>
  <c r="W14" i="8"/>
  <c r="X14" i="8"/>
  <c r="Y14" i="8"/>
  <c r="Z14" i="8"/>
  <c r="AA14" i="8"/>
  <c r="D15" i="8"/>
  <c r="I15" i="8"/>
  <c r="J15" i="8"/>
  <c r="K15" i="8"/>
  <c r="L15" i="8"/>
  <c r="M15" i="8"/>
  <c r="N15" i="8"/>
  <c r="O15" i="8"/>
  <c r="P15" i="8"/>
  <c r="Q15" i="8"/>
  <c r="R15" i="8"/>
  <c r="S15" i="8"/>
  <c r="T15" i="8"/>
  <c r="U15" i="8"/>
  <c r="V15" i="8"/>
  <c r="W15" i="8"/>
  <c r="X15" i="8"/>
  <c r="Y15" i="8"/>
  <c r="Z15" i="8"/>
  <c r="AA15" i="8"/>
  <c r="I16" i="8"/>
  <c r="J16" i="8"/>
  <c r="K16" i="8"/>
  <c r="L16" i="8"/>
  <c r="M16" i="8"/>
  <c r="N16" i="8"/>
  <c r="O16" i="8"/>
  <c r="P16" i="8"/>
  <c r="Q16" i="8"/>
  <c r="R16" i="8"/>
  <c r="S16" i="8"/>
  <c r="T16" i="8"/>
  <c r="U16" i="8"/>
  <c r="V16" i="8"/>
  <c r="W16" i="8"/>
  <c r="X16" i="8"/>
  <c r="Y16" i="8"/>
  <c r="Z16" i="8"/>
  <c r="AA16" i="8"/>
  <c r="J17" i="8"/>
  <c r="K17" i="8"/>
  <c r="L17" i="8"/>
  <c r="M17" i="8"/>
  <c r="N17" i="8"/>
  <c r="O17" i="8"/>
  <c r="P17" i="8"/>
  <c r="Q17" i="8"/>
  <c r="R17" i="8"/>
  <c r="S17" i="8"/>
  <c r="T17" i="8"/>
  <c r="U17" i="8"/>
  <c r="V17" i="8"/>
  <c r="W17" i="8"/>
  <c r="X17" i="8"/>
  <c r="Y17" i="8"/>
  <c r="Z17" i="8"/>
  <c r="AA17" i="8"/>
  <c r="K18" i="8"/>
  <c r="L18" i="8"/>
  <c r="M18" i="8"/>
  <c r="N18" i="8"/>
  <c r="O18" i="8"/>
  <c r="P18" i="8"/>
  <c r="Q18" i="8"/>
  <c r="R18" i="8"/>
  <c r="S18" i="8"/>
  <c r="T18" i="8"/>
  <c r="U18" i="8"/>
  <c r="V18" i="8"/>
  <c r="W18" i="8"/>
  <c r="X18" i="8"/>
  <c r="Y18" i="8"/>
  <c r="Z18" i="8"/>
  <c r="AA18" i="8"/>
  <c r="L19" i="8"/>
  <c r="M19" i="8"/>
  <c r="N19" i="8"/>
  <c r="O19" i="8"/>
  <c r="P19" i="8"/>
  <c r="Q19" i="8"/>
  <c r="R19" i="8"/>
  <c r="S19" i="8"/>
  <c r="T19" i="8"/>
  <c r="U19" i="8"/>
  <c r="V19" i="8"/>
  <c r="W19" i="8"/>
  <c r="X19" i="8"/>
  <c r="Y19" i="8"/>
  <c r="Z19" i="8"/>
  <c r="AA19" i="8"/>
  <c r="M20" i="8"/>
  <c r="N20" i="8"/>
  <c r="O20" i="8"/>
  <c r="P20" i="8"/>
  <c r="Q20" i="8"/>
  <c r="R20" i="8"/>
  <c r="S20" i="8"/>
  <c r="T20" i="8"/>
  <c r="U20" i="8"/>
  <c r="V20" i="8"/>
  <c r="W20" i="8"/>
  <c r="X20" i="8"/>
  <c r="Y20" i="8"/>
  <c r="Z20" i="8"/>
  <c r="AA20" i="8"/>
  <c r="D21" i="8"/>
  <c r="H21" i="8"/>
  <c r="I21" i="8"/>
  <c r="J21" i="8"/>
  <c r="K21" i="8"/>
  <c r="L21" i="8"/>
  <c r="M21" i="8"/>
  <c r="N21" i="8"/>
  <c r="O21" i="8"/>
  <c r="P21" i="8"/>
  <c r="Q21" i="8"/>
  <c r="R21" i="8"/>
  <c r="S21" i="8"/>
  <c r="T21" i="8"/>
  <c r="U21" i="8"/>
  <c r="V21" i="8"/>
  <c r="W21" i="8"/>
  <c r="X21" i="8"/>
  <c r="Y21" i="8"/>
  <c r="Z21" i="8"/>
  <c r="AA21" i="8"/>
  <c r="D22" i="8"/>
  <c r="H22" i="8"/>
  <c r="I22" i="8"/>
  <c r="J22" i="8"/>
  <c r="K22" i="8"/>
  <c r="L22" i="8"/>
  <c r="M22" i="8"/>
  <c r="N22" i="8"/>
  <c r="O22" i="8"/>
  <c r="P22" i="8"/>
  <c r="Q22" i="8"/>
  <c r="R22" i="8"/>
  <c r="S22" i="8"/>
  <c r="T22" i="8"/>
  <c r="U22" i="8"/>
  <c r="V22" i="8"/>
  <c r="W22" i="8"/>
  <c r="X22" i="8"/>
  <c r="Y22" i="8"/>
  <c r="Z22" i="8"/>
  <c r="AA22" i="8"/>
  <c r="D23" i="8"/>
  <c r="H23" i="8"/>
  <c r="I23" i="8"/>
  <c r="J23" i="8"/>
  <c r="K23" i="8"/>
  <c r="L23" i="8"/>
  <c r="M23" i="8"/>
  <c r="N23" i="8"/>
  <c r="O23" i="8"/>
  <c r="P23" i="8"/>
  <c r="Q23" i="8"/>
  <c r="R23" i="8"/>
  <c r="S23" i="8"/>
  <c r="T23" i="8"/>
  <c r="U23" i="8"/>
  <c r="V23" i="8"/>
  <c r="W23" i="8"/>
  <c r="X23" i="8"/>
  <c r="Y23" i="8"/>
  <c r="Z23" i="8"/>
  <c r="AA23" i="8"/>
  <c r="I24" i="8"/>
  <c r="J24" i="8"/>
  <c r="K24" i="8"/>
  <c r="L24" i="8"/>
  <c r="M24" i="8"/>
  <c r="N24" i="8"/>
  <c r="O24" i="8"/>
  <c r="P24" i="8"/>
  <c r="Q24" i="8"/>
  <c r="R24" i="8"/>
  <c r="S24" i="8"/>
  <c r="T24" i="8"/>
  <c r="U24" i="8"/>
  <c r="V24" i="8"/>
  <c r="W24" i="8"/>
  <c r="X24" i="8"/>
  <c r="Y24" i="8"/>
  <c r="Z24" i="8"/>
  <c r="AA24" i="8"/>
  <c r="D25" i="8"/>
  <c r="H25" i="8"/>
  <c r="I25" i="8"/>
  <c r="J25" i="8"/>
  <c r="K25" i="8"/>
  <c r="L25" i="8"/>
  <c r="M25" i="8"/>
  <c r="N25" i="8"/>
  <c r="O25" i="8"/>
  <c r="P25" i="8"/>
  <c r="Q25" i="8"/>
  <c r="R25" i="8"/>
  <c r="S25" i="8"/>
  <c r="T25" i="8"/>
  <c r="U25" i="8"/>
  <c r="V25" i="8"/>
  <c r="W25" i="8"/>
  <c r="X25" i="8"/>
  <c r="Y25" i="8"/>
  <c r="Z25" i="8"/>
  <c r="AA25" i="8"/>
  <c r="D26" i="8"/>
  <c r="H26" i="8"/>
  <c r="I26" i="8"/>
  <c r="J26" i="8"/>
  <c r="K26" i="8"/>
  <c r="L26" i="8"/>
  <c r="M26" i="8"/>
  <c r="N26" i="8"/>
  <c r="O26" i="8"/>
  <c r="P26" i="8"/>
  <c r="Q26" i="8"/>
  <c r="R26" i="8"/>
  <c r="S26" i="8"/>
  <c r="T26" i="8"/>
  <c r="U26" i="8"/>
  <c r="V26" i="8"/>
  <c r="W26" i="8"/>
  <c r="X26" i="8"/>
  <c r="Y26" i="8"/>
  <c r="Z26" i="8"/>
  <c r="AA26" i="8"/>
  <c r="H27" i="8"/>
  <c r="I27" i="8"/>
  <c r="J27" i="8"/>
  <c r="K27" i="8"/>
  <c r="L27" i="8"/>
  <c r="M27" i="8"/>
  <c r="N27" i="8"/>
  <c r="O27" i="8"/>
  <c r="P27" i="8"/>
  <c r="Q27" i="8"/>
  <c r="R27" i="8"/>
  <c r="S27" i="8"/>
  <c r="T27" i="8"/>
  <c r="U27" i="8"/>
  <c r="V27" i="8"/>
  <c r="W27" i="8"/>
  <c r="X27" i="8"/>
  <c r="Y27" i="8"/>
  <c r="Z27" i="8"/>
  <c r="AA27" i="8"/>
  <c r="H28" i="8"/>
  <c r="I28" i="8"/>
  <c r="J28" i="8"/>
  <c r="K28" i="8"/>
  <c r="L28" i="8"/>
  <c r="M28" i="8"/>
  <c r="N28" i="8"/>
  <c r="O28" i="8"/>
  <c r="P28" i="8"/>
  <c r="Q28" i="8"/>
  <c r="R28" i="8"/>
  <c r="S28" i="8"/>
  <c r="T28" i="8"/>
  <c r="U28" i="8"/>
  <c r="V28" i="8"/>
  <c r="W28" i="8"/>
  <c r="X28" i="8"/>
  <c r="Y28" i="8"/>
  <c r="Z28" i="8"/>
  <c r="AA28" i="8"/>
  <c r="D29" i="8"/>
  <c r="H29" i="8"/>
  <c r="I29" i="8"/>
  <c r="J29" i="8"/>
  <c r="K29" i="8"/>
  <c r="L29" i="8"/>
  <c r="M29" i="8"/>
  <c r="N29" i="8"/>
  <c r="O29" i="8"/>
  <c r="P29" i="8"/>
  <c r="Q29" i="8"/>
  <c r="R29" i="8"/>
  <c r="S29" i="8"/>
  <c r="T29" i="8"/>
  <c r="U29" i="8"/>
  <c r="V29" i="8"/>
  <c r="W29" i="8"/>
  <c r="X29" i="8"/>
  <c r="Y29" i="8"/>
  <c r="Z29" i="8"/>
  <c r="AA29" i="8"/>
  <c r="D30" i="8"/>
  <c r="H30" i="8"/>
  <c r="I30" i="8"/>
  <c r="J30" i="8"/>
  <c r="K30" i="8"/>
  <c r="L30" i="8"/>
  <c r="M30" i="8"/>
  <c r="N30" i="8"/>
  <c r="O30" i="8"/>
  <c r="P30" i="8"/>
  <c r="Q30" i="8"/>
  <c r="R30" i="8"/>
  <c r="S30" i="8"/>
  <c r="T30" i="8"/>
  <c r="U30" i="8"/>
  <c r="V30" i="8"/>
  <c r="W30" i="8"/>
  <c r="X30" i="8"/>
  <c r="Y30" i="8"/>
  <c r="Z30" i="8"/>
  <c r="AA30" i="8"/>
  <c r="D31" i="8"/>
  <c r="H31" i="8"/>
  <c r="I31" i="8"/>
  <c r="J31" i="8"/>
  <c r="K31" i="8"/>
  <c r="L31" i="8"/>
  <c r="M31" i="8"/>
  <c r="N31" i="8"/>
  <c r="O31" i="8"/>
  <c r="P31" i="8"/>
  <c r="Q31" i="8"/>
  <c r="R31" i="8"/>
  <c r="S31" i="8"/>
  <c r="T31" i="8"/>
  <c r="U31" i="8"/>
  <c r="V31" i="8"/>
  <c r="W31" i="8"/>
  <c r="X31" i="8"/>
  <c r="Y31" i="8"/>
  <c r="Z31" i="8"/>
  <c r="AA31" i="8"/>
  <c r="D32" i="8"/>
  <c r="H32" i="8"/>
  <c r="I32" i="8"/>
  <c r="J32" i="8"/>
  <c r="K32" i="8"/>
  <c r="L32" i="8"/>
  <c r="M32" i="8"/>
  <c r="N32" i="8"/>
  <c r="O32" i="8"/>
  <c r="P32" i="8"/>
  <c r="Q32" i="8"/>
  <c r="R32" i="8"/>
  <c r="S32" i="8"/>
  <c r="T32" i="8"/>
  <c r="U32" i="8"/>
  <c r="V32" i="8"/>
  <c r="W32" i="8"/>
  <c r="X32" i="8"/>
  <c r="Y32" i="8"/>
  <c r="Z32" i="8"/>
  <c r="AA32" i="8"/>
  <c r="D33" i="8"/>
  <c r="H33" i="8"/>
  <c r="I33" i="8"/>
  <c r="J33" i="8"/>
  <c r="K33" i="8"/>
  <c r="L33" i="8"/>
  <c r="M33" i="8"/>
  <c r="N33" i="8"/>
  <c r="O33" i="8"/>
  <c r="P33" i="8"/>
  <c r="Q33" i="8"/>
  <c r="R33" i="8"/>
  <c r="S33" i="8"/>
  <c r="T33" i="8"/>
  <c r="U33" i="8"/>
  <c r="V33" i="8"/>
  <c r="W33" i="8"/>
  <c r="X33" i="8"/>
  <c r="Y33" i="8"/>
  <c r="Z33" i="8"/>
  <c r="AA33" i="8"/>
  <c r="D34" i="8"/>
  <c r="H34" i="8"/>
  <c r="I34" i="8"/>
  <c r="J34" i="8"/>
  <c r="K34" i="8"/>
  <c r="L34" i="8"/>
  <c r="M34" i="8"/>
  <c r="N34" i="8"/>
  <c r="O34" i="8"/>
  <c r="P34" i="8"/>
  <c r="Q34" i="8"/>
  <c r="R34" i="8"/>
  <c r="S34" i="8"/>
  <c r="T34" i="8"/>
  <c r="U34" i="8"/>
  <c r="V34" i="8"/>
  <c r="W34" i="8"/>
  <c r="X34" i="8"/>
  <c r="Y34" i="8"/>
  <c r="Z34" i="8"/>
  <c r="AA34" i="8"/>
  <c r="D5" i="10"/>
  <c r="F5" i="10"/>
  <c r="G5" i="10"/>
  <c r="H5" i="10"/>
  <c r="I5" i="10"/>
  <c r="J5" i="10"/>
  <c r="K5" i="10"/>
  <c r="L5" i="10"/>
  <c r="M5" i="10"/>
  <c r="N5" i="10"/>
  <c r="O5" i="10"/>
  <c r="P5" i="10"/>
  <c r="Q5" i="10"/>
  <c r="R5" i="10"/>
  <c r="S5" i="10"/>
  <c r="T5" i="10"/>
  <c r="U5" i="10"/>
  <c r="V5" i="10"/>
  <c r="W5" i="10"/>
  <c r="X5" i="10"/>
  <c r="Y5" i="10"/>
  <c r="Z5" i="10"/>
  <c r="AA5" i="10"/>
  <c r="D6" i="10"/>
  <c r="F6" i="10"/>
  <c r="G6" i="10"/>
  <c r="D10" i="10"/>
  <c r="AA10" i="10"/>
  <c r="D12" i="10"/>
  <c r="H12" i="10"/>
  <c r="I12" i="10"/>
  <c r="J12" i="10"/>
  <c r="K12" i="10"/>
  <c r="L12" i="10"/>
  <c r="M12" i="10"/>
  <c r="N12" i="10"/>
  <c r="O12" i="10"/>
  <c r="P12" i="10"/>
  <c r="Q12" i="10"/>
  <c r="R12" i="10"/>
  <c r="S12" i="10"/>
  <c r="T12" i="10"/>
  <c r="U12" i="10"/>
  <c r="V12" i="10"/>
  <c r="W12" i="10"/>
  <c r="X12" i="10"/>
  <c r="Y12" i="10"/>
  <c r="Z12" i="10"/>
  <c r="AA12" i="10"/>
  <c r="D13" i="10"/>
  <c r="F13" i="10"/>
  <c r="G13" i="10"/>
  <c r="H13" i="10"/>
  <c r="I13" i="10"/>
  <c r="J13" i="10"/>
  <c r="K13" i="10"/>
  <c r="L13" i="10"/>
  <c r="M13" i="10"/>
  <c r="N13" i="10"/>
  <c r="O13" i="10"/>
  <c r="P13" i="10"/>
  <c r="Q13" i="10"/>
  <c r="R13" i="10"/>
  <c r="S13" i="10"/>
  <c r="T13" i="10"/>
  <c r="U13" i="10"/>
  <c r="V13" i="10"/>
  <c r="W13" i="10"/>
  <c r="X13" i="10"/>
  <c r="Y13" i="10"/>
  <c r="Z13" i="10"/>
  <c r="AA13" i="10"/>
  <c r="D14" i="10"/>
  <c r="F14" i="10"/>
  <c r="G14" i="10"/>
  <c r="D15" i="10"/>
  <c r="F15" i="10"/>
  <c r="G15" i="10"/>
  <c r="D16" i="10"/>
  <c r="F16" i="10"/>
  <c r="G16" i="10"/>
  <c r="D18" i="10"/>
  <c r="H18" i="10"/>
  <c r="I18" i="10"/>
  <c r="J18" i="10"/>
  <c r="K18" i="10"/>
  <c r="L18" i="10"/>
  <c r="M18" i="10"/>
  <c r="N18" i="10"/>
  <c r="O18" i="10"/>
  <c r="P18" i="10"/>
  <c r="Q18" i="10"/>
  <c r="R18" i="10"/>
  <c r="S18" i="10"/>
  <c r="T18" i="10"/>
  <c r="U18" i="10"/>
  <c r="V18" i="10"/>
  <c r="D19" i="10"/>
  <c r="H19" i="10"/>
  <c r="I19" i="10"/>
  <c r="J19" i="10"/>
  <c r="K19" i="10"/>
  <c r="L19" i="10"/>
  <c r="M19" i="10"/>
  <c r="N19" i="10"/>
  <c r="O19" i="10"/>
  <c r="P19" i="10"/>
  <c r="Q19" i="10"/>
  <c r="R19" i="10"/>
  <c r="S19" i="10"/>
  <c r="T19" i="10"/>
  <c r="U19" i="10"/>
  <c r="V19" i="10"/>
  <c r="D21" i="10"/>
  <c r="H21" i="10"/>
  <c r="I21" i="10"/>
  <c r="J21" i="10"/>
  <c r="K21" i="10"/>
  <c r="L21" i="10"/>
  <c r="M21" i="10"/>
  <c r="N21" i="10"/>
  <c r="O21" i="10"/>
  <c r="P21" i="10"/>
  <c r="Q21" i="10"/>
  <c r="R21" i="10"/>
  <c r="S21" i="10"/>
  <c r="T21" i="10"/>
  <c r="U21" i="10"/>
  <c r="V21" i="10"/>
  <c r="D22" i="10"/>
  <c r="H22" i="10"/>
  <c r="I22" i="10"/>
  <c r="J22" i="10"/>
  <c r="K22" i="10"/>
  <c r="L22" i="10"/>
  <c r="M22" i="10"/>
  <c r="N22" i="10"/>
  <c r="O22" i="10"/>
  <c r="P22" i="10"/>
  <c r="Q22" i="10"/>
  <c r="R22" i="10"/>
  <c r="S22" i="10"/>
  <c r="T22" i="10"/>
  <c r="U22" i="10"/>
  <c r="V22" i="10"/>
  <c r="W22" i="10"/>
  <c r="X22" i="10"/>
  <c r="Y22" i="10"/>
  <c r="Z22" i="10"/>
  <c r="AA22" i="10"/>
  <c r="D24" i="10"/>
  <c r="H24" i="10"/>
  <c r="I24" i="10"/>
  <c r="J24" i="10"/>
  <c r="K24" i="10"/>
  <c r="L24" i="10"/>
  <c r="M24" i="10"/>
  <c r="N24" i="10"/>
  <c r="O24" i="10"/>
  <c r="P24" i="10"/>
  <c r="Q24" i="10"/>
  <c r="R24" i="10"/>
  <c r="S24" i="10"/>
  <c r="T24" i="10"/>
  <c r="U24" i="10"/>
  <c r="V24" i="10"/>
  <c r="W24" i="10"/>
  <c r="X24" i="10"/>
  <c r="Y24" i="10"/>
  <c r="Z24" i="10"/>
  <c r="AA24" i="10"/>
  <c r="D25" i="10"/>
  <c r="H25" i="10"/>
  <c r="I25" i="10"/>
  <c r="J25" i="10"/>
  <c r="K25" i="10"/>
  <c r="L25" i="10"/>
  <c r="M25" i="10"/>
  <c r="N25" i="10"/>
  <c r="O25" i="10"/>
  <c r="P25" i="10"/>
  <c r="Q25" i="10"/>
  <c r="R25" i="10"/>
  <c r="S25" i="10"/>
  <c r="T25" i="10"/>
  <c r="U25" i="10"/>
  <c r="V25" i="10"/>
  <c r="W25" i="10"/>
  <c r="X25" i="10"/>
  <c r="Y25" i="10"/>
  <c r="Z25" i="10"/>
  <c r="AA25" i="10"/>
  <c r="D27" i="10"/>
  <c r="F27" i="10"/>
  <c r="G27" i="10"/>
  <c r="H27" i="10"/>
  <c r="I27" i="10"/>
  <c r="J27" i="10"/>
  <c r="K27" i="10"/>
  <c r="L27" i="10"/>
  <c r="M27" i="10"/>
  <c r="N27" i="10"/>
  <c r="O27" i="10"/>
  <c r="P27" i="10"/>
  <c r="Q27" i="10"/>
  <c r="R27" i="10"/>
  <c r="S27" i="10"/>
  <c r="T27" i="10"/>
  <c r="U27" i="10"/>
  <c r="V27" i="10"/>
  <c r="W27" i="10"/>
  <c r="X27" i="10"/>
  <c r="Y27" i="10"/>
  <c r="Z27" i="10"/>
  <c r="AA27" i="10"/>
  <c r="F28" i="10"/>
  <c r="G28" i="10"/>
  <c r="H28" i="10"/>
  <c r="I28" i="10"/>
  <c r="J28" i="10"/>
  <c r="K28" i="10"/>
  <c r="L28" i="10"/>
  <c r="M28" i="10"/>
  <c r="N28" i="10"/>
  <c r="O28" i="10"/>
  <c r="P28" i="10"/>
  <c r="Q28" i="10"/>
  <c r="R28" i="10"/>
  <c r="S28" i="10"/>
  <c r="T28" i="10"/>
  <c r="U28" i="10"/>
  <c r="V28" i="10"/>
  <c r="W28" i="10"/>
  <c r="X28" i="10"/>
  <c r="Y28" i="10"/>
  <c r="Z28" i="10"/>
  <c r="AA28" i="10"/>
  <c r="D29" i="10"/>
  <c r="H29" i="10"/>
  <c r="I29" i="10"/>
  <c r="J29" i="10"/>
  <c r="K29" i="10"/>
  <c r="L29" i="10"/>
  <c r="M29" i="10"/>
  <c r="N29" i="10"/>
  <c r="O29" i="10"/>
  <c r="P29" i="10"/>
  <c r="Q29" i="10"/>
  <c r="R29" i="10"/>
  <c r="S29" i="10"/>
  <c r="T29" i="10"/>
  <c r="U29" i="10"/>
  <c r="V29" i="10"/>
  <c r="W29" i="10"/>
  <c r="X29" i="10"/>
  <c r="Y29" i="10"/>
  <c r="Z29" i="10"/>
  <c r="AA29" i="10"/>
  <c r="D30" i="10"/>
  <c r="F30" i="10"/>
  <c r="G30" i="10"/>
  <c r="H30" i="10"/>
  <c r="I30" i="10"/>
  <c r="J30" i="10"/>
  <c r="K30" i="10"/>
  <c r="L30" i="10"/>
  <c r="M30" i="10"/>
  <c r="N30" i="10"/>
  <c r="O30" i="10"/>
  <c r="P30" i="10"/>
  <c r="Q30" i="10"/>
  <c r="R30" i="10"/>
  <c r="S30" i="10"/>
  <c r="T30" i="10"/>
  <c r="U30" i="10"/>
  <c r="V30" i="10"/>
  <c r="W30" i="10"/>
  <c r="X30" i="10"/>
  <c r="Y30" i="10"/>
  <c r="Z30" i="10"/>
  <c r="AA30" i="10"/>
  <c r="F31" i="10"/>
  <c r="G31" i="10"/>
  <c r="H31" i="10"/>
  <c r="I31" i="10"/>
  <c r="J31" i="10"/>
  <c r="K31" i="10"/>
  <c r="L31" i="10"/>
  <c r="M31" i="10"/>
  <c r="N31" i="10"/>
  <c r="O31" i="10"/>
  <c r="P31" i="10"/>
  <c r="Q31" i="10"/>
  <c r="R31" i="10"/>
  <c r="S31" i="10"/>
  <c r="T31" i="10"/>
  <c r="U31" i="10"/>
  <c r="V31" i="10"/>
  <c r="W31" i="10"/>
  <c r="X31" i="10"/>
  <c r="Y31" i="10"/>
  <c r="Z31" i="10"/>
  <c r="AA31" i="10"/>
  <c r="D33" i="10"/>
  <c r="D34" i="10"/>
  <c r="D35" i="10"/>
  <c r="I35" i="10"/>
  <c r="J35" i="10"/>
  <c r="K35" i="10"/>
  <c r="L35" i="10"/>
  <c r="M35" i="10"/>
  <c r="N35" i="10"/>
  <c r="O35" i="10"/>
  <c r="P35" i="10"/>
  <c r="Q35" i="10"/>
  <c r="R35" i="10"/>
  <c r="S35" i="10"/>
  <c r="T35" i="10"/>
  <c r="U35" i="10"/>
  <c r="V35" i="10"/>
  <c r="W35" i="10"/>
  <c r="X35" i="10"/>
  <c r="Y35" i="10"/>
  <c r="Z35" i="10"/>
  <c r="AA35" i="10"/>
  <c r="D44" i="10"/>
  <c r="E52" i="10"/>
  <c r="F52" i="10"/>
  <c r="G52" i="10"/>
  <c r="H52" i="10"/>
  <c r="I52" i="10"/>
  <c r="J52" i="10"/>
  <c r="K52" i="10"/>
  <c r="L52" i="10"/>
  <c r="M52" i="10"/>
  <c r="N52" i="10"/>
  <c r="O52" i="10"/>
  <c r="P52" i="10"/>
  <c r="Q52" i="10"/>
  <c r="R52" i="10"/>
  <c r="S52" i="10"/>
  <c r="T52" i="10"/>
  <c r="U52" i="10"/>
  <c r="V52" i="10"/>
  <c r="W52" i="10"/>
  <c r="X52" i="10"/>
  <c r="Y52" i="10"/>
  <c r="E53" i="10"/>
  <c r="F53" i="10"/>
  <c r="G53" i="10"/>
  <c r="H53" i="10"/>
  <c r="I53" i="10"/>
  <c r="J53" i="10"/>
  <c r="K53" i="10"/>
  <c r="L53" i="10"/>
  <c r="M53" i="10"/>
  <c r="N53" i="10"/>
  <c r="O53" i="10"/>
  <c r="P53" i="10"/>
  <c r="Q53" i="10"/>
  <c r="R53" i="10"/>
  <c r="S53" i="10"/>
  <c r="T53" i="10"/>
  <c r="U53" i="10"/>
  <c r="V53" i="10"/>
  <c r="W53" i="10"/>
  <c r="X53" i="10"/>
  <c r="Y53" i="10"/>
  <c r="F54" i="10"/>
  <c r="G54" i="10"/>
  <c r="H54" i="10"/>
  <c r="I54" i="10"/>
  <c r="J54" i="10"/>
  <c r="K54" i="10"/>
  <c r="L54" i="10"/>
  <c r="M54" i="10"/>
  <c r="N54" i="10"/>
  <c r="O54" i="10"/>
  <c r="P54" i="10"/>
  <c r="Q54" i="10"/>
  <c r="R54" i="10"/>
  <c r="S54" i="10"/>
  <c r="T54" i="10"/>
  <c r="U54" i="10"/>
  <c r="V54" i="10"/>
  <c r="W54" i="10"/>
  <c r="X54" i="10"/>
  <c r="Y54" i="10"/>
  <c r="E55" i="10"/>
  <c r="F55" i="10"/>
  <c r="G55" i="10"/>
  <c r="H55" i="10"/>
  <c r="I55" i="10"/>
  <c r="J55" i="10"/>
  <c r="K55" i="10"/>
  <c r="L55" i="10"/>
  <c r="M55" i="10"/>
  <c r="N55" i="10"/>
  <c r="O55" i="10"/>
  <c r="P55" i="10"/>
  <c r="Q55" i="10"/>
  <c r="R55" i="10"/>
  <c r="S55" i="10"/>
  <c r="T55" i="10"/>
  <c r="U55" i="10"/>
  <c r="V55" i="10"/>
  <c r="W55" i="10"/>
  <c r="X55" i="10"/>
  <c r="Y55" i="10"/>
  <c r="E56" i="10"/>
  <c r="F56" i="10"/>
  <c r="G56" i="10"/>
  <c r="H56" i="10"/>
  <c r="I56" i="10"/>
  <c r="J56" i="10"/>
  <c r="K56" i="10"/>
  <c r="L56" i="10"/>
  <c r="M56" i="10"/>
  <c r="N56" i="10"/>
  <c r="O56" i="10"/>
  <c r="P56" i="10"/>
  <c r="Q56" i="10"/>
  <c r="R56" i="10"/>
  <c r="S56" i="10"/>
  <c r="T56" i="10"/>
  <c r="U56" i="10"/>
  <c r="V56" i="10"/>
  <c r="W56" i="10"/>
  <c r="X56" i="10"/>
  <c r="Y56" i="10"/>
  <c r="D8" i="12"/>
  <c r="H8" i="12"/>
  <c r="I8" i="12"/>
  <c r="J8" i="12"/>
  <c r="K8" i="12"/>
  <c r="L8" i="12"/>
  <c r="M8" i="12"/>
  <c r="N8" i="12"/>
  <c r="O8" i="12"/>
  <c r="P8" i="12"/>
  <c r="Q8" i="12"/>
  <c r="R8" i="12"/>
  <c r="S8" i="12"/>
  <c r="T8" i="12"/>
  <c r="U8" i="12"/>
  <c r="V8" i="12"/>
  <c r="W8" i="12"/>
  <c r="X8" i="12"/>
  <c r="Y8" i="12"/>
  <c r="Z8" i="12"/>
  <c r="AA8" i="12"/>
  <c r="D9" i="12"/>
  <c r="H9" i="12"/>
  <c r="I9" i="12"/>
  <c r="J9" i="12"/>
  <c r="K9" i="12"/>
  <c r="L9" i="12"/>
  <c r="M9" i="12"/>
  <c r="N9" i="12"/>
  <c r="O9" i="12"/>
  <c r="P9" i="12"/>
  <c r="Q9" i="12"/>
  <c r="R9" i="12"/>
  <c r="S9" i="12"/>
  <c r="T9" i="12"/>
  <c r="U9" i="12"/>
  <c r="V9" i="12"/>
  <c r="W9" i="12"/>
  <c r="X9" i="12"/>
  <c r="Y9" i="12"/>
  <c r="Z9" i="12"/>
  <c r="AA9" i="12"/>
  <c r="D10" i="12"/>
  <c r="H10" i="12"/>
  <c r="I10" i="12"/>
  <c r="J10" i="12"/>
  <c r="K10" i="12"/>
  <c r="L10" i="12"/>
  <c r="M10" i="12"/>
  <c r="N10" i="12"/>
  <c r="O10" i="12"/>
  <c r="P10" i="12"/>
  <c r="Q10" i="12"/>
  <c r="R10" i="12"/>
  <c r="S10" i="12"/>
  <c r="T10" i="12"/>
  <c r="U10" i="12"/>
  <c r="V10" i="12"/>
  <c r="W10" i="12"/>
  <c r="X10" i="12"/>
  <c r="Y10" i="12"/>
  <c r="Z10" i="12"/>
  <c r="AA10" i="12"/>
  <c r="D12" i="12"/>
  <c r="H12" i="12"/>
  <c r="I12" i="12"/>
  <c r="J12" i="12"/>
  <c r="K12" i="12"/>
  <c r="L12" i="12"/>
  <c r="M12" i="12"/>
  <c r="N12" i="12"/>
  <c r="O12" i="12"/>
  <c r="P12" i="12"/>
  <c r="Q12" i="12"/>
  <c r="R12" i="12"/>
  <c r="S12" i="12"/>
  <c r="T12" i="12"/>
  <c r="U12" i="12"/>
  <c r="V12" i="12"/>
  <c r="W12" i="12"/>
  <c r="X12" i="12"/>
  <c r="Y12" i="12"/>
  <c r="Z12" i="12"/>
  <c r="AA12" i="12"/>
  <c r="D14" i="12"/>
  <c r="H14" i="12"/>
  <c r="I14" i="12"/>
  <c r="J14" i="12"/>
  <c r="K14" i="12"/>
  <c r="L14" i="12"/>
  <c r="M14" i="12"/>
  <c r="N14" i="12"/>
  <c r="O14" i="12"/>
  <c r="P14" i="12"/>
  <c r="Q14" i="12"/>
  <c r="R14" i="12"/>
  <c r="S14" i="12"/>
  <c r="T14" i="12"/>
  <c r="U14" i="12"/>
  <c r="V14" i="12"/>
  <c r="W14" i="12"/>
  <c r="X14" i="12"/>
  <c r="Y14" i="12"/>
  <c r="Z14" i="12"/>
  <c r="AA14" i="12"/>
  <c r="D15" i="12"/>
  <c r="I15" i="12"/>
  <c r="J15" i="12"/>
  <c r="K15" i="12"/>
  <c r="L15" i="12"/>
  <c r="M15" i="12"/>
  <c r="N15" i="12"/>
  <c r="O15" i="12"/>
  <c r="P15" i="12"/>
  <c r="Q15" i="12"/>
  <c r="R15" i="12"/>
  <c r="S15" i="12"/>
  <c r="T15" i="12"/>
  <c r="U15" i="12"/>
  <c r="V15" i="12"/>
  <c r="W15" i="12"/>
  <c r="X15" i="12"/>
  <c r="Y15" i="12"/>
  <c r="Z15" i="12"/>
  <c r="AA15" i="12"/>
  <c r="I16" i="12"/>
  <c r="J16" i="12"/>
  <c r="K16" i="12"/>
  <c r="L16" i="12"/>
  <c r="M16" i="12"/>
  <c r="N16" i="12"/>
  <c r="O16" i="12"/>
  <c r="P16" i="12"/>
  <c r="Q16" i="12"/>
  <c r="R16" i="12"/>
  <c r="S16" i="12"/>
  <c r="T16" i="12"/>
  <c r="U16" i="12"/>
  <c r="V16" i="12"/>
  <c r="W16" i="12"/>
  <c r="X16" i="12"/>
  <c r="Y16" i="12"/>
  <c r="Z16" i="12"/>
  <c r="AA16" i="12"/>
  <c r="J17" i="12"/>
  <c r="K17" i="12"/>
  <c r="L17" i="12"/>
  <c r="M17" i="12"/>
  <c r="N17" i="12"/>
  <c r="O17" i="12"/>
  <c r="P17" i="12"/>
  <c r="Q17" i="12"/>
  <c r="R17" i="12"/>
  <c r="S17" i="12"/>
  <c r="T17" i="12"/>
  <c r="U17" i="12"/>
  <c r="V17" i="12"/>
  <c r="W17" i="12"/>
  <c r="X17" i="12"/>
  <c r="Y17" i="12"/>
  <c r="Z17" i="12"/>
  <c r="AA17" i="12"/>
  <c r="K18" i="12"/>
  <c r="L18" i="12"/>
  <c r="M18" i="12"/>
  <c r="N18" i="12"/>
  <c r="O18" i="12"/>
  <c r="P18" i="12"/>
  <c r="Q18" i="12"/>
  <c r="R18" i="12"/>
  <c r="S18" i="12"/>
  <c r="T18" i="12"/>
  <c r="U18" i="12"/>
  <c r="V18" i="12"/>
  <c r="W18" i="12"/>
  <c r="X18" i="12"/>
  <c r="Y18" i="12"/>
  <c r="Z18" i="12"/>
  <c r="AA18" i="12"/>
  <c r="L19" i="12"/>
  <c r="M19" i="12"/>
  <c r="N19" i="12"/>
  <c r="O19" i="12"/>
  <c r="P19" i="12"/>
  <c r="Q19" i="12"/>
  <c r="R19" i="12"/>
  <c r="S19" i="12"/>
  <c r="T19" i="12"/>
  <c r="U19" i="12"/>
  <c r="V19" i="12"/>
  <c r="W19" i="12"/>
  <c r="X19" i="12"/>
  <c r="Y19" i="12"/>
  <c r="Z19" i="12"/>
  <c r="AA19" i="12"/>
  <c r="M20" i="12"/>
  <c r="N20" i="12"/>
  <c r="O20" i="12"/>
  <c r="P20" i="12"/>
  <c r="Q20" i="12"/>
  <c r="R20" i="12"/>
  <c r="S20" i="12"/>
  <c r="T20" i="12"/>
  <c r="U20" i="12"/>
  <c r="V20" i="12"/>
  <c r="W20" i="12"/>
  <c r="X20" i="12"/>
  <c r="Y20" i="12"/>
  <c r="Z20" i="12"/>
  <c r="AA20" i="12"/>
  <c r="D21" i="12"/>
  <c r="H21" i="12"/>
  <c r="I21" i="12"/>
  <c r="J21" i="12"/>
  <c r="K21" i="12"/>
  <c r="L21" i="12"/>
  <c r="M21" i="12"/>
  <c r="N21" i="12"/>
  <c r="O21" i="12"/>
  <c r="P21" i="12"/>
  <c r="Q21" i="12"/>
  <c r="R21" i="12"/>
  <c r="S21" i="12"/>
  <c r="T21" i="12"/>
  <c r="U21" i="12"/>
  <c r="V21" i="12"/>
  <c r="W21" i="12"/>
  <c r="X21" i="12"/>
  <c r="Y21" i="12"/>
  <c r="Z21" i="12"/>
  <c r="AA21" i="12"/>
  <c r="D22" i="12"/>
  <c r="H22" i="12"/>
  <c r="I22" i="12"/>
  <c r="J22" i="12"/>
  <c r="K22" i="12"/>
  <c r="L22" i="12"/>
  <c r="M22" i="12"/>
  <c r="N22" i="12"/>
  <c r="O22" i="12"/>
  <c r="P22" i="12"/>
  <c r="Q22" i="12"/>
  <c r="R22" i="12"/>
  <c r="S22" i="12"/>
  <c r="T22" i="12"/>
  <c r="U22" i="12"/>
  <c r="V22" i="12"/>
  <c r="W22" i="12"/>
  <c r="X22" i="12"/>
  <c r="Y22" i="12"/>
  <c r="Z22" i="12"/>
  <c r="AA22" i="12"/>
  <c r="D23" i="12"/>
  <c r="H23" i="12"/>
  <c r="I23" i="12"/>
  <c r="J23" i="12"/>
  <c r="K23" i="12"/>
  <c r="L23" i="12"/>
  <c r="M23" i="12"/>
  <c r="N23" i="12"/>
  <c r="O23" i="12"/>
  <c r="P23" i="12"/>
  <c r="Q23" i="12"/>
  <c r="R23" i="12"/>
  <c r="S23" i="12"/>
  <c r="T23" i="12"/>
  <c r="U23" i="12"/>
  <c r="V23" i="12"/>
  <c r="W23" i="12"/>
  <c r="X23" i="12"/>
  <c r="Y23" i="12"/>
  <c r="Z23" i="12"/>
  <c r="AA23" i="12"/>
  <c r="D24" i="12"/>
  <c r="I24" i="12"/>
  <c r="J24" i="12"/>
  <c r="K24" i="12"/>
  <c r="L24" i="12"/>
  <c r="M24" i="12"/>
  <c r="N24" i="12"/>
  <c r="O24" i="12"/>
  <c r="P24" i="12"/>
  <c r="Q24" i="12"/>
  <c r="R24" i="12"/>
  <c r="S24" i="12"/>
  <c r="T24" i="12"/>
  <c r="U24" i="12"/>
  <c r="V24" i="12"/>
  <c r="W24" i="12"/>
  <c r="X24" i="12"/>
  <c r="Y24" i="12"/>
  <c r="Z24" i="12"/>
  <c r="AA24" i="12"/>
  <c r="D25" i="12"/>
  <c r="H25" i="12"/>
  <c r="I25" i="12"/>
  <c r="J25" i="12"/>
  <c r="K25" i="12"/>
  <c r="L25" i="12"/>
  <c r="M25" i="12"/>
  <c r="N25" i="12"/>
  <c r="O25" i="12"/>
  <c r="P25" i="12"/>
  <c r="Q25" i="12"/>
  <c r="R25" i="12"/>
  <c r="S25" i="12"/>
  <c r="T25" i="12"/>
  <c r="U25" i="12"/>
  <c r="V25" i="12"/>
  <c r="W25" i="12"/>
  <c r="X25" i="12"/>
  <c r="Y25" i="12"/>
  <c r="Z25" i="12"/>
  <c r="AA25" i="12"/>
  <c r="D26" i="12"/>
  <c r="H26" i="12"/>
  <c r="I26" i="12"/>
  <c r="J26" i="12"/>
  <c r="K26" i="12"/>
  <c r="L26" i="12"/>
  <c r="M26" i="12"/>
  <c r="N26" i="12"/>
  <c r="O26" i="12"/>
  <c r="P26" i="12"/>
  <c r="Q26" i="12"/>
  <c r="R26" i="12"/>
  <c r="S26" i="12"/>
  <c r="T26" i="12"/>
  <c r="U26" i="12"/>
  <c r="V26" i="12"/>
  <c r="W26" i="12"/>
  <c r="X26" i="12"/>
  <c r="Y26" i="12"/>
  <c r="Z26" i="12"/>
  <c r="AA26" i="12"/>
  <c r="H27" i="12"/>
  <c r="I27" i="12"/>
  <c r="J27" i="12"/>
  <c r="K27" i="12"/>
  <c r="L27" i="12"/>
  <c r="M27" i="12"/>
  <c r="N27" i="12"/>
  <c r="O27" i="12"/>
  <c r="P27" i="12"/>
  <c r="Q27" i="12"/>
  <c r="R27" i="12"/>
  <c r="S27" i="12"/>
  <c r="T27" i="12"/>
  <c r="U27" i="12"/>
  <c r="V27" i="12"/>
  <c r="W27" i="12"/>
  <c r="X27" i="12"/>
  <c r="Y27" i="12"/>
  <c r="Z27" i="12"/>
  <c r="AA27" i="12"/>
  <c r="H28" i="12"/>
  <c r="I28" i="12"/>
  <c r="J28" i="12"/>
  <c r="K28" i="12"/>
  <c r="L28" i="12"/>
  <c r="M28" i="12"/>
  <c r="N28" i="12"/>
  <c r="O28" i="12"/>
  <c r="P28" i="12"/>
  <c r="Q28" i="12"/>
  <c r="R28" i="12"/>
  <c r="S28" i="12"/>
  <c r="T28" i="12"/>
  <c r="U28" i="12"/>
  <c r="V28" i="12"/>
  <c r="W28" i="12"/>
  <c r="X28" i="12"/>
  <c r="Y28" i="12"/>
  <c r="Z28" i="12"/>
  <c r="AA28" i="12"/>
  <c r="D29" i="12"/>
  <c r="H29" i="12"/>
  <c r="I29" i="12"/>
  <c r="J29" i="12"/>
  <c r="K29" i="12"/>
  <c r="L29" i="12"/>
  <c r="M29" i="12"/>
  <c r="N29" i="12"/>
  <c r="O29" i="12"/>
  <c r="P29" i="12"/>
  <c r="Q29" i="12"/>
  <c r="R29" i="12"/>
  <c r="S29" i="12"/>
  <c r="T29" i="12"/>
  <c r="U29" i="12"/>
  <c r="V29" i="12"/>
  <c r="W29" i="12"/>
  <c r="X29" i="12"/>
  <c r="Y29" i="12"/>
  <c r="Z29" i="12"/>
  <c r="AA29" i="12"/>
  <c r="D30" i="12"/>
  <c r="H30" i="12"/>
  <c r="I30" i="12"/>
  <c r="J30" i="12"/>
  <c r="K30" i="12"/>
  <c r="L30" i="12"/>
  <c r="M30" i="12"/>
  <c r="N30" i="12"/>
  <c r="O30" i="12"/>
  <c r="P30" i="12"/>
  <c r="Q30" i="12"/>
  <c r="R30" i="12"/>
  <c r="S30" i="12"/>
  <c r="T30" i="12"/>
  <c r="U30" i="12"/>
  <c r="V30" i="12"/>
  <c r="W30" i="12"/>
  <c r="X30" i="12"/>
  <c r="Y30" i="12"/>
  <c r="Z30" i="12"/>
  <c r="AA30" i="12"/>
  <c r="D31" i="12"/>
  <c r="H31" i="12"/>
  <c r="I31" i="12"/>
  <c r="J31" i="12"/>
  <c r="K31" i="12"/>
  <c r="L31" i="12"/>
  <c r="M31" i="12"/>
  <c r="N31" i="12"/>
  <c r="O31" i="12"/>
  <c r="P31" i="12"/>
  <c r="Q31" i="12"/>
  <c r="R31" i="12"/>
  <c r="S31" i="12"/>
  <c r="T31" i="12"/>
  <c r="U31" i="12"/>
  <c r="V31" i="12"/>
  <c r="W31" i="12"/>
  <c r="X31" i="12"/>
  <c r="Y31" i="12"/>
  <c r="Z31" i="12"/>
  <c r="AA31" i="12"/>
  <c r="D32" i="12"/>
  <c r="H32" i="12"/>
  <c r="I32" i="12"/>
  <c r="J32" i="12"/>
  <c r="K32" i="12"/>
  <c r="L32" i="12"/>
  <c r="M32" i="12"/>
  <c r="N32" i="12"/>
  <c r="O32" i="12"/>
  <c r="P32" i="12"/>
  <c r="Q32" i="12"/>
  <c r="R32" i="12"/>
  <c r="S32" i="12"/>
  <c r="T32" i="12"/>
  <c r="U32" i="12"/>
  <c r="V32" i="12"/>
  <c r="W32" i="12"/>
  <c r="X32" i="12"/>
  <c r="Y32" i="12"/>
  <c r="Z32" i="12"/>
  <c r="AA32" i="12"/>
  <c r="D33" i="12"/>
  <c r="H33" i="12"/>
  <c r="I33" i="12"/>
  <c r="J33" i="12"/>
  <c r="K33" i="12"/>
  <c r="L33" i="12"/>
  <c r="M33" i="12"/>
  <c r="N33" i="12"/>
  <c r="O33" i="12"/>
  <c r="P33" i="12"/>
  <c r="Q33" i="12"/>
  <c r="R33" i="12"/>
  <c r="S33" i="12"/>
  <c r="T33" i="12"/>
  <c r="U33" i="12"/>
  <c r="V33" i="12"/>
  <c r="W33" i="12"/>
  <c r="X33" i="12"/>
  <c r="Y33" i="12"/>
  <c r="Z33" i="12"/>
  <c r="AA33" i="12"/>
  <c r="D34" i="12"/>
  <c r="H34" i="12"/>
  <c r="I34" i="12"/>
  <c r="J34" i="12"/>
  <c r="K34" i="12"/>
  <c r="L34" i="12"/>
  <c r="M34" i="12"/>
  <c r="N34" i="12"/>
  <c r="O34" i="12"/>
  <c r="P34" i="12"/>
  <c r="Q34" i="12"/>
  <c r="R34" i="12"/>
  <c r="S34" i="12"/>
  <c r="T34" i="12"/>
  <c r="U34" i="12"/>
  <c r="V34" i="12"/>
  <c r="W34" i="12"/>
  <c r="X34" i="12"/>
  <c r="Y34" i="12"/>
  <c r="Z34" i="12"/>
  <c r="AA34" i="12"/>
  <c r="D5" i="9"/>
  <c r="H5" i="9"/>
  <c r="I5" i="9"/>
  <c r="J5" i="9"/>
  <c r="K5" i="9"/>
  <c r="L5" i="9"/>
  <c r="M5" i="9"/>
  <c r="N5" i="9"/>
  <c r="O5" i="9"/>
  <c r="P5" i="9"/>
  <c r="Q5" i="9"/>
  <c r="R5" i="9"/>
  <c r="S5" i="9"/>
  <c r="T5" i="9"/>
  <c r="U5" i="9"/>
  <c r="V5" i="9"/>
  <c r="W5" i="9"/>
  <c r="X5" i="9"/>
  <c r="Y5" i="9"/>
  <c r="Z5" i="9"/>
  <c r="AA5" i="9"/>
  <c r="D9" i="9"/>
  <c r="AA9" i="9"/>
  <c r="D11" i="9"/>
  <c r="H11" i="9"/>
  <c r="I11" i="9"/>
  <c r="J11" i="9"/>
  <c r="K11" i="9"/>
  <c r="L11" i="9"/>
  <c r="M11" i="9"/>
  <c r="N11" i="9"/>
  <c r="O11" i="9"/>
  <c r="P11" i="9"/>
  <c r="Q11" i="9"/>
  <c r="R11" i="9"/>
  <c r="S11" i="9"/>
  <c r="T11" i="9"/>
  <c r="U11" i="9"/>
  <c r="V11" i="9"/>
  <c r="W11" i="9"/>
  <c r="X11" i="9"/>
  <c r="Y11" i="9"/>
  <c r="Z11" i="9"/>
  <c r="AA11" i="9"/>
  <c r="D12" i="9"/>
  <c r="H12" i="9"/>
  <c r="I12" i="9"/>
  <c r="J12" i="9"/>
  <c r="K12" i="9"/>
  <c r="L12" i="9"/>
  <c r="M12" i="9"/>
  <c r="N12" i="9"/>
  <c r="O12" i="9"/>
  <c r="P12" i="9"/>
  <c r="Q12" i="9"/>
  <c r="R12" i="9"/>
  <c r="S12" i="9"/>
  <c r="T12" i="9"/>
  <c r="U12" i="9"/>
  <c r="V12" i="9"/>
  <c r="W12" i="9"/>
  <c r="X12" i="9"/>
  <c r="Y12" i="9"/>
  <c r="Z12" i="9"/>
  <c r="AA12" i="9"/>
  <c r="D15" i="9"/>
  <c r="H15" i="9"/>
  <c r="I15" i="9"/>
  <c r="J15" i="9"/>
  <c r="K15" i="9"/>
  <c r="L15" i="9"/>
  <c r="M15" i="9"/>
  <c r="N15" i="9"/>
  <c r="O15" i="9"/>
  <c r="P15" i="9"/>
  <c r="Q15" i="9"/>
  <c r="R15" i="9"/>
  <c r="S15" i="9"/>
  <c r="T15" i="9"/>
  <c r="U15" i="9"/>
  <c r="V15" i="9"/>
  <c r="W15" i="9"/>
  <c r="X15" i="9"/>
  <c r="Y15" i="9"/>
  <c r="Z15" i="9"/>
  <c r="AA15" i="9"/>
  <c r="D17" i="9"/>
  <c r="H17" i="9"/>
  <c r="I17" i="9"/>
  <c r="J17" i="9"/>
  <c r="K17" i="9"/>
  <c r="L17" i="9"/>
  <c r="M17" i="9"/>
  <c r="N17" i="9"/>
  <c r="O17" i="9"/>
  <c r="P17" i="9"/>
  <c r="Q17" i="9"/>
  <c r="R17" i="9"/>
  <c r="S17" i="9"/>
  <c r="T17" i="9"/>
  <c r="U17" i="9"/>
  <c r="V17" i="9"/>
  <c r="W17" i="9"/>
  <c r="X17" i="9"/>
  <c r="Y17" i="9"/>
  <c r="Z17" i="9"/>
  <c r="AA17" i="9"/>
  <c r="D18" i="9"/>
  <c r="H18" i="9"/>
  <c r="I18" i="9"/>
  <c r="J18" i="9"/>
  <c r="K18" i="9"/>
  <c r="L18" i="9"/>
  <c r="M18" i="9"/>
  <c r="N18" i="9"/>
  <c r="O18" i="9"/>
  <c r="P18" i="9"/>
  <c r="Q18" i="9"/>
  <c r="R18" i="9"/>
  <c r="S18" i="9"/>
  <c r="T18" i="9"/>
  <c r="U18" i="9"/>
  <c r="V18" i="9"/>
  <c r="W18" i="9"/>
  <c r="X18" i="9"/>
  <c r="Y18" i="9"/>
  <c r="Z18" i="9"/>
  <c r="AA18" i="9"/>
  <c r="D20" i="9"/>
  <c r="H20" i="9"/>
  <c r="I20" i="9"/>
  <c r="J20" i="9"/>
  <c r="K20" i="9"/>
  <c r="L20" i="9"/>
  <c r="M20" i="9"/>
  <c r="N20" i="9"/>
  <c r="O20" i="9"/>
  <c r="P20" i="9"/>
  <c r="Q20" i="9"/>
  <c r="R20" i="9"/>
  <c r="S20" i="9"/>
  <c r="T20" i="9"/>
  <c r="U20" i="9"/>
  <c r="V20" i="9"/>
  <c r="W20" i="9"/>
  <c r="X20" i="9"/>
  <c r="Y20" i="9"/>
  <c r="Z20" i="9"/>
  <c r="AA20" i="9"/>
  <c r="H21" i="9"/>
  <c r="I21" i="9"/>
  <c r="J21" i="9"/>
  <c r="K21" i="9"/>
  <c r="L21" i="9"/>
  <c r="M21" i="9"/>
  <c r="N21" i="9"/>
  <c r="O21" i="9"/>
  <c r="P21" i="9"/>
  <c r="Q21" i="9"/>
  <c r="R21" i="9"/>
  <c r="S21" i="9"/>
  <c r="T21" i="9"/>
  <c r="U21" i="9"/>
  <c r="V21" i="9"/>
  <c r="W21" i="9"/>
  <c r="X21" i="9"/>
  <c r="Y21" i="9"/>
  <c r="Z21" i="9"/>
  <c r="AA21" i="9"/>
  <c r="D22" i="9"/>
  <c r="H22" i="9"/>
  <c r="I22" i="9"/>
  <c r="J22" i="9"/>
  <c r="K22" i="9"/>
  <c r="L22" i="9"/>
  <c r="M22" i="9"/>
  <c r="N22" i="9"/>
  <c r="O22" i="9"/>
  <c r="P22" i="9"/>
  <c r="Q22" i="9"/>
  <c r="R22" i="9"/>
  <c r="S22" i="9"/>
  <c r="T22" i="9"/>
  <c r="U22" i="9"/>
  <c r="V22" i="9"/>
  <c r="W22" i="9"/>
  <c r="X22" i="9"/>
  <c r="Y22" i="9"/>
  <c r="Z22" i="9"/>
  <c r="AA22" i="9"/>
  <c r="D23" i="9"/>
  <c r="H23" i="9"/>
  <c r="I23" i="9"/>
  <c r="J23" i="9"/>
  <c r="K23" i="9"/>
  <c r="L23" i="9"/>
  <c r="M23" i="9"/>
  <c r="N23" i="9"/>
  <c r="O23" i="9"/>
  <c r="P23" i="9"/>
  <c r="Q23" i="9"/>
  <c r="R23" i="9"/>
  <c r="S23" i="9"/>
  <c r="T23" i="9"/>
  <c r="U23" i="9"/>
  <c r="V23" i="9"/>
  <c r="W23" i="9"/>
  <c r="X23" i="9"/>
  <c r="Y23" i="9"/>
  <c r="Z23" i="9"/>
  <c r="AA23" i="9"/>
  <c r="H24" i="9"/>
  <c r="I24" i="9"/>
  <c r="J24" i="9"/>
  <c r="K24" i="9"/>
  <c r="L24" i="9"/>
  <c r="M24" i="9"/>
  <c r="N24" i="9"/>
  <c r="O24" i="9"/>
  <c r="P24" i="9"/>
  <c r="Q24" i="9"/>
  <c r="R24" i="9"/>
  <c r="S24" i="9"/>
  <c r="T24" i="9"/>
  <c r="U24" i="9"/>
  <c r="V24" i="9"/>
  <c r="W24" i="9"/>
  <c r="X24" i="9"/>
  <c r="Y24" i="9"/>
  <c r="Z24" i="9"/>
  <c r="AA24" i="9"/>
  <c r="D26" i="9"/>
  <c r="D27" i="9"/>
  <c r="D28" i="9"/>
  <c r="I28" i="9"/>
  <c r="J28" i="9"/>
  <c r="K28" i="9"/>
  <c r="L28" i="9"/>
  <c r="M28" i="9"/>
  <c r="N28" i="9"/>
  <c r="O28" i="9"/>
  <c r="P28" i="9"/>
  <c r="Q28" i="9"/>
  <c r="R28" i="9"/>
  <c r="S28" i="9"/>
  <c r="T28" i="9"/>
  <c r="U28" i="9"/>
  <c r="V28" i="9"/>
  <c r="W28" i="9"/>
  <c r="X28" i="9"/>
  <c r="Y28" i="9"/>
  <c r="Z28" i="9"/>
  <c r="AA28" i="9"/>
  <c r="D29" i="9"/>
  <c r="I29" i="9"/>
  <c r="J29" i="9"/>
  <c r="K29" i="9"/>
  <c r="L29" i="9"/>
  <c r="M29" i="9"/>
  <c r="N29" i="9"/>
  <c r="O29" i="9"/>
  <c r="P29" i="9"/>
  <c r="Q29" i="9"/>
  <c r="R29" i="9"/>
  <c r="S29" i="9"/>
  <c r="T29" i="9"/>
  <c r="U29" i="9"/>
  <c r="V29" i="9"/>
  <c r="W29" i="9"/>
  <c r="X29" i="9"/>
  <c r="Y29" i="9"/>
  <c r="Z29" i="9"/>
  <c r="AA29" i="9"/>
  <c r="D35" i="9"/>
  <c r="F44" i="9"/>
  <c r="G44" i="9"/>
  <c r="H44" i="9"/>
  <c r="I44" i="9"/>
  <c r="J44" i="9"/>
  <c r="K44" i="9"/>
  <c r="L44" i="9"/>
  <c r="M44" i="9"/>
  <c r="N44" i="9"/>
  <c r="O44" i="9"/>
  <c r="P44" i="9"/>
  <c r="Q44" i="9"/>
  <c r="R44" i="9"/>
  <c r="S44" i="9"/>
  <c r="T44" i="9"/>
  <c r="U44" i="9"/>
  <c r="V44" i="9"/>
  <c r="W44" i="9"/>
  <c r="X44" i="9"/>
  <c r="Y44" i="9"/>
  <c r="F45" i="9"/>
  <c r="G45" i="9"/>
  <c r="H45" i="9"/>
  <c r="I45" i="9"/>
  <c r="J45" i="9"/>
  <c r="K45" i="9"/>
  <c r="L45" i="9"/>
  <c r="M45" i="9"/>
  <c r="N45" i="9"/>
  <c r="O45" i="9"/>
  <c r="P45" i="9"/>
  <c r="Q45" i="9"/>
  <c r="R45" i="9"/>
  <c r="S45" i="9"/>
  <c r="T45" i="9"/>
  <c r="U45" i="9"/>
  <c r="V45" i="9"/>
  <c r="W45" i="9"/>
  <c r="X45" i="9"/>
  <c r="Y45" i="9"/>
  <c r="F46" i="9"/>
  <c r="G46" i="9"/>
  <c r="H46" i="9"/>
  <c r="I46" i="9"/>
  <c r="J46" i="9"/>
  <c r="K46" i="9"/>
  <c r="L46" i="9"/>
  <c r="M46" i="9"/>
  <c r="N46" i="9"/>
  <c r="O46" i="9"/>
  <c r="P46" i="9"/>
  <c r="Q46" i="9"/>
  <c r="R46" i="9"/>
  <c r="S46" i="9"/>
  <c r="T46" i="9"/>
  <c r="U46" i="9"/>
  <c r="V46" i="9"/>
  <c r="W46" i="9"/>
  <c r="X46" i="9"/>
  <c r="Y46" i="9"/>
  <c r="F47" i="9"/>
  <c r="G47" i="9"/>
  <c r="H47" i="9"/>
  <c r="I47" i="9"/>
  <c r="J47" i="9"/>
  <c r="K47" i="9"/>
  <c r="L47" i="9"/>
  <c r="M47" i="9"/>
  <c r="N47" i="9"/>
  <c r="O47" i="9"/>
  <c r="P47" i="9"/>
  <c r="Q47" i="9"/>
  <c r="R47" i="9"/>
  <c r="S47" i="9"/>
  <c r="T47" i="9"/>
  <c r="U47" i="9"/>
  <c r="V47" i="9"/>
  <c r="W47" i="9"/>
  <c r="X47" i="9"/>
  <c r="Y47" i="9"/>
  <c r="F48" i="9"/>
  <c r="G48" i="9"/>
  <c r="H48" i="9"/>
  <c r="I48" i="9"/>
  <c r="J48" i="9"/>
  <c r="K48" i="9"/>
  <c r="L48" i="9"/>
  <c r="M48" i="9"/>
  <c r="N48" i="9"/>
  <c r="O48" i="9"/>
  <c r="P48" i="9"/>
  <c r="Q48" i="9"/>
  <c r="R48" i="9"/>
  <c r="S48" i="9"/>
  <c r="T48" i="9"/>
  <c r="U48" i="9"/>
  <c r="V48" i="9"/>
  <c r="W48" i="9"/>
  <c r="X48" i="9"/>
  <c r="Y48" i="9"/>
  <c r="D5" i="11"/>
  <c r="H5" i="11"/>
  <c r="I5" i="11"/>
  <c r="J5" i="11"/>
  <c r="K5" i="11"/>
  <c r="L5" i="11"/>
  <c r="M5" i="11"/>
  <c r="N5" i="11"/>
  <c r="O5" i="11"/>
  <c r="P5" i="11"/>
  <c r="Q5" i="11"/>
  <c r="R5" i="11"/>
  <c r="S5" i="11"/>
  <c r="T5" i="11"/>
  <c r="U5" i="11"/>
  <c r="V5" i="11"/>
  <c r="W5" i="11"/>
  <c r="X5" i="11"/>
  <c r="Y5" i="11"/>
  <c r="Z5" i="11"/>
  <c r="AA5" i="11"/>
  <c r="D6" i="11"/>
  <c r="H6" i="11"/>
  <c r="I6" i="11"/>
  <c r="J6" i="11"/>
  <c r="K6" i="11"/>
  <c r="L6" i="11"/>
  <c r="M6" i="11"/>
  <c r="N6" i="11"/>
  <c r="O6" i="11"/>
  <c r="P6" i="11"/>
  <c r="Q6" i="11"/>
  <c r="R6" i="11"/>
  <c r="S6" i="11"/>
  <c r="T6" i="11"/>
  <c r="U6" i="11"/>
  <c r="V6" i="11"/>
  <c r="W6" i="11"/>
  <c r="X6" i="11"/>
  <c r="Y6" i="11"/>
  <c r="Z6" i="11"/>
  <c r="AA6" i="11"/>
  <c r="D11" i="11"/>
  <c r="H11" i="11"/>
  <c r="I11" i="11"/>
  <c r="J11" i="11"/>
  <c r="K11" i="11"/>
  <c r="L11" i="11"/>
  <c r="M11" i="11"/>
  <c r="N11" i="11"/>
  <c r="O11" i="11"/>
  <c r="P11" i="11"/>
  <c r="Q11" i="11"/>
  <c r="R11" i="11"/>
  <c r="S11" i="11"/>
  <c r="T11" i="11"/>
  <c r="U11" i="11"/>
  <c r="V11" i="11"/>
  <c r="W11" i="11"/>
  <c r="X11" i="11"/>
  <c r="Y11" i="11"/>
  <c r="Z11" i="11"/>
  <c r="AA11" i="11"/>
  <c r="D12" i="11"/>
  <c r="H12" i="11"/>
  <c r="I12" i="11"/>
  <c r="J12" i="11"/>
  <c r="K12" i="11"/>
  <c r="L12" i="11"/>
  <c r="M12" i="11"/>
  <c r="N12" i="11"/>
  <c r="O12" i="11"/>
  <c r="P12" i="11"/>
  <c r="Q12" i="11"/>
  <c r="R12" i="11"/>
  <c r="S12" i="11"/>
  <c r="T12" i="11"/>
  <c r="U12" i="11"/>
  <c r="V12" i="11"/>
  <c r="W12" i="11"/>
  <c r="X12" i="11"/>
  <c r="Y12" i="11"/>
  <c r="Z12" i="11"/>
  <c r="AA12" i="11"/>
  <c r="D13" i="11"/>
  <c r="H13" i="11"/>
  <c r="I13" i="11"/>
  <c r="J13" i="11"/>
  <c r="K13" i="11"/>
  <c r="L13" i="11"/>
  <c r="M13" i="11"/>
  <c r="N13" i="11"/>
  <c r="O13" i="11"/>
  <c r="P13" i="11"/>
  <c r="Q13" i="11"/>
  <c r="R13" i="11"/>
  <c r="S13" i="11"/>
  <c r="T13" i="11"/>
  <c r="U13" i="11"/>
  <c r="V13" i="11"/>
  <c r="W13" i="11"/>
  <c r="X13" i="11"/>
  <c r="Y13" i="11"/>
  <c r="Z13" i="11"/>
  <c r="AA13" i="11"/>
  <c r="D14" i="11"/>
  <c r="H14" i="11"/>
  <c r="I14" i="11"/>
  <c r="J14" i="11"/>
  <c r="K14" i="11"/>
  <c r="L14" i="11"/>
  <c r="M14" i="11"/>
  <c r="N14" i="11"/>
  <c r="O14" i="11"/>
  <c r="P14" i="11"/>
  <c r="Q14" i="11"/>
  <c r="R14" i="11"/>
  <c r="S14" i="11"/>
  <c r="T14" i="11"/>
  <c r="U14" i="11"/>
  <c r="V14" i="11"/>
  <c r="W14" i="11"/>
  <c r="X14" i="11"/>
  <c r="Y14" i="11"/>
  <c r="Z14" i="11"/>
  <c r="AA14" i="11"/>
  <c r="D15" i="11"/>
  <c r="H15" i="11"/>
  <c r="I15" i="11"/>
  <c r="J15" i="11"/>
  <c r="K15" i="11"/>
  <c r="L15" i="11"/>
  <c r="M15" i="11"/>
  <c r="N15" i="11"/>
  <c r="O15" i="11"/>
  <c r="P15" i="11"/>
  <c r="Q15" i="11"/>
  <c r="R15" i="11"/>
  <c r="S15" i="11"/>
  <c r="T15" i="11"/>
  <c r="U15" i="11"/>
  <c r="V15" i="11"/>
  <c r="W15" i="11"/>
  <c r="X15" i="11"/>
  <c r="Y15" i="11"/>
  <c r="Z15" i="11"/>
  <c r="AA15" i="11"/>
  <c r="D16" i="11"/>
  <c r="H16" i="11"/>
  <c r="I16" i="11"/>
  <c r="J16" i="11"/>
  <c r="K16" i="11"/>
  <c r="L16" i="11"/>
  <c r="M16" i="11"/>
  <c r="N16" i="11"/>
  <c r="O16" i="11"/>
  <c r="P16" i="11"/>
  <c r="Q16" i="11"/>
  <c r="R16" i="11"/>
  <c r="S16" i="11"/>
  <c r="T16" i="11"/>
  <c r="U16" i="11"/>
  <c r="V16" i="11"/>
  <c r="W16" i="11"/>
  <c r="X16" i="11"/>
  <c r="Y16" i="11"/>
  <c r="Z16" i="11"/>
  <c r="AA16" i="11"/>
  <c r="D23" i="11"/>
  <c r="F23" i="11"/>
  <c r="G23" i="11"/>
  <c r="H23" i="11"/>
  <c r="I23" i="11"/>
  <c r="J23" i="11"/>
  <c r="K23" i="11"/>
  <c r="L23" i="11"/>
  <c r="M23" i="11"/>
  <c r="N23" i="11"/>
  <c r="O23" i="11"/>
  <c r="P23" i="11"/>
  <c r="Q23" i="11"/>
  <c r="R23" i="11"/>
  <c r="S23" i="11"/>
  <c r="T23" i="11"/>
  <c r="U23" i="11"/>
  <c r="V23" i="11"/>
  <c r="W23" i="11"/>
  <c r="X23" i="11"/>
  <c r="Y23" i="11"/>
  <c r="Z23" i="11"/>
  <c r="AA23" i="11"/>
  <c r="D24" i="11"/>
  <c r="F24" i="11"/>
  <c r="G24" i="11"/>
  <c r="D25" i="11"/>
  <c r="F25" i="11"/>
  <c r="G25" i="11"/>
  <c r="D26" i="11"/>
  <c r="F26" i="11"/>
  <c r="G26" i="11"/>
  <c r="D29" i="11"/>
  <c r="F29" i="11"/>
  <c r="G29" i="11"/>
  <c r="H29" i="11"/>
  <c r="I29" i="11"/>
  <c r="J29" i="11"/>
  <c r="K29" i="11"/>
  <c r="L29" i="11"/>
  <c r="M29" i="11"/>
  <c r="N29" i="11"/>
  <c r="O29" i="11"/>
  <c r="P29" i="11"/>
  <c r="Q29" i="11"/>
  <c r="R29" i="11"/>
  <c r="S29" i="11"/>
  <c r="T29" i="11"/>
  <c r="U29" i="11"/>
  <c r="V29" i="11"/>
  <c r="W29" i="11"/>
  <c r="X29" i="11"/>
  <c r="Y29" i="11"/>
  <c r="Z29" i="11"/>
  <c r="AA29" i="11"/>
  <c r="D30" i="11"/>
  <c r="H30" i="11"/>
  <c r="I30" i="11"/>
  <c r="J30" i="11"/>
  <c r="K30" i="11"/>
  <c r="L30" i="11"/>
  <c r="M30" i="11"/>
  <c r="N30" i="11"/>
  <c r="O30" i="11"/>
  <c r="P30" i="11"/>
  <c r="Q30" i="11"/>
  <c r="R30" i="11"/>
  <c r="S30" i="11"/>
  <c r="T30" i="11"/>
  <c r="U30" i="11"/>
  <c r="V30" i="11"/>
  <c r="D31" i="11"/>
  <c r="F31" i="11"/>
  <c r="G31" i="11"/>
  <c r="H31" i="11"/>
  <c r="I31" i="11"/>
  <c r="J31" i="11"/>
  <c r="K31" i="11"/>
  <c r="L31" i="11"/>
  <c r="M31" i="11"/>
  <c r="N31" i="11"/>
  <c r="O31" i="11"/>
  <c r="P31" i="11"/>
  <c r="Q31" i="11"/>
  <c r="R31" i="11"/>
  <c r="S31" i="11"/>
  <c r="T31" i="11"/>
  <c r="U31" i="11"/>
  <c r="V31" i="11"/>
  <c r="D32" i="11"/>
  <c r="H32" i="11"/>
  <c r="I32" i="11"/>
  <c r="J32" i="11"/>
  <c r="K32" i="11"/>
  <c r="L32" i="11"/>
  <c r="M32" i="11"/>
  <c r="N32" i="11"/>
  <c r="O32" i="11"/>
  <c r="P32" i="11"/>
  <c r="Q32" i="11"/>
  <c r="R32" i="11"/>
  <c r="S32" i="11"/>
  <c r="T32" i="11"/>
  <c r="U32" i="11"/>
  <c r="V32" i="11"/>
  <c r="W32" i="11"/>
  <c r="X32" i="11"/>
  <c r="Y32" i="11"/>
  <c r="Z32" i="11"/>
  <c r="AA32" i="11"/>
  <c r="D33" i="11"/>
  <c r="F33" i="11"/>
  <c r="G33" i="11"/>
  <c r="H33" i="11"/>
  <c r="I33" i="11"/>
  <c r="J33" i="11"/>
  <c r="K33" i="11"/>
  <c r="L33" i="11"/>
  <c r="M33" i="11"/>
  <c r="N33" i="11"/>
  <c r="O33" i="11"/>
  <c r="P33" i="11"/>
  <c r="Q33" i="11"/>
  <c r="R33" i="11"/>
  <c r="S33" i="11"/>
  <c r="T33" i="11"/>
  <c r="U33" i="11"/>
  <c r="V33" i="11"/>
  <c r="W33" i="11"/>
  <c r="X33" i="11"/>
  <c r="Y33" i="11"/>
  <c r="Z33" i="11"/>
  <c r="AA33" i="11"/>
  <c r="F34" i="11"/>
  <c r="G34" i="11"/>
  <c r="H34" i="11"/>
  <c r="I34" i="11"/>
  <c r="J34" i="11"/>
  <c r="K34" i="11"/>
  <c r="L34" i="11"/>
  <c r="M34" i="11"/>
  <c r="N34" i="11"/>
  <c r="O34" i="11"/>
  <c r="P34" i="11"/>
  <c r="Q34" i="11"/>
  <c r="R34" i="11"/>
  <c r="S34" i="11"/>
  <c r="T34" i="11"/>
  <c r="U34" i="11"/>
  <c r="V34" i="11"/>
  <c r="W34" i="11"/>
  <c r="X34" i="11"/>
  <c r="Y34" i="11"/>
  <c r="Z34" i="11"/>
  <c r="AA34" i="11"/>
  <c r="H41" i="11"/>
  <c r="I41" i="11"/>
  <c r="J41" i="11"/>
  <c r="K41" i="11"/>
  <c r="L41" i="11"/>
  <c r="M41" i="11"/>
  <c r="N41" i="11"/>
  <c r="O41" i="11"/>
  <c r="P41" i="11"/>
  <c r="Q41" i="11"/>
  <c r="R41" i="11"/>
  <c r="S41" i="11"/>
  <c r="T41" i="11"/>
  <c r="U41" i="11"/>
  <c r="V41" i="11"/>
  <c r="W41" i="11"/>
  <c r="X41" i="11"/>
  <c r="Y41" i="11"/>
  <c r="Z41" i="11"/>
  <c r="AA41" i="11"/>
  <c r="D6" i="15"/>
  <c r="D8" i="15"/>
  <c r="D11" i="15"/>
  <c r="D12" i="15"/>
  <c r="D13" i="15"/>
  <c r="D14" i="15"/>
  <c r="D15" i="15"/>
  <c r="D16" i="15"/>
  <c r="D17" i="15"/>
  <c r="D18" i="15"/>
  <c r="D19" i="15"/>
  <c r="D20" i="15"/>
  <c r="H349" i="2"/>
  <c r="H350" i="2"/>
  <c r="H352" i="2"/>
  <c r="H356" i="2"/>
  <c r="H364" i="2"/>
  <c r="H366" i="2"/>
  <c r="H412" i="2"/>
</calcChain>
</file>

<file path=xl/comments1.xml><?xml version="1.0" encoding="utf-8"?>
<comments xmlns="http://schemas.openxmlformats.org/spreadsheetml/2006/main">
  <authors>
    <author>HP</author>
  </authors>
  <commentList>
    <comment ref="F2" authorId="0">
      <text>
        <r>
          <rPr>
            <b/>
            <sz val="9"/>
            <rFont val="宋体"/>
            <charset val="134"/>
          </rPr>
          <t>HP:</t>
        </r>
        <r>
          <rPr>
            <sz val="9"/>
            <rFont val="宋体"/>
            <charset val="134"/>
          </rPr>
          <t xml:space="preserve">
引用维护板块内容</t>
        </r>
      </text>
    </comment>
  </commentList>
</comments>
</file>

<file path=xl/comments2.xml><?xml version="1.0" encoding="utf-8"?>
<comments xmlns="http://schemas.openxmlformats.org/spreadsheetml/2006/main">
  <authors>
    <author>HP</author>
  </authors>
  <commentList>
    <comment ref="D7" authorId="0">
      <text>
        <r>
          <rPr>
            <b/>
            <sz val="9"/>
            <rFont val="宋体"/>
            <charset val="134"/>
          </rPr>
          <t>HP:</t>
        </r>
        <r>
          <rPr>
            <sz val="9"/>
            <rFont val="宋体"/>
            <charset val="134"/>
          </rPr>
          <t xml:space="preserve">
反算、敏感性分析、蒙特卡洛</t>
        </r>
      </text>
    </comment>
    <comment ref="F11" authorId="0">
      <text>
        <r>
          <rPr>
            <b/>
            <sz val="9"/>
            <rFont val="宋体"/>
            <charset val="134"/>
          </rPr>
          <t>HP:</t>
        </r>
        <r>
          <rPr>
            <sz val="9"/>
            <rFont val="宋体"/>
            <charset val="134"/>
          </rPr>
          <t xml:space="preserve">
在表三成本费用表</t>
        </r>
      </text>
    </comment>
  </commentList>
</comments>
</file>

<file path=xl/sharedStrings.xml><?xml version="1.0" encoding="utf-8"?>
<sst xmlns="http://schemas.openxmlformats.org/spreadsheetml/2006/main" count="3076" uniqueCount="693">
  <si>
    <t>参数输入表中：</t>
  </si>
  <si>
    <t>标黄项为相对固定模块</t>
  </si>
  <si>
    <t>标绿项为对成本类、收入类数据进行分类，成本参数按照：“生产成本/销售费用/管理费用/研发费用”划分；收入参数按照：“营业收入/其他收入/营业外收入”划分</t>
  </si>
  <si>
    <t>标橙项为固定的分类原则</t>
  </si>
  <si>
    <t>标紫项为在参数表中不需要手动输入、勾选的内容，根据其他输入参数自动计算得出，可不在参数输入界面呈现。</t>
  </si>
  <si>
    <t>标红项为引用同样红色sheet中相关数据</t>
  </si>
  <si>
    <t>标蓝项为可不展示内容，大部分为中间过程计算表/中间计算过程</t>
  </si>
  <si>
    <r>
      <rPr>
        <sz val="11"/>
        <color theme="1"/>
        <rFont val="微软雅黑"/>
        <charset val="134"/>
      </rPr>
      <t>【</t>
    </r>
    <r>
      <rPr>
        <b/>
        <sz val="11"/>
        <color theme="1"/>
        <rFont val="微软雅黑"/>
        <charset val="134"/>
      </rPr>
      <t>成本费用表】</t>
    </r>
    <r>
      <rPr>
        <sz val="11"/>
        <color theme="1"/>
        <rFont val="微软雅黑"/>
        <charset val="134"/>
      </rPr>
      <t>、【</t>
    </r>
    <r>
      <rPr>
        <b/>
        <sz val="11"/>
        <color theme="1"/>
        <rFont val="微软雅黑"/>
        <charset val="134"/>
      </rPr>
      <t>收入税金表】</t>
    </r>
    <r>
      <rPr>
        <sz val="11"/>
        <color theme="1"/>
        <rFont val="微软雅黑"/>
        <charset val="134"/>
      </rPr>
      <t>、【</t>
    </r>
    <r>
      <rPr>
        <b/>
        <sz val="11"/>
        <color theme="1"/>
        <rFont val="微软雅黑"/>
        <charset val="134"/>
      </rPr>
      <t>利润表】</t>
    </r>
    <r>
      <rPr>
        <sz val="11"/>
        <color theme="1"/>
        <rFont val="微软雅黑"/>
        <charset val="134"/>
      </rPr>
      <t>体现的是会计报表相关数据，涉及到的收入及成本数据均为不含增值税金额，</t>
    </r>
    <r>
      <rPr>
        <b/>
        <sz val="11"/>
        <color theme="1"/>
        <rFont val="微软雅黑"/>
        <charset val="134"/>
      </rPr>
      <t>不含税金额计算公式为： 【含税金额/（1+增值税税率）】；增值税计算公式为：【不含税金额*增值税税率】或【含税金额/（1+增值税税率）*增值税税率】</t>
    </r>
  </si>
  <si>
    <r>
      <rPr>
        <sz val="11"/>
        <color theme="1"/>
        <rFont val="微软雅黑"/>
        <charset val="134"/>
      </rPr>
      <t>【</t>
    </r>
    <r>
      <rPr>
        <b/>
        <sz val="11"/>
        <color theme="1"/>
        <rFont val="微软雅黑"/>
        <charset val="134"/>
      </rPr>
      <t>成本费用表</t>
    </r>
    <r>
      <rPr>
        <sz val="11"/>
        <color theme="1"/>
        <rFont val="微软雅黑"/>
        <charset val="134"/>
      </rPr>
      <t>】中各项成本按照：一、营业总成本：（1）生产成本；（2）销售费用；（3）管理费用；（4）研发费用；（5）财务费用；二、营业外支出，进行划分，其中需重点关注</t>
    </r>
    <r>
      <rPr>
        <b/>
        <sz val="11"/>
        <color theme="1"/>
        <rFont val="微软雅黑"/>
        <charset val="134"/>
      </rPr>
      <t>长期待摊费用成本项</t>
    </r>
    <r>
      <rPr>
        <sz val="11"/>
        <color theme="1"/>
        <rFont val="微软雅黑"/>
        <charset val="134"/>
      </rPr>
      <t>，在成本费用表中以逐年摊销的形式出现。</t>
    </r>
  </si>
  <si>
    <r>
      <rPr>
        <sz val="11"/>
        <color theme="1"/>
        <rFont val="微软雅黑"/>
        <charset val="134"/>
      </rPr>
      <t>【</t>
    </r>
    <r>
      <rPr>
        <b/>
        <sz val="11"/>
        <color theme="1"/>
        <rFont val="微软雅黑"/>
        <charset val="134"/>
      </rPr>
      <t>成本费用表</t>
    </r>
    <r>
      <rPr>
        <sz val="11"/>
        <color theme="1"/>
        <rFont val="微软雅黑"/>
        <charset val="134"/>
      </rPr>
      <t>】中标蓝的内容为不展示内容，为中间计算表，其中数据均还原成含税金额，用于后续的【</t>
    </r>
    <r>
      <rPr>
        <b/>
        <sz val="11"/>
        <color theme="1"/>
        <rFont val="微软雅黑"/>
        <charset val="134"/>
      </rPr>
      <t>现金流量表</t>
    </r>
    <r>
      <rPr>
        <sz val="11"/>
        <color theme="1"/>
        <rFont val="微软雅黑"/>
        <charset val="134"/>
      </rPr>
      <t>】引用</t>
    </r>
  </si>
  <si>
    <r>
      <rPr>
        <sz val="11"/>
        <color theme="1"/>
        <rFont val="微软雅黑"/>
        <charset val="134"/>
      </rPr>
      <t>【</t>
    </r>
    <r>
      <rPr>
        <b/>
        <sz val="11"/>
        <color theme="1"/>
        <rFont val="微软雅黑"/>
        <charset val="134"/>
      </rPr>
      <t>收入表</t>
    </r>
    <r>
      <rPr>
        <sz val="11"/>
        <color theme="1"/>
        <rFont val="微软雅黑"/>
        <charset val="134"/>
      </rPr>
      <t>】中各项收入按照：一、营业收入；二、其他收入；三、营业外收入，营业收入及营业外收入需展示二级目录（具体的收入项）</t>
    </r>
  </si>
  <si>
    <r>
      <rPr>
        <sz val="11"/>
        <color theme="1"/>
        <rFont val="微软雅黑"/>
        <charset val="134"/>
      </rPr>
      <t>【</t>
    </r>
    <r>
      <rPr>
        <b/>
        <sz val="11"/>
        <color theme="1"/>
        <rFont val="微软雅黑"/>
        <charset val="134"/>
      </rPr>
      <t>现金流量表</t>
    </r>
    <r>
      <rPr>
        <sz val="11"/>
        <color theme="1"/>
        <rFont val="微软雅黑"/>
        <charset val="134"/>
      </rPr>
      <t>】体现的是公司账上实际收到或支付的现金流，因此涉及到的收入及成本数据均为含增值税金额，数据需引用成本费用表中还原后的含税金额或参数输入表中的含税金额。同时，收入数据需关注付款比例及回款期限的应用。原理为当年的部分比例收入的滞后支付，第一年的某项收入现金流为预测现金流*首年支付比例，第二年的某项收入现金流为：当年预测现金流*当年支付比例+上一年预测现金流*（1-上一年支付比例）</t>
    </r>
  </si>
  <si>
    <r>
      <rPr>
        <sz val="11"/>
        <color theme="1"/>
        <rFont val="微软雅黑"/>
        <charset val="134"/>
      </rPr>
      <t>【</t>
    </r>
    <r>
      <rPr>
        <b/>
        <sz val="11"/>
        <color theme="1"/>
        <rFont val="微软雅黑"/>
        <charset val="134"/>
      </rPr>
      <t>现金流量表-财务计划</t>
    </r>
    <r>
      <rPr>
        <sz val="11"/>
        <color theme="1"/>
        <rFont val="微软雅黑"/>
        <charset val="134"/>
      </rPr>
      <t>】增加IF判定条件，当某年的累计盈余资金&lt;“流动资金（本项目为960万元）”+次年的“生产经营现金支出合计（成本费用表标蓝表第一行）”，给出明显提示（允许用户在参数输入界面填写各年度短期借款当期借款金额及还本金额，再重新生成新的结果）</t>
    </r>
  </si>
  <si>
    <t>投资概算</t>
  </si>
  <si>
    <t>序号</t>
  </si>
  <si>
    <t>科目</t>
  </si>
  <si>
    <t>计取基数</t>
  </si>
  <si>
    <t>进项税率</t>
  </si>
  <si>
    <t>进项税</t>
  </si>
  <si>
    <t>设备购置费</t>
  </si>
  <si>
    <t>建安工程费</t>
  </si>
  <si>
    <t>其他费用</t>
  </si>
  <si>
    <t>预备费</t>
  </si>
  <si>
    <t>送出线路投资</t>
  </si>
  <si>
    <t>配套支持资金</t>
  </si>
  <si>
    <t>静态总投资</t>
  </si>
  <si>
    <t>建设期利息</t>
  </si>
  <si>
    <t>动态总投资</t>
  </si>
  <si>
    <t>流动资金</t>
  </si>
  <si>
    <t>可抵扣进项税</t>
  </si>
  <si>
    <t>可抵扣进项税为后台计算，不需要作为成果展示</t>
  </si>
  <si>
    <t>【风储】财务评价计算模型边界条件输入参数表</t>
  </si>
  <si>
    <t>类别</t>
  </si>
  <si>
    <t>参数</t>
  </si>
  <si>
    <t>操作类型</t>
  </si>
  <si>
    <t>收入/成本归类</t>
  </si>
  <si>
    <t>参数释义/计算公式</t>
  </si>
  <si>
    <t>数值</t>
  </si>
  <si>
    <t>单位</t>
  </si>
  <si>
    <t>取值说明</t>
  </si>
  <si>
    <t>备注</t>
  </si>
  <si>
    <t>项目规模</t>
  </si>
  <si>
    <t>手动输入</t>
  </si>
  <si>
    <t>按照算力规模</t>
  </si>
  <si>
    <t>p</t>
  </si>
  <si>
    <t>项目变电容量</t>
  </si>
  <si>
    <t>MVa</t>
  </si>
  <si>
    <t>机柜总功率</t>
  </si>
  <si>
    <t>kW</t>
  </si>
  <si>
    <t>全年用电量</t>
  </si>
  <si>
    <t>全年用电量大于风（光）储全年发电量，风（光）储上网电量为0，如果全年用电量小于风（光）储全年发电量，上网电量=风（光）储全年发电量-全年用电量；</t>
  </si>
  <si>
    <t>运营期第1年</t>
  </si>
  <si>
    <t>MWh</t>
  </si>
  <si>
    <t>运营期第2年</t>
  </si>
  <si>
    <t>运营期第3年</t>
  </si>
  <si>
    <t>运营期第4年</t>
  </si>
  <si>
    <t>运营期第5年</t>
  </si>
  <si>
    <t>运营期第6年</t>
  </si>
  <si>
    <t>运营期第7年</t>
  </si>
  <si>
    <t>运营期第8年</t>
  </si>
  <si>
    <t>运营期第9年</t>
  </si>
  <si>
    <t>运营期第10年</t>
  </si>
  <si>
    <t>运营期第11年</t>
  </si>
  <si>
    <t>运营期第12年</t>
  </si>
  <si>
    <t>运营期第13年</t>
  </si>
  <si>
    <t>运营期第14年</t>
  </si>
  <si>
    <t>运营期第15年</t>
  </si>
  <si>
    <t>运营期第16年</t>
  </si>
  <si>
    <t>运营期第17年</t>
  </si>
  <si>
    <t>运营期第18年</t>
  </si>
  <si>
    <t>运营期第19年</t>
  </si>
  <si>
    <t>运营期第20年</t>
  </si>
  <si>
    <t>PUE</t>
  </si>
  <si>
    <t>是否有新能源接入</t>
  </si>
  <si>
    <t>直连式新能源
源网核储一体化</t>
  </si>
  <si>
    <t>否</t>
  </si>
  <si>
    <t>新能源类型</t>
  </si>
  <si>
    <t>下拉菜单选择</t>
  </si>
  <si>
    <t>风储、光储、风光储</t>
  </si>
  <si>
    <t>风电接入比例</t>
  </si>
  <si>
    <t>光伏接入比例</t>
  </si>
  <si>
    <t>新能源接入电量</t>
  </si>
  <si>
    <t>还未设置链接</t>
  </si>
  <si>
    <t>光伏接入电量</t>
  </si>
  <si>
    <t>取值于风光储发电量</t>
  </si>
  <si>
    <t>风电接入电量</t>
  </si>
  <si>
    <t>新能源装机比例</t>
  </si>
  <si>
    <t>新能源装机容量/数据中心总负荷</t>
  </si>
  <si>
    <t>%</t>
  </si>
  <si>
    <t>电网过网费</t>
  </si>
  <si>
    <t>元/千瓦时</t>
  </si>
  <si>
    <t>根据消纳的风光储电量，根据项目实际情况</t>
  </si>
  <si>
    <t>基础信息</t>
  </si>
  <si>
    <t>建设期</t>
  </si>
  <si>
    <t>年</t>
  </si>
  <si>
    <t>动工年月</t>
  </si>
  <si>
    <t>手动输入/下拉菜单选择【日历】</t>
  </si>
  <si>
    <t>年/月</t>
  </si>
  <si>
    <t>施工进度安排</t>
  </si>
  <si>
    <t>建设期第1年</t>
  </si>
  <si>
    <t>建设期第2年</t>
  </si>
  <si>
    <t>建设期第3年</t>
  </si>
  <si>
    <t>建设期第4年</t>
  </si>
  <si>
    <t>运营期</t>
  </si>
  <si>
    <t>原则上按照20年考虑</t>
  </si>
  <si>
    <t>项目所在地</t>
  </si>
  <si>
    <t>判定是否属于西部地区</t>
  </si>
  <si>
    <t>所在省份</t>
  </si>
  <si>
    <t>所在市、县</t>
  </si>
  <si>
    <t>收入</t>
  </si>
  <si>
    <t>裸机柜出租</t>
  </si>
  <si>
    <t>机柜类型24kw</t>
  </si>
  <si>
    <t>租赁数量</t>
  </si>
  <si>
    <t>台</t>
  </si>
  <si>
    <t>租赁单价</t>
  </si>
  <si>
    <t>万元/台</t>
  </si>
  <si>
    <t>机柜类型12kw（可预留自动补充）</t>
  </si>
  <si>
    <t>增值税</t>
  </si>
  <si>
    <t>算力出租</t>
  </si>
  <si>
    <t>租赁收入</t>
  </si>
  <si>
    <t>万元</t>
  </si>
  <si>
    <t>增值税税率</t>
  </si>
  <si>
    <t>其他收入</t>
  </si>
  <si>
    <t>营业外收入</t>
  </si>
  <si>
    <r>
      <rPr>
        <b/>
        <sz val="12"/>
        <rFont val="宋体"/>
        <charset val="134"/>
      </rPr>
      <t>政府运营补贴收入</t>
    </r>
    <r>
      <rPr>
        <b/>
        <sz val="10"/>
        <rFont val="宋体"/>
        <charset val="134"/>
      </rPr>
      <t>（一次性）</t>
    </r>
  </si>
  <si>
    <t>4.1.1</t>
  </si>
  <si>
    <t>补贴金额</t>
  </si>
  <si>
    <t>4.1.2</t>
  </si>
  <si>
    <t>递延收益确认</t>
  </si>
  <si>
    <t>手动输入/下拉菜单选择【增值税税率】</t>
  </si>
  <si>
    <t>增值税税率（自动生成含税和不含税价）：13%/9%/6%/0%</t>
  </si>
  <si>
    <t>其中，算力设备费</t>
  </si>
  <si>
    <t>建筑工程费</t>
  </si>
  <si>
    <t>安装工程费</t>
  </si>
  <si>
    <t>固定资产其他费用</t>
  </si>
  <si>
    <t>无形资产</t>
  </si>
  <si>
    <t>征地费用</t>
  </si>
  <si>
    <t>其他资产费用</t>
  </si>
  <si>
    <t>自动计算</t>
  </si>
  <si>
    <t>静态总投资（自主投资）</t>
  </si>
  <si>
    <t>投资概算1-8合计</t>
  </si>
  <si>
    <t>静态总投资（自主投资）=项目静态总投资-建设补贴</t>
  </si>
  <si>
    <t>项目动态投资（不含流动资金）</t>
  </si>
  <si>
    <t>计入总投资的资本化利息，直接引用资金筹措表数据</t>
  </si>
  <si>
    <r>
      <rPr>
        <sz val="11"/>
        <color theme="1"/>
        <rFont val="宋体"/>
        <charset val="134"/>
        <scheme val="minor"/>
      </rPr>
      <t>项目动态总投资</t>
    </r>
    <r>
      <rPr>
        <sz val="9"/>
        <color theme="1"/>
        <rFont val="宋体"/>
        <charset val="134"/>
        <scheme val="minor"/>
      </rPr>
      <t>（不含流动资金）</t>
    </r>
    <r>
      <rPr>
        <sz val="11"/>
        <color theme="1"/>
        <rFont val="宋体"/>
        <charset val="134"/>
        <scheme val="minor"/>
      </rPr>
      <t>=项目静态总投资+建设期利息</t>
    </r>
  </si>
  <si>
    <t>项目总投资</t>
  </si>
  <si>
    <r>
      <rPr>
        <sz val="11"/>
        <color theme="1"/>
        <rFont val="宋体"/>
        <charset val="134"/>
        <scheme val="minor"/>
      </rPr>
      <t>动态总投资</t>
    </r>
    <r>
      <rPr>
        <sz val="9"/>
        <color theme="1"/>
        <rFont val="宋体"/>
        <charset val="134"/>
        <scheme val="minor"/>
      </rPr>
      <t>（自主投资</t>
    </r>
    <r>
      <rPr>
        <sz val="9"/>
        <color theme="1"/>
        <rFont val="宋体"/>
        <charset val="134"/>
        <scheme val="minor"/>
      </rPr>
      <t>_</t>
    </r>
    <r>
      <rPr>
        <sz val="9"/>
        <color theme="1"/>
        <rFont val="宋体"/>
        <charset val="134"/>
        <scheme val="minor"/>
      </rPr>
      <t>不含流动资金）</t>
    </r>
    <r>
      <rPr>
        <sz val="11"/>
        <color theme="1"/>
        <rFont val="宋体"/>
        <charset val="134"/>
        <scheme val="minor"/>
      </rPr>
      <t>=静态总投资（自主投资）+建设期利息</t>
    </r>
  </si>
  <si>
    <t>根据项目设计概算梳理出设备类、建安类、服务类投资，再分别按照对应适用税率（现行标准为13%、9%、6%）计算出可抵扣增值税额</t>
  </si>
  <si>
    <t>建设补贴</t>
  </si>
  <si>
    <t>投融资相关</t>
  </si>
  <si>
    <t>资本金比例</t>
  </si>
  <si>
    <t>资本金比例原则上在20%-30%之间</t>
  </si>
  <si>
    <t>资本金</t>
  </si>
  <si>
    <t>资本金=资金筹措动态总投资*资本金比例</t>
  </si>
  <si>
    <t>宽限期</t>
  </si>
  <si>
    <t>建设期仅付息，不还本</t>
  </si>
  <si>
    <t>建设期利息贷款利率</t>
  </si>
  <si>
    <t>用于计算建设期利息的贷款利率</t>
  </si>
  <si>
    <t>长期贷款利率</t>
  </si>
  <si>
    <t>原则上按照开发主体在项目所在地实际融资水平取值，不得高于同期限银行贷款基础利率（LPR）</t>
  </si>
  <si>
    <t>短期贷款利率</t>
  </si>
  <si>
    <t>长期借款本金偿还方式</t>
  </si>
  <si>
    <t>等额本息/等额本金/其他</t>
  </si>
  <si>
    <t>长期借款本金还款期限</t>
  </si>
  <si>
    <t>还款期限建议取值15年，最终根据与银行沟通协商情况据实调整</t>
  </si>
  <si>
    <t>流动资金中资本金占比</t>
  </si>
  <si>
    <t>项目公司注册资本</t>
  </si>
  <si>
    <t>盈余公积金</t>
  </si>
  <si>
    <t>法定盈余公积金提取上限</t>
  </si>
  <si>
    <t>法定盈余公积金按当年净利润10%提取，累计提取至注册资本的50%不再提取</t>
  </si>
  <si>
    <t>法定盈余公积金提取比例</t>
  </si>
  <si>
    <t>默认成固定值</t>
  </si>
  <si>
    <t>法定盈余公积金按当年净利润10%提取</t>
  </si>
  <si>
    <t>任意盈余公积金提取比例</t>
  </si>
  <si>
    <t>短期借款</t>
  </si>
  <si>
    <t>短期借款额</t>
  </si>
  <si>
    <t>手动输入（运营期各年），初始默认各年为0</t>
  </si>
  <si>
    <t>短期借款还本</t>
  </si>
  <si>
    <t>成本费用</t>
  </si>
  <si>
    <t>其他运营 水费、油费</t>
  </si>
  <si>
    <t>生产成本/销售费用/管理费用/研发费用</t>
  </si>
  <si>
    <t>前端自定义</t>
  </si>
  <si>
    <t>运营期1-5年</t>
  </si>
  <si>
    <t>万元/年</t>
  </si>
  <si>
    <t>运营期6-10年</t>
  </si>
  <si>
    <t>运营期11-15年</t>
  </si>
  <si>
    <t>运营期16-20年</t>
  </si>
  <si>
    <t>增值税税率（自动生成含税和不含税数据）</t>
  </si>
  <si>
    <t>13%/9%/6%/0%</t>
  </si>
  <si>
    <t>维修费</t>
  </si>
  <si>
    <t>生产成本/管理费用</t>
  </si>
  <si>
    <t>取费基数</t>
  </si>
  <si>
    <t>费率</t>
  </si>
  <si>
    <t>增值税税率（自动生成含税和不含数据）</t>
  </si>
  <si>
    <t>保险费</t>
  </si>
  <si>
    <t>管理费用</t>
  </si>
  <si>
    <t>可自定义25年费率</t>
  </si>
  <si>
    <t>增值税税率（自动生成含税和不含税价）</t>
  </si>
  <si>
    <t>生产人员薪酬及福利</t>
  </si>
  <si>
    <t>生产成本</t>
  </si>
  <si>
    <t>生产人员（正式/劳务派遣）</t>
  </si>
  <si>
    <t>正式员工</t>
  </si>
  <si>
    <t>人</t>
  </si>
  <si>
    <t>劳务派遣</t>
  </si>
  <si>
    <t>人均工资</t>
  </si>
  <si>
    <r>
      <rPr>
        <sz val="12"/>
        <rFont val="宋体"/>
        <charset val="134"/>
      </rPr>
      <t>万元/人</t>
    </r>
    <r>
      <rPr>
        <sz val="12"/>
        <rFont val="宋体"/>
        <charset val="134"/>
      </rPr>
      <t>/年</t>
    </r>
  </si>
  <si>
    <t>正式员工工资</t>
  </si>
  <si>
    <t>劳务派遣工资</t>
  </si>
  <si>
    <t>社会保险及福利费用系数</t>
  </si>
  <si>
    <t>上涨系数调整</t>
  </si>
  <si>
    <t>可自定义增长形式</t>
  </si>
  <si>
    <t>宽带费用</t>
  </si>
  <si>
    <t>期末拆除费用</t>
  </si>
  <si>
    <t>固定资产原值*拆除费率，初核阶段建议可按照固定资产原值2%估算。</t>
  </si>
  <si>
    <t>用电费用</t>
  </si>
  <si>
    <t>电网供电</t>
  </si>
  <si>
    <t>每年用电量*电网供电电费</t>
  </si>
  <si>
    <t>下网电量</t>
  </si>
  <si>
    <t>下网电价</t>
  </si>
  <si>
    <t>其中：交易结算价</t>
  </si>
  <si>
    <t xml:space="preserve">      输配电费</t>
  </si>
  <si>
    <t xml:space="preserve">  上网环节线损</t>
  </si>
  <si>
    <t xml:space="preserve">  系统运行费</t>
  </si>
  <si>
    <t xml:space="preserve">  政府性基金及附加</t>
  </si>
  <si>
    <t xml:space="preserve">  容量电费</t>
  </si>
  <si>
    <t>融合项目供电</t>
  </si>
  <si>
    <t>取值于（风光储电价+电网过网费（如有））X风光储发电量</t>
  </si>
  <si>
    <t>元/kWh</t>
  </si>
  <si>
    <t>资产折旧摊销</t>
  </si>
  <si>
    <t>不需要归类</t>
  </si>
  <si>
    <t>固定资产折旧</t>
  </si>
  <si>
    <t>固定资产原值</t>
  </si>
  <si>
    <t>固定资产原值=项目动态总投资（自主投资_不含流动资金）-可抵扣进项税=项目静态总投资-建设补贴+建设期利息-可抵扣进项税</t>
  </si>
  <si>
    <t>9.1.1</t>
  </si>
  <si>
    <t>固定资产折旧计提方式</t>
  </si>
  <si>
    <t>直线法/其他(手动填写各年的折旧额)</t>
  </si>
  <si>
    <t>原则上采用平均年限法进行折旧，折旧年限取值15年，残值率取值5%</t>
  </si>
  <si>
    <t>9.1.2</t>
  </si>
  <si>
    <t>固定资产折旧年限</t>
  </si>
  <si>
    <t>9.1.3</t>
  </si>
  <si>
    <t>固定资产残值率</t>
  </si>
  <si>
    <t>无形资产摊销</t>
  </si>
  <si>
    <t>9.2.1</t>
  </si>
  <si>
    <t>无形资产原值</t>
  </si>
  <si>
    <t>9.2.2</t>
  </si>
  <si>
    <t>无形资产摊销计提方式</t>
  </si>
  <si>
    <t>9.2.3</t>
  </si>
  <si>
    <t>无形资产摊销年限</t>
  </si>
  <si>
    <t>9.2.4</t>
  </si>
  <si>
    <t>无形资产残值率</t>
  </si>
  <si>
    <t>计入长期待摊的成本项</t>
  </si>
  <si>
    <t>适用于一次性支付多年租金等情形</t>
  </si>
  <si>
    <t>计入长期待摊的成本金额</t>
  </si>
  <si>
    <t>摊销计提方式</t>
  </si>
  <si>
    <t>直线法/其他</t>
  </si>
  <si>
    <t>摊销年限</t>
  </si>
  <si>
    <t>大修及更新重置（维持运营投资）</t>
  </si>
  <si>
    <t>（维持运营投资）设备更新改造</t>
  </si>
  <si>
    <t>大修及更新重置投资</t>
  </si>
  <si>
    <t>折旧摊销计提方式</t>
  </si>
  <si>
    <t>大修及更新重置投资折旧年限</t>
  </si>
  <si>
    <t>大修及更新重置投资残值率</t>
  </si>
  <si>
    <t>增值税进项税</t>
  </si>
  <si>
    <t>大修及更新重置进项税=大修及更新重置投资/（1+增值税税率（自动生成含税和不含税价））*增值税税率（自动生成含税和不含税价）</t>
  </si>
  <si>
    <t>营业外支出</t>
  </si>
  <si>
    <t>营业外支出金额</t>
  </si>
  <si>
    <t>捐赠/税前分红/扶贫支出等</t>
  </si>
  <si>
    <t>……</t>
  </si>
  <si>
    <t>税金</t>
  </si>
  <si>
    <t>增值税优惠政策</t>
  </si>
  <si>
    <t>常规/即征即退</t>
  </si>
  <si>
    <t>即征即退</t>
  </si>
  <si>
    <t>菜单项</t>
  </si>
  <si>
    <t>增值税退税优惠</t>
  </si>
  <si>
    <t>企业所得税优惠政策</t>
  </si>
  <si>
    <t>下拉菜单选择
（可多选）</t>
  </si>
  <si>
    <t>常规/所得税三免三减半/西部地区的鼓励类产业企业</t>
  </si>
  <si>
    <t>常规</t>
  </si>
  <si>
    <t>①所得税三免三减半：自取得第一笔发电收入所属纳税年度起，免除第1-3年所得税，减半征收第4-6年所得税。
②若符合西部地区的鼓励类产业企业政策：根据《关于延续西部大开发企业所得税政策的公告》和《西部地区鼓励类产业目录》，对于符合相应应条件的西部地区项目，在2030年及以前的运营期可进一步考虑所得税率减按15%执行的优惠政策。</t>
  </si>
  <si>
    <t>无所得税优惠</t>
  </si>
  <si>
    <t>所得税三免三减半</t>
  </si>
  <si>
    <t>自取得第一笔发电收入所属纳税年度起，免除第1-3年所得税，减半征收第4-6年所得税</t>
  </si>
  <si>
    <t>西部地区的鼓励类产业企业</t>
  </si>
  <si>
    <t>2030年前所得税适用15%税率</t>
  </si>
  <si>
    <t>2030年前适用15%所得税税率</t>
  </si>
  <si>
    <t>城市维护建设税税率</t>
  </si>
  <si>
    <t>所在地为市区的，税率7%；
所在地为县城、镇的，税率为5%；
所在地不在市区、县城或镇的，税率为1%。</t>
  </si>
  <si>
    <t>城建税税率（市区）</t>
  </si>
  <si>
    <t>城建税税率（县城、镇）</t>
  </si>
  <si>
    <t>城建税税率（其他）</t>
  </si>
  <si>
    <t>教育费附加费</t>
  </si>
  <si>
    <r>
      <rPr>
        <sz val="12"/>
        <rFont val="宋体"/>
        <charset val="134"/>
      </rPr>
      <t>教育费附加=（实际缴纳的增值税+营业税+消费税）×</t>
    </r>
    <r>
      <rPr>
        <b/>
        <sz val="12"/>
        <rFont val="宋体"/>
        <charset val="134"/>
      </rPr>
      <t>3%</t>
    </r>
    <r>
      <rPr>
        <sz val="11"/>
        <color theme="1"/>
        <rFont val="宋体"/>
        <charset val="134"/>
        <scheme val="minor"/>
      </rPr>
      <t xml:space="preserve">
地方教育附加=（实际缴纳的增值税+营业税+消费税）×</t>
    </r>
    <r>
      <rPr>
        <b/>
        <sz val="12"/>
        <rFont val="宋体"/>
        <charset val="134"/>
      </rPr>
      <t>2%</t>
    </r>
  </si>
  <si>
    <t>教育附加税率</t>
  </si>
  <si>
    <t>地方教育附加税率</t>
  </si>
  <si>
    <t>城镇土地使用税</t>
  </si>
  <si>
    <t>应税土地面积</t>
  </si>
  <si>
    <t>㎡</t>
  </si>
  <si>
    <t>城镇土地使用税税收标准</t>
  </si>
  <si>
    <t>元/㎡</t>
  </si>
  <si>
    <t>维护板块</t>
  </si>
  <si>
    <t>增值税税率（自动生成含税和不含税价）（进项税）</t>
  </si>
  <si>
    <t>储能投资</t>
  </si>
  <si>
    <t>增值税税率（自动生成含税和不含税价）（销项税）</t>
  </si>
  <si>
    <t>参数表中标黄为相对固定模块，成本、收入板块中非固定模块建议设置成可选可添加形式，由操作者自定义名称、计算方式及具体参数进行计算。</t>
  </si>
  <si>
    <t>所有收入、成本参数需同步勾选对应增值税税率（自动生成含税和不含税价）</t>
  </si>
  <si>
    <t>资金筹措表</t>
  </si>
  <si>
    <t>合计</t>
  </si>
  <si>
    <t>动态总投资（自主投资）</t>
  </si>
  <si>
    <t>资金来源</t>
  </si>
  <si>
    <t>2.1.1</t>
  </si>
  <si>
    <t>用于建设投资</t>
  </si>
  <si>
    <t>2.1.2</t>
  </si>
  <si>
    <t>用于建设期利息</t>
  </si>
  <si>
    <t>2.1.3</t>
  </si>
  <si>
    <t>用于流动资金</t>
  </si>
  <si>
    <t>债务资金</t>
  </si>
  <si>
    <t>2.2.1</t>
  </si>
  <si>
    <t>营运资本变动</t>
  </si>
  <si>
    <t>项目</t>
  </si>
  <si>
    <t>流动资产</t>
  </si>
  <si>
    <t>货币资金</t>
  </si>
  <si>
    <t>应收账款</t>
  </si>
  <si>
    <t>存货</t>
  </si>
  <si>
    <r>
      <rPr>
        <sz val="12"/>
        <color theme="1"/>
        <rFont val="微软雅黑"/>
        <charset val="134"/>
      </rPr>
      <t>其他流动资产</t>
    </r>
    <r>
      <rPr>
        <sz val="10"/>
        <color theme="1"/>
        <rFont val="微软雅黑"/>
        <charset val="134"/>
      </rPr>
      <t>（留抵税额）</t>
    </r>
  </si>
  <si>
    <t>流动负债</t>
  </si>
  <si>
    <t>预收款项</t>
  </si>
  <si>
    <t>应付职工薪酬</t>
  </si>
  <si>
    <t>应交税费</t>
  </si>
  <si>
    <t>应付股利</t>
  </si>
  <si>
    <t>其他流动负债</t>
  </si>
  <si>
    <r>
      <rPr>
        <b/>
        <sz val="12"/>
        <color theme="1"/>
        <rFont val="微软雅黑"/>
        <charset val="134"/>
      </rPr>
      <t>借款还本付息表</t>
    </r>
    <r>
      <rPr>
        <b/>
        <sz val="10"/>
        <color theme="1"/>
        <rFont val="微软雅黑"/>
        <charset val="134"/>
      </rPr>
      <t>（长期借款）</t>
    </r>
  </si>
  <si>
    <t>期初借款累计</t>
  </si>
  <si>
    <t>当期借款</t>
  </si>
  <si>
    <t>当期还本付息</t>
  </si>
  <si>
    <r>
      <rPr>
        <sz val="12"/>
        <color theme="1"/>
        <rFont val="微软雅黑"/>
        <charset val="134"/>
      </rPr>
      <t>其中：还本</t>
    </r>
    <r>
      <rPr>
        <sz val="10"/>
        <color rgb="FFFF0000"/>
        <rFont val="微软雅黑"/>
        <charset val="134"/>
      </rPr>
      <t>（等额本息）</t>
    </r>
  </si>
  <si>
    <t xml:space="preserve">      付息</t>
  </si>
  <si>
    <t>期末借款余额</t>
  </si>
  <si>
    <r>
      <rPr>
        <sz val="12"/>
        <color theme="1"/>
        <rFont val="微软雅黑"/>
        <charset val="134"/>
      </rPr>
      <t>其中：还本</t>
    </r>
    <r>
      <rPr>
        <sz val="10"/>
        <color rgb="FF00B050"/>
        <rFont val="微软雅黑"/>
        <charset val="134"/>
      </rPr>
      <t>（等额本金）</t>
    </r>
  </si>
  <si>
    <r>
      <rPr>
        <b/>
        <sz val="12"/>
        <color theme="1"/>
        <rFont val="微软雅黑"/>
        <charset val="134"/>
      </rPr>
      <t>借款还本付息表</t>
    </r>
    <r>
      <rPr>
        <b/>
        <sz val="10"/>
        <color theme="1"/>
        <rFont val="微软雅黑"/>
        <charset val="134"/>
      </rPr>
      <t>（流动资金借款）</t>
    </r>
  </si>
  <si>
    <t>一</t>
  </si>
  <si>
    <t>二</t>
  </si>
  <si>
    <t>三</t>
  </si>
  <si>
    <t>其中：还本</t>
  </si>
  <si>
    <t>四</t>
  </si>
  <si>
    <r>
      <rPr>
        <b/>
        <sz val="12"/>
        <color theme="1"/>
        <rFont val="微软雅黑"/>
        <charset val="134"/>
      </rPr>
      <t>借款还本付息表</t>
    </r>
    <r>
      <rPr>
        <b/>
        <sz val="10"/>
        <color theme="1"/>
        <rFont val="微软雅黑"/>
        <charset val="134"/>
      </rPr>
      <t>（短期借款）</t>
    </r>
  </si>
  <si>
    <r>
      <rPr>
        <b/>
        <sz val="12"/>
        <color theme="1"/>
        <rFont val="微软雅黑"/>
        <charset val="134"/>
      </rPr>
      <t>借款还本付息表</t>
    </r>
    <r>
      <rPr>
        <b/>
        <sz val="10"/>
        <color theme="1"/>
        <rFont val="微软雅黑"/>
        <charset val="134"/>
      </rPr>
      <t>（</t>
    </r>
    <r>
      <rPr>
        <b/>
        <sz val="10"/>
        <color rgb="FFFF0000"/>
        <rFont val="微软雅黑"/>
        <charset val="134"/>
      </rPr>
      <t>汇总—等额本息</t>
    </r>
    <r>
      <rPr>
        <b/>
        <sz val="10"/>
        <color theme="1"/>
        <rFont val="微软雅黑"/>
        <charset val="134"/>
      </rPr>
      <t>）</t>
    </r>
  </si>
  <si>
    <r>
      <rPr>
        <b/>
        <sz val="12"/>
        <color theme="1"/>
        <rFont val="微软雅黑"/>
        <charset val="134"/>
      </rPr>
      <t>借款还本付息表</t>
    </r>
    <r>
      <rPr>
        <b/>
        <sz val="10"/>
        <color theme="1"/>
        <rFont val="微软雅黑"/>
        <charset val="134"/>
      </rPr>
      <t>（</t>
    </r>
    <r>
      <rPr>
        <b/>
        <sz val="10"/>
        <color rgb="FF00B050"/>
        <rFont val="微软雅黑"/>
        <charset val="134"/>
      </rPr>
      <t>汇总—等额本金</t>
    </r>
    <r>
      <rPr>
        <b/>
        <sz val="10"/>
        <color theme="1"/>
        <rFont val="微软雅黑"/>
        <charset val="134"/>
      </rPr>
      <t>）</t>
    </r>
  </si>
  <si>
    <t>当期借款引用“资金筹措表”对应年份债务资金数据</t>
  </si>
  <si>
    <t>等额本金/等额本息/其他，作为参数输入表—投融资相关板块中的可选择情形，匹配如下不同的计算方法</t>
  </si>
  <si>
    <t>（1）等额本息情形下，还本付息采用年金公式先得出每年的 本金+利息 之和（固定值），再结合各年度期初及当期借款金额计算出各年度应付利息，进而推算出每年偿还的本金。</t>
  </si>
  <si>
    <t>（2）等额本金情形下，每年的本金偿还为固定值（建设期借款总额/还款年限），再结合各年度期初及当期借款金额计算出各年度应付利息。</t>
  </si>
  <si>
    <t>（3）其他情形下，运营期每年的本金偿还设置为手动输入项</t>
  </si>
  <si>
    <t>短期借款每年的当期借款及还本直接引用参数表的数据（初始默认为0）</t>
  </si>
  <si>
    <t>中间过程引用（隐藏）</t>
  </si>
  <si>
    <t>动态总投资（自主投资_不含流动资金）</t>
  </si>
  <si>
    <t>固定资产原值=项目动态总投资（自主投资_不含流动资金）-可抵扣进项税-无形资产原值=项目静态总投资-建设补贴+建设期利息-可抵扣进项税-无形资产原值</t>
  </si>
  <si>
    <t>折旧方式</t>
  </si>
  <si>
    <t>折旧年限</t>
  </si>
  <si>
    <t>残值率</t>
  </si>
  <si>
    <t>其中:</t>
  </si>
  <si>
    <t>房屋建筑投资</t>
  </si>
  <si>
    <t>折算原值</t>
  </si>
  <si>
    <t>算力设备投资</t>
  </si>
  <si>
    <t>长期待摊费用（第1年）</t>
  </si>
  <si>
    <t>长期待摊费用=计入长期待摊的成本项/（1+增值税税率）</t>
  </si>
  <si>
    <t>长期待摊费用（第6年）</t>
  </si>
  <si>
    <t>长期待摊费用（第11年）</t>
  </si>
  <si>
    <t>长期待摊费用（第16年）</t>
  </si>
  <si>
    <t>摊销方式</t>
  </si>
  <si>
    <t>大修及更新重置资产原值</t>
  </si>
  <si>
    <t>折旧摊销表-资本金</t>
  </si>
  <si>
    <t>固定资产净值</t>
  </si>
  <si>
    <t>当期固定资产折旧</t>
  </si>
  <si>
    <t>房屋建筑净值</t>
  </si>
  <si>
    <t>当期折旧</t>
  </si>
  <si>
    <t>算力设备净值</t>
  </si>
  <si>
    <t>期初长期待摊费用</t>
  </si>
  <si>
    <t>当期新增长期待摊费用</t>
  </si>
  <si>
    <t>当期摊销</t>
  </si>
  <si>
    <t>期末期初长期待摊费用</t>
  </si>
  <si>
    <t>无形资产净值</t>
  </si>
  <si>
    <t>当期无形资产摊销</t>
  </si>
  <si>
    <t>期初大修及更新重置资产净值</t>
  </si>
  <si>
    <t>当期新增大修及更新重置资产</t>
  </si>
  <si>
    <t>当期大修及更新重置资产折旧摊销</t>
  </si>
  <si>
    <t>期末大修及更新重置资产净值</t>
  </si>
  <si>
    <t>当期折旧摊销</t>
  </si>
  <si>
    <t>累计固定资产净值</t>
  </si>
  <si>
    <t>上述为“直线法”下折旧摊销计算，若在参数输入表中下拉菜单选择为“其他”，设置为手动输入各年份折旧额/摊销额</t>
  </si>
  <si>
    <r>
      <rPr>
        <sz val="11"/>
        <color rgb="FFFF0000"/>
        <rFont val="微软雅黑"/>
        <charset val="134"/>
      </rPr>
      <t>全投资情形下的固定资产原值=</t>
    </r>
    <r>
      <rPr>
        <b/>
        <sz val="11"/>
        <color rgb="FFFF0000"/>
        <rFont val="微软雅黑"/>
        <charset val="134"/>
      </rPr>
      <t>静态总投资（自主投资）</t>
    </r>
    <r>
      <rPr>
        <sz val="11"/>
        <color rgb="FFFF0000"/>
        <rFont val="微软雅黑"/>
        <charset val="134"/>
      </rPr>
      <t>-可抵扣进项税-无形资产原值；资本金情形下的固定资产原值采用的是“</t>
    </r>
    <r>
      <rPr>
        <b/>
        <sz val="11"/>
        <color rgb="FFFF0000"/>
        <rFont val="微软雅黑"/>
        <charset val="134"/>
      </rPr>
      <t>项目动态总投资（自主投资_不含流动资金）</t>
    </r>
    <r>
      <rPr>
        <sz val="11"/>
        <color rgb="FFFF0000"/>
        <rFont val="微软雅黑"/>
        <charset val="134"/>
      </rPr>
      <t>”</t>
    </r>
  </si>
  <si>
    <t>折旧方式、残值率及折旧年限与资本金情形保持一致</t>
  </si>
  <si>
    <t>折旧摊销表-全投资</t>
  </si>
  <si>
    <r>
      <rPr>
        <sz val="11"/>
        <color theme="1"/>
        <rFont val="微软雅黑"/>
        <charset val="134"/>
      </rPr>
      <t>固定资产净值</t>
    </r>
    <r>
      <rPr>
        <sz val="9"/>
        <color theme="1"/>
        <rFont val="微软雅黑"/>
        <charset val="134"/>
      </rPr>
      <t>（全投资）</t>
    </r>
  </si>
  <si>
    <t>成本费用表-资本金</t>
  </si>
  <si>
    <t>营业总成本</t>
  </si>
  <si>
    <t>水费、油费</t>
  </si>
  <si>
    <t>长期待摊费用当期摊销</t>
  </si>
  <si>
    <t>营业相关资产折旧及摊销</t>
  </si>
  <si>
    <t>电费(每年不同）注意调整</t>
  </si>
  <si>
    <t>销售费用</t>
  </si>
  <si>
    <t xml:space="preserve">保险费 </t>
  </si>
  <si>
    <t>研发费用</t>
  </si>
  <si>
    <t>财务费用</t>
  </si>
  <si>
    <t>长期借款利息</t>
  </si>
  <si>
    <t>流动资金利息</t>
  </si>
  <si>
    <t>短期借款利息</t>
  </si>
  <si>
    <t>成本费用表-全投资</t>
  </si>
  <si>
    <t>材料费</t>
  </si>
  <si>
    <t>成本现金支出表（隐藏）</t>
  </si>
  <si>
    <t>生产经营现金支出合计</t>
  </si>
  <si>
    <t>生产相关现金支出</t>
  </si>
  <si>
    <t>长期待摊实际支出</t>
  </si>
  <si>
    <t>充电电费(每年不同）注意调整</t>
  </si>
  <si>
    <t>销售费用现金支出</t>
  </si>
  <si>
    <t>管理费用现金支出</t>
  </si>
  <si>
    <t>研发费用现金支出</t>
  </si>
  <si>
    <t>营业外现金支出</t>
  </si>
  <si>
    <t>成本表中（1）财务费用引用自“表2-还本付息表”；（2）折旧费、无形资产摊销、长期待摊费用摊销 引用自“表3-折旧摊销表”；其余数据通过参数输入表中成本费用板块相关参数计算而得。</t>
  </si>
  <si>
    <t>经营成本为运营期各年不含税值</t>
  </si>
  <si>
    <t>标黄部分为相对固定模块，适用于所有项目</t>
  </si>
  <si>
    <t>收入表</t>
  </si>
  <si>
    <t>营业收入</t>
  </si>
  <si>
    <t>销售收入</t>
  </si>
  <si>
    <t>1.1.1</t>
  </si>
  <si>
    <t xml:space="preserve">   机柜租赁收入</t>
  </si>
  <si>
    <t>算力租赁收入</t>
  </si>
  <si>
    <t>政府一次性运营补贴收入</t>
  </si>
  <si>
    <t>增值税即征即退</t>
  </si>
  <si>
    <t>税金表</t>
  </si>
  <si>
    <t>当期实缴增值税</t>
  </si>
  <si>
    <t>增值税销项税</t>
  </si>
  <si>
    <t>发电收入销项税</t>
  </si>
  <si>
    <t>其他收入销项税</t>
  </si>
  <si>
    <t>建设投资进项税</t>
  </si>
  <si>
    <t>营业成本进项税</t>
  </si>
  <si>
    <t>3.2.1</t>
  </si>
  <si>
    <t>生产成本进项税</t>
  </si>
  <si>
    <t>下网电费</t>
  </si>
  <si>
    <t>场地租金费用</t>
  </si>
  <si>
    <t>计入长期待摊成本项</t>
  </si>
  <si>
    <t>3.2.2</t>
  </si>
  <si>
    <t>销售费用进项税</t>
  </si>
  <si>
    <t>3.2.3</t>
  </si>
  <si>
    <t>管理费用进项税</t>
  </si>
  <si>
    <t>3.2.4</t>
  </si>
  <si>
    <t>研发费用进项税</t>
  </si>
  <si>
    <t>营业外支出进项税</t>
  </si>
  <si>
    <t>大修及更新重置进项税</t>
  </si>
  <si>
    <t>销项税-进项税</t>
  </si>
  <si>
    <t>期末可抵扣进项税余额</t>
  </si>
  <si>
    <t>增值税附加税</t>
  </si>
  <si>
    <t>城市维护建设税</t>
  </si>
  <si>
    <t>教育附加</t>
  </si>
  <si>
    <t>地方教育附加</t>
  </si>
  <si>
    <t>增值税即征即退为参数输入表，税金板块可选条件参数，若选择为常规，即没有增值税即征即退优惠，退税比例为0%；若选择即征即退，同步输入即征即退的比例，第n年增值税即征即退金额=第n年当期实缴增值税*退税比例</t>
  </si>
  <si>
    <t>标蓝部分为计算中间过程，可不展示</t>
  </si>
  <si>
    <t>流动资金估算表</t>
  </si>
  <si>
    <t>现金</t>
  </si>
  <si>
    <t>预付账款</t>
  </si>
  <si>
    <t>应付账款</t>
  </si>
  <si>
    <t>预收账款</t>
  </si>
  <si>
    <t>流动资金当期增加额</t>
  </si>
  <si>
    <t>流动资金估算表用于计算某一项收入当年利润表确认收入与现金流量表中实际到账收入有差额时，差额计入应收账款中。</t>
  </si>
  <si>
    <t>关联至参数表中应发收入与实发收入不完全相等的收入项，本模型中为“发电补贴”</t>
  </si>
  <si>
    <t>利润表-资本金</t>
  </si>
  <si>
    <t>营业总收入</t>
  </si>
  <si>
    <t>营业税金及附加</t>
  </si>
  <si>
    <t>政府一次性运营补贴收入—递延收益</t>
  </si>
  <si>
    <t>增值税即征即退收入</t>
  </si>
  <si>
    <r>
      <rPr>
        <b/>
        <sz val="12"/>
        <color theme="1"/>
        <rFont val="微软雅黑"/>
        <charset val="134"/>
      </rPr>
      <t>利润总额</t>
    </r>
    <r>
      <rPr>
        <b/>
        <sz val="9"/>
        <color theme="1"/>
        <rFont val="微软雅黑"/>
        <charset val="134"/>
      </rPr>
      <t>（1+4-2-3-5）</t>
    </r>
  </si>
  <si>
    <t>弥补以前年度亏损</t>
  </si>
  <si>
    <t>弥补前序第一年亏损</t>
  </si>
  <si>
    <t>弥补前序第二年亏损</t>
  </si>
  <si>
    <t>弥补前序第三年亏损</t>
  </si>
  <si>
    <t>弥补前序第四年亏损</t>
  </si>
  <si>
    <t>弥补前序第五年亏损</t>
  </si>
  <si>
    <t>应税所得额</t>
  </si>
  <si>
    <t>企业所得税</t>
  </si>
  <si>
    <r>
      <rPr>
        <b/>
        <sz val="12"/>
        <color rgb="FFFF0000"/>
        <rFont val="微软雅黑"/>
        <charset val="134"/>
      </rPr>
      <t>净利润</t>
    </r>
    <r>
      <rPr>
        <b/>
        <sz val="10"/>
        <color rgb="FFFF0000"/>
        <rFont val="微软雅黑"/>
        <charset val="134"/>
      </rPr>
      <t>（6-9）</t>
    </r>
  </si>
  <si>
    <t>期初未分配的利润</t>
  </si>
  <si>
    <r>
      <rPr>
        <sz val="12"/>
        <rFont val="微软雅黑"/>
        <charset val="134"/>
      </rPr>
      <t>可供分配的利润</t>
    </r>
    <r>
      <rPr>
        <sz val="10"/>
        <rFont val="微软雅黑"/>
        <charset val="134"/>
      </rPr>
      <t>（10+11）</t>
    </r>
  </si>
  <si>
    <t>提取法定盈余公积金</t>
  </si>
  <si>
    <t>期初法定盈余公积金上限缺口</t>
  </si>
  <si>
    <t>期末法定盈余公积金累计</t>
  </si>
  <si>
    <r>
      <rPr>
        <sz val="12"/>
        <color theme="1"/>
        <rFont val="微软雅黑"/>
        <charset val="134"/>
      </rPr>
      <t>可供投资者分配的利润</t>
    </r>
    <r>
      <rPr>
        <sz val="10"/>
        <color theme="1"/>
        <rFont val="微软雅黑"/>
        <charset val="134"/>
      </rPr>
      <t>（12-13）</t>
    </r>
  </si>
  <si>
    <t>提取任意盈余公积金</t>
  </si>
  <si>
    <t>各投资方利润分配</t>
  </si>
  <si>
    <r>
      <rPr>
        <sz val="12"/>
        <color theme="1"/>
        <rFont val="微软雅黑"/>
        <charset val="134"/>
      </rPr>
      <t>未分配利润</t>
    </r>
    <r>
      <rPr>
        <sz val="10"/>
        <color theme="1"/>
        <rFont val="微软雅黑"/>
        <charset val="134"/>
      </rPr>
      <t>（14-15-16）</t>
    </r>
  </si>
  <si>
    <r>
      <rPr>
        <sz val="12"/>
        <color theme="1"/>
        <rFont val="微软雅黑"/>
        <charset val="134"/>
      </rPr>
      <t>息税前利润</t>
    </r>
    <r>
      <rPr>
        <sz val="10"/>
        <color theme="1"/>
        <rFont val="微软雅黑"/>
        <charset val="134"/>
      </rPr>
      <t>（利润总额+利息支出）</t>
    </r>
  </si>
  <si>
    <t>息税折旧摊销前利润</t>
  </si>
  <si>
    <t>利润表里的收入、成本均为不含税价</t>
  </si>
  <si>
    <t>政府一次性运营补贴收入—递延收益，引用自参数输入表“政府一次性补贴收入—递延收益确认”</t>
  </si>
  <si>
    <t>弥补以前年度亏损，按照5年为期限，滚动计算。</t>
  </si>
  <si>
    <t>现金流量表-资本金</t>
  </si>
  <si>
    <t>现金流入</t>
  </si>
  <si>
    <t>发电销售收入（含税）</t>
  </si>
  <si>
    <t>回收固定资产余值</t>
  </si>
  <si>
    <t>回收流动资金</t>
  </si>
  <si>
    <t>现金流出</t>
  </si>
  <si>
    <t>工程建设投资</t>
  </si>
  <si>
    <t>项目资本金</t>
  </si>
  <si>
    <t>长期借款</t>
  </si>
  <si>
    <t>支付流动资金</t>
  </si>
  <si>
    <t>债务性支出</t>
  </si>
  <si>
    <t>长期借款本金偿还</t>
  </si>
  <si>
    <t>流动资金借款本金偿还</t>
  </si>
  <si>
    <t>借款利息支付（含短贷利息）</t>
  </si>
  <si>
    <t>生产经营支出（含税）</t>
  </si>
  <si>
    <t>增值税缴纳</t>
  </si>
  <si>
    <t>运营期资本性支出</t>
  </si>
  <si>
    <t>税前净现金流量（1-2）</t>
  </si>
  <si>
    <t>累计税前净现金流量</t>
  </si>
  <si>
    <t>税后净现金流量（3-5）</t>
  </si>
  <si>
    <t>累计税后净现金流量</t>
  </si>
  <si>
    <t>资本金内部收益率（税前）</t>
  </si>
  <si>
    <t>资本金内部收益率（税后）</t>
  </si>
  <si>
    <t>投资回收期（税后）</t>
  </si>
  <si>
    <t>现金流量表中各年的发电补贴收入数据引用参数表中输入的实发数据（含税且考虑滞后支付情形，即本年度实际支付比例＋上年度剩余支付比例）</t>
  </si>
  <si>
    <t>政府一次性运营补贴收入，在运营期第1年引用参数表中政府一次性补贴总额</t>
  </si>
  <si>
    <t>标蓝色部分为可隐藏内容</t>
  </si>
  <si>
    <t>现金流出中借款本金偿还，关联还本付息表中长期贷款本金偿还</t>
  </si>
  <si>
    <t>Check</t>
  </si>
  <si>
    <t>建设期为1年时，IRR计算要利用下面的公式计算</t>
  </si>
  <si>
    <t>建设</t>
  </si>
  <si>
    <t>利润表-全投资</t>
  </si>
  <si>
    <r>
      <rPr>
        <b/>
        <sz val="12"/>
        <color theme="1"/>
        <rFont val="微软雅黑"/>
        <charset val="134"/>
      </rPr>
      <t>营业总成本</t>
    </r>
    <r>
      <rPr>
        <b/>
        <sz val="10"/>
        <color theme="1"/>
        <rFont val="微软雅黑"/>
        <charset val="134"/>
      </rPr>
      <t>（全投资）</t>
    </r>
  </si>
  <si>
    <t>调整所得税</t>
  </si>
  <si>
    <r>
      <rPr>
        <b/>
        <sz val="12"/>
        <color theme="1"/>
        <rFont val="微软雅黑"/>
        <charset val="134"/>
      </rPr>
      <t>净利润</t>
    </r>
    <r>
      <rPr>
        <b/>
        <sz val="10"/>
        <color theme="1"/>
        <rFont val="微软雅黑"/>
        <charset val="134"/>
      </rPr>
      <t>（6-9）</t>
    </r>
  </si>
  <si>
    <r>
      <rPr>
        <sz val="12"/>
        <color theme="1"/>
        <rFont val="微软雅黑"/>
        <charset val="134"/>
      </rPr>
      <t>可供分配的利润</t>
    </r>
    <r>
      <rPr>
        <sz val="10"/>
        <color theme="1"/>
        <rFont val="微软雅黑"/>
        <charset val="134"/>
      </rPr>
      <t>（10+11）</t>
    </r>
  </si>
  <si>
    <t>现金流量表-全投资</t>
  </si>
  <si>
    <t>建设投资</t>
  </si>
  <si>
    <t>全投资内部收益率（税前）</t>
  </si>
  <si>
    <t>全投资内部收益率（税后）</t>
  </si>
  <si>
    <t>投资回收期(税后)</t>
  </si>
  <si>
    <t>投资回收期(税前)</t>
  </si>
  <si>
    <t>现金流量表中各年的发电补贴收入数据引用参数表中输入的实发数据</t>
  </si>
  <si>
    <t>现金流量表-财务计划</t>
  </si>
  <si>
    <t>经营活动净现金流量（1.1-1.2）</t>
  </si>
  <si>
    <t>销售收入（含税）</t>
  </si>
  <si>
    <t>删除</t>
  </si>
  <si>
    <t>生产经营支出(含税)</t>
  </si>
  <si>
    <t>增值税实缴</t>
  </si>
  <si>
    <t>税金及附加税</t>
  </si>
  <si>
    <t>投资活动净现金流量（2.1-2.2）</t>
  </si>
  <si>
    <t>筹资活动净现金流量（3.1-3.2）</t>
  </si>
  <si>
    <t>项目资本金投入</t>
  </si>
  <si>
    <t>流动资金借款</t>
  </si>
  <si>
    <t>偿还债务本金</t>
  </si>
  <si>
    <t>各种利息支出</t>
  </si>
  <si>
    <t>应付利润（股利分配）</t>
  </si>
  <si>
    <t>项目公司账面净现金流量（1+2+3）</t>
  </si>
  <si>
    <t>五</t>
  </si>
  <si>
    <t>累计盈余资金</t>
  </si>
  <si>
    <t>不含短期借款的累计盈余资金</t>
  </si>
  <si>
    <t>借款合计</t>
  </si>
  <si>
    <t>资产合计</t>
  </si>
  <si>
    <t xml:space="preserve">  货币资金</t>
  </si>
  <si>
    <t>△结算备付金</t>
  </si>
  <si>
    <t>△拆出资金</t>
  </si>
  <si>
    <t xml:space="preserve">  交易性金融资产</t>
  </si>
  <si>
    <t>☆以公允价值计量且其变动计入当期损益的金融资产</t>
  </si>
  <si>
    <t xml:space="preserve">  衍生金融资产</t>
  </si>
  <si>
    <t xml:space="preserve">  应收票据</t>
  </si>
  <si>
    <t xml:space="preserve">  应收账款</t>
  </si>
  <si>
    <t xml:space="preserve">  应收款项融资</t>
  </si>
  <si>
    <t xml:space="preserve">  预付款项</t>
  </si>
  <si>
    <t>△应收保费</t>
  </si>
  <si>
    <t>△应收分保账款</t>
  </si>
  <si>
    <t>△应收分保合同准备金</t>
  </si>
  <si>
    <t xml:space="preserve">  应收资金集中管理款</t>
  </si>
  <si>
    <t xml:space="preserve">  其他应收款</t>
  </si>
  <si>
    <t>其中：应收股利</t>
  </si>
  <si>
    <t>△买入返售金融资产</t>
  </si>
  <si>
    <t xml:space="preserve">  存货</t>
  </si>
  <si>
    <t>其中：原材料</t>
  </si>
  <si>
    <t>库存商品（产成品）</t>
  </si>
  <si>
    <t xml:space="preserve">  合同资产</t>
  </si>
  <si>
    <t xml:space="preserve">  持有待售资产</t>
  </si>
  <si>
    <t xml:space="preserve">  一年内到期的非流动资产</t>
  </si>
  <si>
    <t xml:space="preserve">  其他流动资产</t>
  </si>
  <si>
    <t>非流动资产</t>
  </si>
  <si>
    <t>△发放贷款和垫款</t>
  </si>
  <si>
    <t xml:space="preserve">  债权投资</t>
  </si>
  <si>
    <t>☆可供出售金融资产</t>
  </si>
  <si>
    <t xml:space="preserve">  其他债权投资</t>
  </si>
  <si>
    <t>☆持有至到期投资</t>
  </si>
  <si>
    <t xml:space="preserve">  长期应收款</t>
  </si>
  <si>
    <t xml:space="preserve">  长期股权投资</t>
  </si>
  <si>
    <t xml:space="preserve">  其他权益工具投资</t>
  </si>
  <si>
    <t xml:space="preserve">  其他非流动金融资产</t>
  </si>
  <si>
    <t xml:space="preserve">  投资性房地产</t>
  </si>
  <si>
    <t xml:space="preserve">  固定资产</t>
  </si>
  <si>
    <t>其中：固定资产原价</t>
  </si>
  <si>
    <t xml:space="preserve">          累计折旧</t>
  </si>
  <si>
    <t xml:space="preserve">          固定资产减值准备</t>
  </si>
  <si>
    <t xml:space="preserve">  在建工程</t>
  </si>
  <si>
    <t xml:space="preserve">  生产性生物资产</t>
  </si>
  <si>
    <t xml:space="preserve">  油气资产</t>
  </si>
  <si>
    <t xml:space="preserve">  使用权资产</t>
  </si>
  <si>
    <t xml:space="preserve">  无形资产</t>
  </si>
  <si>
    <t xml:space="preserve">  开发支出</t>
  </si>
  <si>
    <t xml:space="preserve">  商誉</t>
  </si>
  <si>
    <t xml:space="preserve">  长期待摊费用</t>
  </si>
  <si>
    <t xml:space="preserve">  递延所得税资产</t>
  </si>
  <si>
    <t xml:space="preserve">  其他非流动资产</t>
  </si>
  <si>
    <t xml:space="preserve">  其中：特准储备物资</t>
  </si>
  <si>
    <t>负债合计</t>
  </si>
  <si>
    <t xml:space="preserve">  短期借款</t>
  </si>
  <si>
    <t>△向中央银行借款</t>
  </si>
  <si>
    <t>△拆入资金</t>
  </si>
  <si>
    <t xml:space="preserve">  交易性金融负债</t>
  </si>
  <si>
    <t>☆以公允价值计量且其变动计入当期损益的金融负债</t>
  </si>
  <si>
    <t xml:space="preserve">  衍生金融负债</t>
  </si>
  <si>
    <t xml:space="preserve">  应付票据</t>
  </si>
  <si>
    <t xml:space="preserve">  应付账款</t>
  </si>
  <si>
    <t xml:space="preserve">  预收款项</t>
  </si>
  <si>
    <t xml:space="preserve">  合同负债</t>
  </si>
  <si>
    <t>△卖出回购金融资产款</t>
  </si>
  <si>
    <t>△吸收存款及同业存放</t>
  </si>
  <si>
    <t>△代理买卖证券款</t>
  </si>
  <si>
    <t>△代理承销证券款</t>
  </si>
  <si>
    <t xml:space="preserve">  应付职工薪酬</t>
  </si>
  <si>
    <t>其中：应付工资</t>
  </si>
  <si>
    <t xml:space="preserve">      应付福利费</t>
  </si>
  <si>
    <t xml:space="preserve">      #其中：职工奖励及福利基金</t>
  </si>
  <si>
    <t xml:space="preserve">  应交税费</t>
  </si>
  <si>
    <t>其中：应交税金</t>
  </si>
  <si>
    <t xml:space="preserve">  其他应付款</t>
  </si>
  <si>
    <t>其中：应付股利</t>
  </si>
  <si>
    <t>△应付手续费及佣金</t>
  </si>
  <si>
    <t>△应付分保账款</t>
  </si>
  <si>
    <t xml:space="preserve">  持有待售负债</t>
  </si>
  <si>
    <t xml:space="preserve">  一年内到期的非流动负债</t>
  </si>
  <si>
    <t xml:space="preserve">  其他流动负债</t>
  </si>
  <si>
    <t>非流动负债</t>
  </si>
  <si>
    <t>△保险合同准备金</t>
  </si>
  <si>
    <t xml:space="preserve">  长期借款</t>
  </si>
  <si>
    <t xml:space="preserve">  应付债券</t>
  </si>
  <si>
    <t>其中：优先股</t>
  </si>
  <si>
    <t xml:space="preserve">      永续债</t>
  </si>
  <si>
    <t xml:space="preserve">  租赁负债</t>
  </si>
  <si>
    <t xml:space="preserve">  长期应付款</t>
  </si>
  <si>
    <t xml:space="preserve">  长期应付职工薪酬</t>
  </si>
  <si>
    <t xml:space="preserve">  预计负债</t>
  </si>
  <si>
    <t xml:space="preserve">  递延收益</t>
  </si>
  <si>
    <t xml:space="preserve">  递延所得税负债</t>
  </si>
  <si>
    <t xml:space="preserve">  其他非流动负债</t>
  </si>
  <si>
    <t>其中：特准储备基金</t>
  </si>
  <si>
    <t>所有者权益（或股东权益）</t>
  </si>
  <si>
    <t xml:space="preserve">  实收资本（或股本）</t>
  </si>
  <si>
    <t>国家资本</t>
  </si>
  <si>
    <t>国有法人资本</t>
  </si>
  <si>
    <t>集体资本</t>
  </si>
  <si>
    <t>民营资本</t>
  </si>
  <si>
    <t>外商资本</t>
  </si>
  <si>
    <t xml:space="preserve"> #减：已归还投资</t>
  </si>
  <si>
    <t xml:space="preserve">  实收资本（或股本）净额</t>
  </si>
  <si>
    <t xml:space="preserve">  其他权益工具</t>
  </si>
  <si>
    <t xml:space="preserve">  资本公积</t>
  </si>
  <si>
    <t xml:space="preserve">  减：库存股</t>
  </si>
  <si>
    <t xml:space="preserve">  其他综合收益</t>
  </si>
  <si>
    <t>其中：外币报表折算差额</t>
  </si>
  <si>
    <t xml:space="preserve">  专项储备</t>
  </si>
  <si>
    <t xml:space="preserve">  盈余公积</t>
  </si>
  <si>
    <t>其中：法定公积金</t>
  </si>
  <si>
    <t xml:space="preserve">      任意公积金</t>
  </si>
  <si>
    <t xml:space="preserve">     #储备基金</t>
  </si>
  <si>
    <t xml:space="preserve">     #企业发展基金</t>
  </si>
  <si>
    <t xml:space="preserve">     #利润归还投资</t>
  </si>
  <si>
    <t>△一般风险准备</t>
  </si>
  <si>
    <t xml:space="preserve">  未分配利润</t>
  </si>
  <si>
    <t xml:space="preserve">  归属于母公司所有者权益（或股东权益）合计</t>
  </si>
  <si>
    <t xml:space="preserve"> *少数股东权益</t>
  </si>
  <si>
    <t>负债和所有者权益合计</t>
  </si>
  <si>
    <t>Check：资产-负债和所有者权益合计</t>
  </si>
  <si>
    <t>1</t>
  </si>
  <si>
    <t>项目容量</t>
  </si>
  <si>
    <t>P</t>
  </si>
  <si>
    <t>KW</t>
  </si>
  <si>
    <t>销售收入总额（不含增值税）</t>
  </si>
  <si>
    <t>总成本费用</t>
  </si>
  <si>
    <t>表三成本表C6项生产成本运营期平均值做敏感性分析、蒙特卡洛</t>
  </si>
  <si>
    <t>销售税金附加总额</t>
  </si>
  <si>
    <t>利润总额</t>
  </si>
  <si>
    <t>项目投资回收期（所得税前）</t>
  </si>
  <si>
    <t>项目投资回收期（所得税后）</t>
  </si>
  <si>
    <t>项目投资财务内部收益率（所得税前）</t>
  </si>
  <si>
    <t>反算依据指标，数值由操作者自动输入</t>
  </si>
  <si>
    <t>项目投资财务内部收益率（所得税后）</t>
  </si>
  <si>
    <t>资本金财务内部收益率</t>
  </si>
  <si>
    <t>资产负债率（最大值）</t>
  </si>
  <si>
    <t>盈亏平衡点（生产能力利用率）</t>
  </si>
  <si>
    <t>储能接入电量</t>
    <phoneticPr fontId="65" type="noConversion"/>
  </si>
</sst>
</file>

<file path=xl/styles.xml><?xml version="1.0" encoding="utf-8"?>
<styleSheet xmlns="http://schemas.openxmlformats.org/spreadsheetml/2006/main" xmlns:mc="http://schemas.openxmlformats.org/markup-compatibility/2006" xmlns:x14ac="http://schemas.microsoft.com/office/spreadsheetml/2009/9/ac" mc:Ignorable="x14ac">
  <numFmts count="9">
    <numFmt numFmtId="176" formatCode="0_ "/>
    <numFmt numFmtId="177" formatCode="0.00_ "/>
    <numFmt numFmtId="178" formatCode="0.0"/>
    <numFmt numFmtId="179" formatCode="0.0%"/>
    <numFmt numFmtId="180" formatCode="#,##0.00_ "/>
    <numFmt numFmtId="181" formatCode="#,##0.000000_ "/>
    <numFmt numFmtId="182" formatCode="0.0_ "/>
    <numFmt numFmtId="183" formatCode="0.000%"/>
    <numFmt numFmtId="184" formatCode="0.00_);[Red]\(0.00\)"/>
  </numFmts>
  <fonts count="66" x14ac:knownFonts="1">
    <font>
      <sz val="11"/>
      <color theme="1"/>
      <name val="宋体"/>
      <charset val="134"/>
      <scheme val="minor"/>
    </font>
    <font>
      <b/>
      <sz val="10"/>
      <color indexed="8"/>
      <name val="宋体"/>
      <charset val="134"/>
    </font>
    <font>
      <sz val="10"/>
      <color indexed="8"/>
      <name val="宋体"/>
      <charset val="134"/>
    </font>
    <font>
      <sz val="11"/>
      <color rgb="FFFF0000"/>
      <name val="宋体"/>
      <charset val="134"/>
      <scheme val="minor"/>
    </font>
    <font>
      <sz val="12"/>
      <color theme="1"/>
      <name val="宋体"/>
      <charset val="134"/>
      <scheme val="major"/>
    </font>
    <font>
      <sz val="12"/>
      <color rgb="FFFF0000"/>
      <name val="宋体"/>
      <charset val="134"/>
      <scheme val="major"/>
    </font>
    <font>
      <sz val="12"/>
      <color theme="0" tint="-0.34998626667073579"/>
      <name val="宋体"/>
      <charset val="134"/>
      <scheme val="major"/>
    </font>
    <font>
      <b/>
      <sz val="12"/>
      <color theme="1"/>
      <name val="宋体"/>
      <charset val="134"/>
      <scheme val="major"/>
    </font>
    <font>
      <b/>
      <sz val="12"/>
      <color rgb="FFFF0000"/>
      <name val="宋体"/>
      <charset val="134"/>
      <scheme val="major"/>
    </font>
    <font>
      <b/>
      <sz val="12"/>
      <color theme="0" tint="-0.34998626667073579"/>
      <name val="宋体"/>
      <charset val="134"/>
      <scheme val="major"/>
    </font>
    <font>
      <sz val="12"/>
      <color theme="5"/>
      <name val="微软雅黑"/>
      <charset val="134"/>
    </font>
    <font>
      <sz val="12"/>
      <color theme="1"/>
      <name val="微软雅黑"/>
      <charset val="134"/>
    </font>
    <font>
      <sz val="12"/>
      <color rgb="FFFF0000"/>
      <name val="微软雅黑"/>
      <charset val="134"/>
    </font>
    <font>
      <b/>
      <i/>
      <sz val="12"/>
      <color rgb="FFC00000"/>
      <name val="微软雅黑"/>
      <charset val="134"/>
    </font>
    <font>
      <b/>
      <sz val="12"/>
      <color theme="1"/>
      <name val="微软雅黑"/>
      <charset val="134"/>
    </font>
    <font>
      <b/>
      <sz val="12"/>
      <color rgb="FFFF0000"/>
      <name val="微软雅黑"/>
      <charset val="134"/>
    </font>
    <font>
      <sz val="16"/>
      <color rgb="FFFF0000"/>
      <name val="微软雅黑"/>
      <charset val="134"/>
    </font>
    <font>
      <sz val="11"/>
      <color theme="1"/>
      <name val="微软雅黑"/>
      <charset val="134"/>
    </font>
    <font>
      <b/>
      <i/>
      <sz val="11"/>
      <color rgb="FFC00000"/>
      <name val="微软雅黑"/>
      <charset val="134"/>
    </font>
    <font>
      <b/>
      <sz val="12"/>
      <color indexed="8"/>
      <name val="微软雅黑"/>
      <charset val="134"/>
    </font>
    <font>
      <sz val="12"/>
      <color indexed="8"/>
      <name val="微软雅黑"/>
      <charset val="134"/>
    </font>
    <font>
      <b/>
      <sz val="11"/>
      <color theme="1"/>
      <name val="微软雅黑"/>
      <charset val="134"/>
    </font>
    <font>
      <b/>
      <sz val="10"/>
      <color theme="1"/>
      <name val="微软雅黑"/>
      <charset val="134"/>
    </font>
    <font>
      <sz val="10"/>
      <color theme="1"/>
      <name val="微软雅黑"/>
      <charset val="134"/>
    </font>
    <font>
      <b/>
      <sz val="12"/>
      <color rgb="FFC00000"/>
      <name val="微软雅黑"/>
      <charset val="134"/>
    </font>
    <font>
      <sz val="12"/>
      <name val="微软雅黑"/>
      <charset val="134"/>
    </font>
    <font>
      <b/>
      <sz val="12"/>
      <name val="微软雅黑"/>
      <charset val="134"/>
    </font>
    <font>
      <sz val="11"/>
      <color rgb="FFFF0000"/>
      <name val="微软雅黑"/>
      <charset val="134"/>
    </font>
    <font>
      <sz val="11"/>
      <name val="微软雅黑"/>
      <charset val="134"/>
    </font>
    <font>
      <sz val="10"/>
      <color rgb="FFFF0000"/>
      <name val="微软雅黑"/>
      <charset val="134"/>
    </font>
    <font>
      <sz val="10"/>
      <name val="微软雅黑"/>
      <charset val="134"/>
    </font>
    <font>
      <sz val="14"/>
      <color rgb="FFFF0000"/>
      <name val="微软雅黑"/>
      <charset val="134"/>
    </font>
    <font>
      <b/>
      <sz val="14"/>
      <color theme="1"/>
      <name val="微软雅黑"/>
      <charset val="134"/>
    </font>
    <font>
      <strike/>
      <sz val="11"/>
      <color theme="1"/>
      <name val="宋体"/>
      <charset val="134"/>
      <scheme val="minor"/>
    </font>
    <font>
      <sz val="12"/>
      <color theme="1"/>
      <name val="宋体"/>
      <charset val="134"/>
      <scheme val="minor"/>
    </font>
    <font>
      <sz val="11"/>
      <name val="宋体"/>
      <charset val="134"/>
      <scheme val="minor"/>
    </font>
    <font>
      <sz val="16"/>
      <color theme="1"/>
      <name val="宋体"/>
      <charset val="134"/>
      <scheme val="minor"/>
    </font>
    <font>
      <sz val="16"/>
      <name val="黑体"/>
      <charset val="134"/>
    </font>
    <font>
      <sz val="12"/>
      <name val="黑体"/>
      <charset val="134"/>
    </font>
    <font>
      <b/>
      <sz val="12"/>
      <name val="宋体"/>
      <charset val="134"/>
    </font>
    <font>
      <b/>
      <sz val="12"/>
      <color theme="1"/>
      <name val="宋体"/>
      <charset val="134"/>
      <scheme val="minor"/>
    </font>
    <font>
      <sz val="12"/>
      <name val="宋体"/>
      <charset val="134"/>
    </font>
    <font>
      <sz val="12"/>
      <name val="宋体"/>
      <charset val="134"/>
      <scheme val="minor"/>
    </font>
    <font>
      <b/>
      <sz val="12"/>
      <color rgb="FFFF0000"/>
      <name val="宋体"/>
      <charset val="134"/>
    </font>
    <font>
      <b/>
      <strike/>
      <sz val="12"/>
      <name val="宋体"/>
      <charset val="134"/>
    </font>
    <font>
      <strike/>
      <sz val="12"/>
      <color theme="1"/>
      <name val="宋体"/>
      <charset val="134"/>
      <scheme val="minor"/>
    </font>
    <font>
      <strike/>
      <sz val="12"/>
      <name val="宋体"/>
      <charset val="134"/>
    </font>
    <font>
      <b/>
      <sz val="11"/>
      <color theme="1"/>
      <name val="宋体"/>
      <charset val="134"/>
      <scheme val="minor"/>
    </font>
    <font>
      <sz val="12"/>
      <color rgb="FFFF0000"/>
      <name val="宋体"/>
      <charset val="134"/>
      <scheme val="minor"/>
    </font>
    <font>
      <sz val="12"/>
      <color rgb="FFFF0000"/>
      <name val="宋体"/>
      <charset val="134"/>
    </font>
    <font>
      <sz val="16"/>
      <color rgb="FFFF0000"/>
      <name val="宋体"/>
      <charset val="134"/>
      <scheme val="minor"/>
    </font>
    <font>
      <sz val="16"/>
      <name val="宋体"/>
      <charset val="134"/>
      <scheme val="minor"/>
    </font>
    <font>
      <b/>
      <sz val="12"/>
      <name val="宋体"/>
      <charset val="134"/>
      <scheme val="minor"/>
    </font>
    <font>
      <b/>
      <sz val="14"/>
      <color rgb="FFFF0000"/>
      <name val="宋体"/>
      <charset val="134"/>
      <scheme val="minor"/>
    </font>
    <font>
      <sz val="11"/>
      <color theme="1"/>
      <name val="宋体"/>
      <charset val="134"/>
      <scheme val="minor"/>
    </font>
    <font>
      <b/>
      <sz val="10"/>
      <name val="宋体"/>
      <charset val="134"/>
    </font>
    <font>
      <b/>
      <sz val="10"/>
      <color rgb="FF00B050"/>
      <name val="微软雅黑"/>
      <charset val="134"/>
    </font>
    <font>
      <b/>
      <sz val="10"/>
      <color rgb="FFFF0000"/>
      <name val="微软雅黑"/>
      <charset val="134"/>
    </font>
    <font>
      <b/>
      <sz val="11"/>
      <color rgb="FFFF0000"/>
      <name val="微软雅黑"/>
      <charset val="134"/>
    </font>
    <font>
      <sz val="10"/>
      <color rgb="FF00B050"/>
      <name val="微软雅黑"/>
      <charset val="134"/>
    </font>
    <font>
      <b/>
      <sz val="9"/>
      <color theme="1"/>
      <name val="微软雅黑"/>
      <charset val="134"/>
    </font>
    <font>
      <sz val="9"/>
      <color theme="1"/>
      <name val="宋体"/>
      <charset val="134"/>
      <scheme val="minor"/>
    </font>
    <font>
      <sz val="9"/>
      <color theme="1"/>
      <name val="微软雅黑"/>
      <charset val="134"/>
    </font>
    <font>
      <b/>
      <sz val="9"/>
      <name val="宋体"/>
      <charset val="134"/>
    </font>
    <font>
      <sz val="9"/>
      <name val="宋体"/>
      <charset val="134"/>
    </font>
    <font>
      <sz val="9"/>
      <name val="宋体"/>
      <charset val="134"/>
      <scheme val="minor"/>
    </font>
  </fonts>
  <fills count="17">
    <fill>
      <patternFill patternType="none"/>
    </fill>
    <fill>
      <patternFill patternType="gray125"/>
    </fill>
    <fill>
      <patternFill patternType="solid">
        <fgColor rgb="FF00B050"/>
        <bgColor indexed="64"/>
      </patternFill>
    </fill>
    <fill>
      <patternFill patternType="solid">
        <fgColor theme="0" tint="-0.249977111117893"/>
        <bgColor indexed="64"/>
      </patternFill>
    </fill>
    <fill>
      <patternFill patternType="solid">
        <fgColor theme="9" tint="0.79992065187536243"/>
        <bgColor indexed="64"/>
      </patternFill>
    </fill>
    <fill>
      <patternFill patternType="solid">
        <fgColor theme="4" tint="0.79992065187536243"/>
        <bgColor indexed="64"/>
      </patternFill>
    </fill>
    <fill>
      <patternFill patternType="solid">
        <fgColor rgb="FFFFFF00"/>
        <bgColor indexed="64"/>
      </patternFill>
    </fill>
    <fill>
      <patternFill patternType="solid">
        <fgColor theme="4" tint="0.59999389629810485"/>
        <bgColor indexed="64"/>
      </patternFill>
    </fill>
    <fill>
      <patternFill patternType="solid">
        <fgColor rgb="FF92D050"/>
        <bgColor indexed="64"/>
      </patternFill>
    </fill>
    <fill>
      <patternFill patternType="solid">
        <fgColor theme="5" tint="0.79995117038483843"/>
        <bgColor indexed="64"/>
      </patternFill>
    </fill>
    <fill>
      <patternFill patternType="solid">
        <fgColor theme="0" tint="-0.14996795556505021"/>
        <bgColor indexed="64"/>
      </patternFill>
    </fill>
    <fill>
      <patternFill patternType="solid">
        <fgColor theme="5" tint="0.79992065187536243"/>
        <bgColor indexed="64"/>
      </patternFill>
    </fill>
    <fill>
      <patternFill patternType="solid">
        <fgColor theme="2"/>
        <bgColor indexed="64"/>
      </patternFill>
    </fill>
    <fill>
      <patternFill patternType="solid">
        <fgColor rgb="FFFFC000"/>
        <bgColor indexed="64"/>
      </patternFill>
    </fill>
    <fill>
      <patternFill patternType="solid">
        <fgColor rgb="FF7030A0"/>
        <bgColor indexed="64"/>
      </patternFill>
    </fill>
    <fill>
      <patternFill patternType="solid">
        <fgColor rgb="FFFF0000"/>
        <bgColor indexed="64"/>
      </patternFill>
    </fill>
    <fill>
      <patternFill patternType="solid">
        <fgColor theme="4" tint="0.39994506668294322"/>
        <bgColor indexed="64"/>
      </patternFill>
    </fill>
  </fills>
  <borders count="23">
    <border>
      <left/>
      <right/>
      <top/>
      <bottom/>
      <diagonal/>
    </border>
    <border>
      <left style="thin">
        <color indexed="8"/>
      </left>
      <right style="thin">
        <color indexed="8"/>
      </right>
      <top style="thin">
        <color indexed="8"/>
      </top>
      <bottom style="thin">
        <color indexed="8"/>
      </bottom>
      <diagonal/>
    </border>
    <border>
      <left style="thin">
        <color indexed="8"/>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style="thin">
        <color auto="1"/>
      </right>
      <top/>
      <bottom style="thin">
        <color auto="1"/>
      </bottom>
      <diagonal/>
    </border>
    <border>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style="medium">
        <color auto="1"/>
      </left>
      <right style="thin">
        <color auto="1"/>
      </right>
      <top style="medium">
        <color auto="1"/>
      </top>
      <bottom style="thin">
        <color auto="1"/>
      </bottom>
      <diagonal/>
    </border>
    <border>
      <left style="thin">
        <color auto="1"/>
      </left>
      <right style="medium">
        <color auto="1"/>
      </right>
      <top style="medium">
        <color auto="1"/>
      </top>
      <bottom style="thin">
        <color auto="1"/>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style="thin">
        <color auto="1"/>
      </right>
      <top style="thin">
        <color auto="1"/>
      </top>
      <bottom/>
      <diagonal/>
    </border>
    <border>
      <left style="thin">
        <color auto="1"/>
      </left>
      <right style="medium">
        <color auto="1"/>
      </right>
      <top style="thin">
        <color auto="1"/>
      </top>
      <bottom/>
      <diagonal/>
    </border>
    <border>
      <left style="medium">
        <color auto="1"/>
      </left>
      <right style="thin">
        <color auto="1"/>
      </right>
      <top/>
      <bottom style="thin">
        <color auto="1"/>
      </bottom>
      <diagonal/>
    </border>
    <border>
      <left style="thin">
        <color auto="1"/>
      </left>
      <right style="medium">
        <color auto="1"/>
      </right>
      <top/>
      <bottom style="thin">
        <color auto="1"/>
      </bottom>
      <diagonal/>
    </border>
    <border>
      <left style="medium">
        <color auto="1"/>
      </left>
      <right style="thin">
        <color auto="1"/>
      </right>
      <top style="thin">
        <color auto="1"/>
      </top>
      <bottom style="medium">
        <color auto="1"/>
      </bottom>
      <diagonal/>
    </border>
    <border>
      <left style="thin">
        <color auto="1"/>
      </left>
      <right/>
      <top style="medium">
        <color auto="1"/>
      </top>
      <bottom style="thin">
        <color auto="1"/>
      </bottom>
      <diagonal/>
    </border>
    <border>
      <left style="thin">
        <color auto="1"/>
      </left>
      <right/>
      <top style="thin">
        <color auto="1"/>
      </top>
      <bottom/>
      <diagonal/>
    </border>
    <border>
      <left style="thin">
        <color auto="1"/>
      </left>
      <right/>
      <top style="thin">
        <color auto="1"/>
      </top>
      <bottom style="medium">
        <color auto="1"/>
      </bottom>
      <diagonal/>
    </border>
    <border>
      <left style="thin">
        <color auto="1"/>
      </left>
      <right style="thin">
        <color auto="1"/>
      </right>
      <top/>
      <bottom/>
      <diagonal/>
    </border>
    <border>
      <left style="thin">
        <color auto="1"/>
      </left>
      <right style="medium">
        <color auto="1"/>
      </right>
      <top style="thin">
        <color auto="1"/>
      </top>
      <bottom style="medium">
        <color auto="1"/>
      </bottom>
      <diagonal/>
    </border>
  </borders>
  <cellStyleXfs count="2">
    <xf numFmtId="0" fontId="0" fillId="0" borderId="0">
      <alignment vertical="center"/>
    </xf>
    <xf numFmtId="9" fontId="54" fillId="0" borderId="0" applyFont="0" applyFill="0" applyBorder="0" applyAlignment="0" applyProtection="0">
      <alignment vertical="center"/>
    </xf>
  </cellStyleXfs>
  <cellXfs count="451">
    <xf numFmtId="0" fontId="0" fillId="0" borderId="0" xfId="0">
      <alignment vertical="center"/>
    </xf>
    <xf numFmtId="0" fontId="0" fillId="0" borderId="0" xfId="0" applyFill="1">
      <alignment vertical="center"/>
    </xf>
    <xf numFmtId="0" fontId="1" fillId="0" borderId="1" xfId="0" applyNumberFormat="1" applyFont="1" applyFill="1" applyBorder="1" applyAlignment="1" applyProtection="1">
      <alignment horizontal="center"/>
    </xf>
    <xf numFmtId="0" fontId="2" fillId="0" borderId="1" xfId="0" applyNumberFormat="1" applyFont="1" applyFill="1" applyBorder="1" applyAlignment="1" applyProtection="1">
      <alignment horizontal="left" vertical="center"/>
    </xf>
    <xf numFmtId="0" fontId="2" fillId="0" borderId="1" xfId="0" applyNumberFormat="1" applyFont="1" applyFill="1" applyBorder="1" applyAlignment="1" applyProtection="1">
      <alignment horizontal="center" vertical="center"/>
    </xf>
    <xf numFmtId="0" fontId="2" fillId="2" borderId="1" xfId="0" applyNumberFormat="1" applyFont="1" applyFill="1" applyBorder="1" applyAlignment="1" applyProtection="1">
      <alignment horizontal="left" vertical="center"/>
    </xf>
    <xf numFmtId="0" fontId="2" fillId="2" borderId="1" xfId="0" applyNumberFormat="1" applyFont="1" applyFill="1" applyBorder="1" applyAlignment="1" applyProtection="1">
      <alignment horizontal="center" vertical="center"/>
    </xf>
    <xf numFmtId="176" fontId="0" fillId="2" borderId="2" xfId="0" applyNumberFormat="1" applyFill="1" applyBorder="1" applyAlignment="1">
      <alignment horizontal="center" vertical="center"/>
    </xf>
    <xf numFmtId="177" fontId="0" fillId="2" borderId="2" xfId="0" applyNumberFormat="1" applyFill="1" applyBorder="1" applyAlignment="1">
      <alignment horizontal="center" vertical="center"/>
    </xf>
    <xf numFmtId="177" fontId="0" fillId="0" borderId="2" xfId="0" applyNumberFormat="1" applyFill="1" applyBorder="1" applyAlignment="1">
      <alignment horizontal="center" vertical="center"/>
    </xf>
    <xf numFmtId="10" fontId="3" fillId="0" borderId="2" xfId="0" applyNumberFormat="1" applyFont="1" applyFill="1" applyBorder="1" applyAlignment="1">
      <alignment horizontal="center" vertical="center"/>
    </xf>
    <xf numFmtId="10" fontId="0" fillId="0" borderId="2" xfId="0" applyNumberFormat="1" applyFill="1" applyBorder="1" applyAlignment="1">
      <alignment horizontal="center" vertical="center"/>
    </xf>
    <xf numFmtId="0" fontId="4" fillId="2" borderId="0" xfId="0" applyFont="1" applyFill="1">
      <alignment vertical="center"/>
    </xf>
    <xf numFmtId="0" fontId="5" fillId="2" borderId="0" xfId="0" applyFont="1" applyFill="1">
      <alignment vertical="center"/>
    </xf>
    <xf numFmtId="0" fontId="5" fillId="0" borderId="0" xfId="0" applyFont="1" applyFill="1">
      <alignment vertical="center"/>
    </xf>
    <xf numFmtId="0" fontId="6" fillId="0" borderId="0" xfId="0" applyFont="1" applyFill="1">
      <alignment vertical="center"/>
    </xf>
    <xf numFmtId="0" fontId="4" fillId="0" borderId="0" xfId="0" applyFont="1" applyFill="1">
      <alignment vertical="center"/>
    </xf>
    <xf numFmtId="0" fontId="4" fillId="0" borderId="0" xfId="0" applyFont="1" applyFill="1" applyAlignment="1">
      <alignment horizontal="center" vertical="center"/>
    </xf>
    <xf numFmtId="0" fontId="7" fillId="0" borderId="3" xfId="0" applyFont="1" applyFill="1" applyBorder="1" applyAlignment="1">
      <alignment horizontal="center" vertical="center"/>
    </xf>
    <xf numFmtId="0" fontId="8" fillId="0" borderId="3" xfId="0" applyFont="1" applyFill="1" applyBorder="1" applyAlignment="1">
      <alignment horizontal="center" vertical="center"/>
    </xf>
    <xf numFmtId="0" fontId="8" fillId="0" borderId="3" xfId="0" applyFont="1" applyFill="1" applyBorder="1">
      <alignment vertical="center"/>
    </xf>
    <xf numFmtId="0" fontId="4" fillId="0" borderId="3" xfId="0" applyFont="1" applyFill="1" applyBorder="1" applyAlignment="1">
      <alignment horizontal="center" vertical="center"/>
    </xf>
    <xf numFmtId="177" fontId="8" fillId="0" borderId="6" xfId="0" applyNumberFormat="1" applyFont="1" applyFill="1" applyBorder="1">
      <alignment vertical="center"/>
    </xf>
    <xf numFmtId="0" fontId="7" fillId="0" borderId="3" xfId="0" applyFont="1" applyFill="1" applyBorder="1">
      <alignment vertical="center"/>
    </xf>
    <xf numFmtId="177" fontId="7" fillId="0" borderId="6" xfId="0" applyNumberFormat="1" applyFont="1" applyFill="1" applyBorder="1">
      <alignment vertical="center"/>
    </xf>
    <xf numFmtId="0" fontId="4" fillId="0" borderId="3" xfId="0" applyFont="1" applyFill="1" applyBorder="1" applyAlignment="1">
      <alignment horizontal="left" vertical="center" indent="2"/>
    </xf>
    <xf numFmtId="177" fontId="4" fillId="0" borderId="6" xfId="0" applyNumberFormat="1" applyFont="1" applyFill="1" applyBorder="1">
      <alignment vertical="center"/>
    </xf>
    <xf numFmtId="0" fontId="4" fillId="0" borderId="3" xfId="0" applyFont="1" applyFill="1" applyBorder="1" applyAlignment="1">
      <alignment horizontal="left" vertical="center" indent="4"/>
    </xf>
    <xf numFmtId="0" fontId="4" fillId="0" borderId="3" xfId="0" applyFont="1" applyFill="1" applyBorder="1" applyAlignment="1">
      <alignment horizontal="left" vertical="center" indent="6"/>
    </xf>
    <xf numFmtId="0" fontId="4" fillId="2" borderId="3" xfId="0" applyFont="1" applyFill="1" applyBorder="1" applyAlignment="1">
      <alignment horizontal="center" vertical="center"/>
    </xf>
    <xf numFmtId="0" fontId="4" fillId="2" borderId="3" xfId="0" applyFont="1" applyFill="1" applyBorder="1" applyAlignment="1">
      <alignment horizontal="left" vertical="center" indent="2"/>
    </xf>
    <xf numFmtId="177" fontId="4" fillId="2" borderId="6" xfId="0" applyNumberFormat="1" applyFont="1" applyFill="1" applyBorder="1">
      <alignment vertical="center"/>
    </xf>
    <xf numFmtId="0" fontId="5" fillId="2" borderId="3" xfId="0" applyFont="1" applyFill="1" applyBorder="1" applyAlignment="1">
      <alignment horizontal="center" vertical="center"/>
    </xf>
    <xf numFmtId="0" fontId="5" fillId="2" borderId="3" xfId="0" applyFont="1" applyFill="1" applyBorder="1" applyAlignment="1">
      <alignment horizontal="left" vertical="center" indent="4"/>
    </xf>
    <xf numFmtId="177" fontId="5" fillId="2" borderId="6" xfId="0" applyNumberFormat="1" applyFont="1" applyFill="1" applyBorder="1">
      <alignment vertical="center"/>
    </xf>
    <xf numFmtId="0" fontId="4" fillId="2" borderId="3" xfId="0" applyFont="1" applyFill="1" applyBorder="1" applyAlignment="1">
      <alignment horizontal="left" vertical="center" indent="4"/>
    </xf>
    <xf numFmtId="0" fontId="4" fillId="0" borderId="3" xfId="0" applyFont="1" applyFill="1" applyBorder="1" applyAlignment="1">
      <alignment horizontal="left" vertical="center" indent="5"/>
    </xf>
    <xf numFmtId="0" fontId="5" fillId="0" borderId="3" xfId="0" applyFont="1" applyFill="1" applyBorder="1" applyAlignment="1">
      <alignment horizontal="center" vertical="center"/>
    </xf>
    <xf numFmtId="0" fontId="6" fillId="0" borderId="0" xfId="0" applyFont="1" applyFill="1" applyAlignment="1">
      <alignment horizontal="center" vertical="center"/>
    </xf>
    <xf numFmtId="0" fontId="9" fillId="0" borderId="0" xfId="0" applyFont="1" applyFill="1">
      <alignment vertical="center"/>
    </xf>
    <xf numFmtId="177" fontId="6" fillId="0" borderId="0" xfId="0" applyNumberFormat="1" applyFont="1" applyFill="1">
      <alignment vertical="center"/>
    </xf>
    <xf numFmtId="9" fontId="4" fillId="0" borderId="0" xfId="0" applyNumberFormat="1" applyFont="1" applyFill="1">
      <alignment vertical="center"/>
    </xf>
    <xf numFmtId="10" fontId="4" fillId="0" borderId="0" xfId="0" applyNumberFormat="1" applyFont="1" applyFill="1">
      <alignment vertical="center"/>
    </xf>
    <xf numFmtId="0" fontId="10" fillId="0" borderId="0" xfId="0" applyFont="1" applyFill="1">
      <alignment vertical="center"/>
    </xf>
    <xf numFmtId="0" fontId="11" fillId="0" borderId="0" xfId="0" applyFont="1" applyFill="1">
      <alignment vertical="center"/>
    </xf>
    <xf numFmtId="0" fontId="12" fillId="0" borderId="0" xfId="0" applyFont="1" applyFill="1">
      <alignment vertical="center"/>
    </xf>
    <xf numFmtId="0" fontId="13" fillId="0" borderId="0" xfId="0" applyFont="1" applyFill="1">
      <alignment vertical="center"/>
    </xf>
    <xf numFmtId="0" fontId="14" fillId="0" borderId="3" xfId="0" applyFont="1" applyFill="1" applyBorder="1" applyAlignment="1">
      <alignment horizontal="center" vertical="center"/>
    </xf>
    <xf numFmtId="0" fontId="15" fillId="0" borderId="3" xfId="0" applyFont="1" applyFill="1" applyBorder="1" applyAlignment="1">
      <alignment horizontal="center" vertical="center"/>
    </xf>
    <xf numFmtId="0" fontId="14" fillId="0" borderId="3" xfId="0" applyFont="1" applyFill="1" applyBorder="1">
      <alignment vertical="center"/>
    </xf>
    <xf numFmtId="177" fontId="14" fillId="0" borderId="3" xfId="0" applyNumberFormat="1" applyFont="1" applyFill="1" applyBorder="1">
      <alignment vertical="center"/>
    </xf>
    <xf numFmtId="0" fontId="11" fillId="0" borderId="3" xfId="0" applyFont="1" applyFill="1" applyBorder="1" applyAlignment="1">
      <alignment horizontal="center" vertical="center"/>
    </xf>
    <xf numFmtId="177" fontId="14" fillId="0" borderId="6" xfId="0" applyNumberFormat="1" applyFont="1" applyFill="1" applyBorder="1">
      <alignment vertical="center"/>
    </xf>
    <xf numFmtId="177" fontId="15" fillId="0" borderId="6" xfId="0" applyNumberFormat="1" applyFont="1" applyFill="1" applyBorder="1">
      <alignment vertical="center"/>
    </xf>
    <xf numFmtId="0" fontId="11" fillId="0" borderId="3" xfId="0" applyFont="1" applyFill="1" applyBorder="1" applyAlignment="1">
      <alignment horizontal="left" vertical="center"/>
    </xf>
    <xf numFmtId="177" fontId="11" fillId="0" borderId="3" xfId="0" applyNumberFormat="1" applyFont="1" applyFill="1" applyBorder="1">
      <alignment vertical="center"/>
    </xf>
    <xf numFmtId="177" fontId="11" fillId="0" borderId="6" xfId="0" applyNumberFormat="1" applyFont="1" applyFill="1" applyBorder="1">
      <alignment vertical="center"/>
    </xf>
    <xf numFmtId="177" fontId="12" fillId="0" borderId="3" xfId="0" applyNumberFormat="1" applyFont="1" applyFill="1" applyBorder="1">
      <alignment vertical="center"/>
    </xf>
    <xf numFmtId="0" fontId="11" fillId="0" borderId="3" xfId="0" applyFont="1" applyFill="1" applyBorder="1" applyAlignment="1">
      <alignment horizontal="left" vertical="center" indent="1"/>
    </xf>
    <xf numFmtId="0" fontId="10" fillId="0" borderId="3" xfId="0" applyFont="1" applyFill="1" applyBorder="1" applyAlignment="1">
      <alignment horizontal="center" vertical="center"/>
    </xf>
    <xf numFmtId="0" fontId="10" fillId="0" borderId="3" xfId="0" applyFont="1" applyFill="1" applyBorder="1" applyAlignment="1">
      <alignment horizontal="left" vertical="center" indent="1"/>
    </xf>
    <xf numFmtId="177" fontId="10" fillId="0" borderId="3" xfId="0" applyNumberFormat="1" applyFont="1" applyFill="1" applyBorder="1">
      <alignment vertical="center"/>
    </xf>
    <xf numFmtId="177" fontId="10" fillId="0" borderId="6" xfId="0" applyNumberFormat="1" applyFont="1" applyFill="1" applyBorder="1">
      <alignment vertical="center"/>
    </xf>
    <xf numFmtId="177" fontId="12" fillId="0" borderId="6" xfId="0" applyNumberFormat="1" applyFont="1" applyFill="1" applyBorder="1">
      <alignment vertical="center"/>
    </xf>
    <xf numFmtId="0" fontId="14" fillId="0" borderId="3" xfId="0" applyFont="1" applyFill="1" applyBorder="1" applyAlignment="1">
      <alignment horizontal="left" vertical="center"/>
    </xf>
    <xf numFmtId="0" fontId="16" fillId="0" borderId="0" xfId="0" applyFont="1" applyFill="1">
      <alignment vertical="center"/>
    </xf>
    <xf numFmtId="0" fontId="17" fillId="0" borderId="0" xfId="0" applyFont="1" applyFill="1">
      <alignment vertical="center"/>
    </xf>
    <xf numFmtId="0" fontId="17" fillId="0" borderId="0" xfId="0" applyFont="1" applyFill="1" applyAlignment="1">
      <alignment horizontal="center" vertical="center"/>
    </xf>
    <xf numFmtId="0" fontId="18" fillId="0" borderId="0" xfId="0" applyFont="1" applyFill="1">
      <alignment vertical="center"/>
    </xf>
    <xf numFmtId="0" fontId="19" fillId="0" borderId="3" xfId="0" applyFont="1" applyFill="1" applyBorder="1" applyAlignment="1">
      <alignment horizontal="center" vertical="center"/>
    </xf>
    <xf numFmtId="177" fontId="19" fillId="0" borderId="3" xfId="0" applyNumberFormat="1" applyFont="1" applyFill="1" applyBorder="1" applyAlignment="1">
      <alignment horizontal="left" vertical="center"/>
    </xf>
    <xf numFmtId="177" fontId="19" fillId="0" borderId="3" xfId="0" applyNumberFormat="1" applyFont="1" applyFill="1" applyBorder="1" applyAlignment="1">
      <alignment horizontal="right" vertical="center"/>
    </xf>
    <xf numFmtId="177" fontId="14" fillId="0" borderId="3" xfId="0" applyNumberFormat="1" applyFont="1" applyFill="1" applyBorder="1" applyAlignment="1">
      <alignment horizontal="center" vertical="center"/>
    </xf>
    <xf numFmtId="0" fontId="20" fillId="0" borderId="3" xfId="0" applyFont="1" applyFill="1" applyBorder="1" applyAlignment="1">
      <alignment horizontal="center" vertical="center"/>
    </xf>
    <xf numFmtId="177" fontId="20" fillId="0" borderId="3" xfId="0" applyNumberFormat="1" applyFont="1" applyFill="1" applyBorder="1" applyAlignment="1">
      <alignment horizontal="left" vertical="center" indent="1"/>
    </xf>
    <xf numFmtId="177" fontId="20" fillId="0" borderId="3" xfId="0" applyNumberFormat="1" applyFont="1" applyFill="1" applyBorder="1" applyAlignment="1">
      <alignment horizontal="right" vertical="center"/>
    </xf>
    <xf numFmtId="177" fontId="11" fillId="0" borderId="3" xfId="0" applyNumberFormat="1" applyFont="1" applyFill="1" applyBorder="1" applyAlignment="1">
      <alignment horizontal="center" vertical="center"/>
    </xf>
    <xf numFmtId="177" fontId="15" fillId="0" borderId="3" xfId="0" applyNumberFormat="1" applyFont="1" applyFill="1" applyBorder="1" applyAlignment="1">
      <alignment horizontal="center" vertical="center"/>
    </xf>
    <xf numFmtId="0" fontId="14" fillId="2" borderId="3" xfId="0" applyFont="1" applyFill="1" applyBorder="1">
      <alignment vertical="center"/>
    </xf>
    <xf numFmtId="10" fontId="14" fillId="2" borderId="3" xfId="0" applyNumberFormat="1" applyFont="1" applyFill="1" applyBorder="1">
      <alignment vertical="center"/>
    </xf>
    <xf numFmtId="0" fontId="17" fillId="0" borderId="3" xfId="0" applyFont="1" applyFill="1" applyBorder="1">
      <alignment vertical="center"/>
    </xf>
    <xf numFmtId="0" fontId="17" fillId="0" borderId="3" xfId="0" applyFont="1" applyFill="1" applyBorder="1" applyAlignment="1">
      <alignment horizontal="center" vertical="center"/>
    </xf>
    <xf numFmtId="177" fontId="14" fillId="2" borderId="3" xfId="0" applyNumberFormat="1" applyFont="1" applyFill="1" applyBorder="1">
      <alignment vertical="center"/>
    </xf>
    <xf numFmtId="177" fontId="17" fillId="0" borderId="0" xfId="0" applyNumberFormat="1" applyFont="1" applyFill="1">
      <alignment vertical="center"/>
    </xf>
    <xf numFmtId="0" fontId="11" fillId="0" borderId="0" xfId="0" applyFont="1" applyFill="1" applyAlignment="1">
      <alignment horizontal="right" vertical="center"/>
    </xf>
    <xf numFmtId="177" fontId="11" fillId="0" borderId="0" xfId="0" applyNumberFormat="1" applyFont="1" applyFill="1">
      <alignment vertical="center"/>
    </xf>
    <xf numFmtId="10" fontId="17" fillId="0" borderId="0" xfId="0" applyNumberFormat="1" applyFont="1" applyFill="1" applyAlignment="1">
      <alignment horizontal="center" vertical="center"/>
    </xf>
    <xf numFmtId="0" fontId="11" fillId="0" borderId="0" xfId="0" applyFont="1" applyFill="1" applyAlignment="1">
      <alignment horizontal="center" vertical="center"/>
    </xf>
    <xf numFmtId="0" fontId="14" fillId="0" borderId="3" xfId="0" applyFont="1" applyFill="1" applyBorder="1" applyAlignment="1">
      <alignment vertical="center"/>
    </xf>
    <xf numFmtId="177" fontId="15" fillId="0" borderId="3" xfId="0" applyNumberFormat="1" applyFont="1" applyFill="1" applyBorder="1">
      <alignment vertical="center"/>
    </xf>
    <xf numFmtId="0" fontId="21" fillId="0" borderId="0" xfId="0" applyFont="1">
      <alignment vertical="center"/>
    </xf>
    <xf numFmtId="0" fontId="17" fillId="0" borderId="0" xfId="0" applyFont="1">
      <alignment vertical="center"/>
    </xf>
    <xf numFmtId="0" fontId="13" fillId="0" borderId="0" xfId="0" applyFont="1">
      <alignment vertical="center"/>
    </xf>
    <xf numFmtId="0" fontId="14" fillId="4" borderId="3" xfId="0" applyFont="1" applyFill="1" applyBorder="1" applyAlignment="1">
      <alignment horizontal="center" vertical="center"/>
    </xf>
    <xf numFmtId="0" fontId="14" fillId="5" borderId="3" xfId="0" applyFont="1" applyFill="1" applyBorder="1" applyAlignment="1">
      <alignment horizontal="center" vertical="center"/>
    </xf>
    <xf numFmtId="0" fontId="14" fillId="6" borderId="5" xfId="0" applyFont="1" applyFill="1" applyBorder="1" applyAlignment="1">
      <alignment horizontal="center" vertical="center"/>
    </xf>
    <xf numFmtId="0" fontId="14" fillId="6" borderId="5" xfId="0" applyFont="1" applyFill="1" applyBorder="1" applyAlignment="1">
      <alignment horizontal="left" vertical="center"/>
    </xf>
    <xf numFmtId="177" fontId="14" fillId="6" borderId="3" xfId="0" applyNumberFormat="1" applyFont="1" applyFill="1" applyBorder="1" applyAlignment="1">
      <alignment horizontal="center" vertical="center"/>
    </xf>
    <xf numFmtId="0" fontId="22" fillId="0" borderId="3" xfId="0" applyFont="1" applyBorder="1" applyAlignment="1">
      <alignment horizontal="center" vertical="center"/>
    </xf>
    <xf numFmtId="177" fontId="14" fillId="0" borderId="3" xfId="0" applyNumberFormat="1" applyFont="1" applyBorder="1">
      <alignment vertical="center"/>
    </xf>
    <xf numFmtId="0" fontId="11" fillId="6" borderId="5" xfId="0" applyFont="1" applyFill="1" applyBorder="1" applyAlignment="1">
      <alignment horizontal="center" vertical="center"/>
    </xf>
    <xf numFmtId="0" fontId="11" fillId="6" borderId="5" xfId="0" applyFont="1" applyFill="1" applyBorder="1" applyAlignment="1">
      <alignment horizontal="left" vertical="center"/>
    </xf>
    <xf numFmtId="177" fontId="11" fillId="6" borderId="3" xfId="0" applyNumberFormat="1" applyFont="1" applyFill="1" applyBorder="1" applyAlignment="1">
      <alignment horizontal="center" vertical="center"/>
    </xf>
    <xf numFmtId="0" fontId="23" fillId="0" borderId="3" xfId="0" applyFont="1" applyBorder="1" applyAlignment="1">
      <alignment horizontal="center" vertical="center"/>
    </xf>
    <xf numFmtId="177" fontId="11" fillId="0" borderId="3" xfId="0" applyNumberFormat="1" applyFont="1" applyBorder="1">
      <alignment vertical="center"/>
    </xf>
    <xf numFmtId="0" fontId="11" fillId="6" borderId="3" xfId="0" applyFont="1" applyFill="1" applyBorder="1" applyAlignment="1">
      <alignment horizontal="center" vertical="center"/>
    </xf>
    <xf numFmtId="177" fontId="17" fillId="6" borderId="3" xfId="0" applyNumberFormat="1" applyFont="1" applyFill="1" applyBorder="1" applyAlignment="1" applyProtection="1">
      <alignment horizontal="left" vertical="center"/>
      <protection hidden="1"/>
    </xf>
    <xf numFmtId="0" fontId="14" fillId="6" borderId="3" xfId="0" applyFont="1" applyFill="1" applyBorder="1" applyAlignment="1">
      <alignment horizontal="center" vertical="center"/>
    </xf>
    <xf numFmtId="0" fontId="14" fillId="6" borderId="3" xfId="0" applyFont="1" applyFill="1" applyBorder="1" applyAlignment="1" applyProtection="1">
      <alignment horizontal="left" vertical="center"/>
      <protection hidden="1"/>
    </xf>
    <xf numFmtId="177" fontId="14" fillId="6" borderId="3" xfId="0" applyNumberFormat="1" applyFont="1" applyFill="1" applyBorder="1" applyAlignment="1" applyProtection="1">
      <alignment horizontal="left" vertical="center"/>
      <protection hidden="1"/>
    </xf>
    <xf numFmtId="177" fontId="23" fillId="6" borderId="3" xfId="0" applyNumberFormat="1" applyFont="1" applyFill="1" applyBorder="1" applyAlignment="1" applyProtection="1">
      <alignment horizontal="left" vertical="center" indent="1"/>
      <protection hidden="1"/>
    </xf>
    <xf numFmtId="176" fontId="14" fillId="6" borderId="3" xfId="0" applyNumberFormat="1" applyFont="1" applyFill="1" applyBorder="1" applyAlignment="1" applyProtection="1">
      <alignment horizontal="left" vertical="center"/>
      <protection hidden="1"/>
    </xf>
    <xf numFmtId="0" fontId="11" fillId="0" borderId="3" xfId="0" applyFont="1" applyBorder="1" applyAlignment="1">
      <alignment horizontal="center" vertical="center"/>
    </xf>
    <xf numFmtId="0" fontId="23" fillId="7" borderId="3" xfId="0" applyFont="1" applyFill="1" applyBorder="1" applyAlignment="1">
      <alignment horizontal="left" vertical="center" indent="1"/>
    </xf>
    <xf numFmtId="177" fontId="11" fillId="0" borderId="3" xfId="0" applyNumberFormat="1" applyFont="1" applyBorder="1" applyAlignment="1">
      <alignment horizontal="center" vertical="center"/>
    </xf>
    <xf numFmtId="177" fontId="11" fillId="7" borderId="3" xfId="0" applyNumberFormat="1" applyFont="1" applyFill="1" applyBorder="1">
      <alignment vertical="center"/>
    </xf>
    <xf numFmtId="177" fontId="24" fillId="6" borderId="3" xfId="0" applyNumberFormat="1" applyFont="1" applyFill="1" applyBorder="1" applyAlignment="1">
      <alignment horizontal="center" vertical="center"/>
    </xf>
    <xf numFmtId="176" fontId="11" fillId="6" borderId="3" xfId="0" applyNumberFormat="1" applyFont="1" applyFill="1" applyBorder="1" applyAlignment="1" applyProtection="1">
      <alignment horizontal="left" vertical="center"/>
      <protection hidden="1"/>
    </xf>
    <xf numFmtId="0" fontId="16" fillId="0" borderId="0" xfId="0" applyFont="1">
      <alignment vertical="center"/>
    </xf>
    <xf numFmtId="0" fontId="12" fillId="0" borderId="0" xfId="0" applyFont="1">
      <alignment vertical="center"/>
    </xf>
    <xf numFmtId="0" fontId="25" fillId="0" borderId="0" xfId="0" applyFont="1" applyFill="1">
      <alignment vertical="center"/>
    </xf>
    <xf numFmtId="0" fontId="13" fillId="0" borderId="0" xfId="0" applyFont="1" applyFill="1" applyAlignment="1">
      <alignment horizontal="left" vertical="center"/>
    </xf>
    <xf numFmtId="0" fontId="26" fillId="0" borderId="3" xfId="0" applyFont="1" applyFill="1" applyBorder="1" applyAlignment="1">
      <alignment horizontal="center" vertical="center"/>
    </xf>
    <xf numFmtId="177" fontId="26" fillId="0" borderId="3" xfId="0" applyNumberFormat="1" applyFont="1" applyFill="1" applyBorder="1">
      <alignment vertical="center"/>
    </xf>
    <xf numFmtId="177" fontId="25" fillId="0" borderId="3" xfId="0" applyNumberFormat="1" applyFont="1" applyFill="1" applyBorder="1">
      <alignment vertical="center"/>
    </xf>
    <xf numFmtId="177" fontId="20" fillId="0" borderId="3" xfId="0" applyNumberFormat="1" applyFont="1" applyFill="1" applyBorder="1" applyAlignment="1">
      <alignment horizontal="left" vertical="center" indent="2"/>
    </xf>
    <xf numFmtId="177" fontId="24" fillId="0" borderId="3" xfId="0" applyNumberFormat="1" applyFont="1" applyFill="1" applyBorder="1" applyAlignment="1">
      <alignment horizontal="right" vertical="center"/>
    </xf>
    <xf numFmtId="10" fontId="14" fillId="0" borderId="3" xfId="0" applyNumberFormat="1" applyFont="1" applyFill="1" applyBorder="1">
      <alignment vertical="center"/>
    </xf>
    <xf numFmtId="0" fontId="11" fillId="0" borderId="3" xfId="0" applyFont="1" applyFill="1" applyBorder="1">
      <alignment vertical="center"/>
    </xf>
    <xf numFmtId="0" fontId="25" fillId="0" borderId="3" xfId="0" applyFont="1" applyFill="1" applyBorder="1">
      <alignment vertical="center"/>
    </xf>
    <xf numFmtId="0" fontId="14" fillId="6" borderId="3" xfId="0" applyFont="1" applyFill="1" applyBorder="1">
      <alignment vertical="center"/>
    </xf>
    <xf numFmtId="177" fontId="14" fillId="6" borderId="3" xfId="0" applyNumberFormat="1" applyFont="1" applyFill="1" applyBorder="1">
      <alignment vertical="center"/>
    </xf>
    <xf numFmtId="9" fontId="11" fillId="0" borderId="0" xfId="0" applyNumberFormat="1" applyFont="1" applyFill="1">
      <alignment vertical="center"/>
    </xf>
    <xf numFmtId="0" fontId="27" fillId="0" borderId="0" xfId="0" applyFont="1">
      <alignment vertical="center"/>
    </xf>
    <xf numFmtId="0" fontId="28" fillId="0" borderId="0" xfId="0" applyFont="1" applyFill="1">
      <alignment vertical="center"/>
    </xf>
    <xf numFmtId="0" fontId="15" fillId="5" borderId="3" xfId="0" applyFont="1" applyFill="1" applyBorder="1" applyAlignment="1">
      <alignment horizontal="center" vertical="center"/>
    </xf>
    <xf numFmtId="0" fontId="14" fillId="0" borderId="3" xfId="0" applyFont="1" applyBorder="1" applyAlignment="1">
      <alignment horizontal="center" vertical="center"/>
    </xf>
    <xf numFmtId="177" fontId="14" fillId="0" borderId="3" xfId="0" applyNumberFormat="1" applyFont="1" applyBorder="1" applyAlignment="1">
      <alignment horizontal="center" vertical="center"/>
    </xf>
    <xf numFmtId="177" fontId="15" fillId="0" borderId="3" xfId="0" applyNumberFormat="1" applyFont="1" applyBorder="1" applyAlignment="1">
      <alignment horizontal="center" vertical="center"/>
    </xf>
    <xf numFmtId="177" fontId="12" fillId="0" borderId="3" xfId="0" applyNumberFormat="1" applyFont="1" applyBorder="1">
      <alignment vertical="center"/>
    </xf>
    <xf numFmtId="177" fontId="15" fillId="0" borderId="3" xfId="0" applyNumberFormat="1" applyFont="1" applyBorder="1">
      <alignment vertical="center"/>
    </xf>
    <xf numFmtId="0" fontId="15" fillId="6" borderId="3" xfId="0" applyFont="1" applyFill="1" applyBorder="1" applyAlignment="1">
      <alignment horizontal="center" vertical="center"/>
    </xf>
    <xf numFmtId="177" fontId="15" fillId="6" borderId="3" xfId="0" applyNumberFormat="1" applyFont="1" applyFill="1" applyBorder="1" applyAlignment="1" applyProtection="1">
      <alignment horizontal="left" vertical="center"/>
      <protection hidden="1"/>
    </xf>
    <xf numFmtId="177" fontId="15" fillId="6" borderId="3" xfId="0" applyNumberFormat="1" applyFont="1" applyFill="1" applyBorder="1" applyAlignment="1">
      <alignment horizontal="center" vertical="center"/>
    </xf>
    <xf numFmtId="0" fontId="29" fillId="0" borderId="3" xfId="0" applyFont="1" applyBorder="1" applyAlignment="1">
      <alignment horizontal="center" vertical="center"/>
    </xf>
    <xf numFmtId="177" fontId="12" fillId="7" borderId="3" xfId="0" applyNumberFormat="1" applyFont="1" applyFill="1" applyBorder="1">
      <alignment vertical="center"/>
    </xf>
    <xf numFmtId="176" fontId="15" fillId="6" borderId="3" xfId="0" applyNumberFormat="1" applyFont="1" applyFill="1" applyBorder="1" applyAlignment="1" applyProtection="1">
      <alignment horizontal="left" vertical="center"/>
      <protection hidden="1"/>
    </xf>
    <xf numFmtId="0" fontId="12" fillId="6" borderId="3" xfId="0" applyFont="1" applyFill="1" applyBorder="1" applyAlignment="1">
      <alignment horizontal="center" vertical="center"/>
    </xf>
    <xf numFmtId="176" fontId="12" fillId="6" borderId="3" xfId="0" applyNumberFormat="1" applyFont="1" applyFill="1" applyBorder="1" applyAlignment="1" applyProtection="1">
      <alignment horizontal="left" vertical="center"/>
      <protection hidden="1"/>
    </xf>
    <xf numFmtId="177" fontId="12" fillId="6" borderId="3" xfId="0" applyNumberFormat="1" applyFont="1" applyFill="1" applyBorder="1" applyAlignment="1">
      <alignment horizontal="center" vertical="center"/>
    </xf>
    <xf numFmtId="0" fontId="25" fillId="0" borderId="3" xfId="0" applyFont="1" applyFill="1" applyBorder="1" applyAlignment="1">
      <alignment horizontal="center" vertical="center"/>
    </xf>
    <xf numFmtId="176" fontId="25" fillId="0" borderId="3" xfId="0" applyNumberFormat="1" applyFont="1" applyFill="1" applyBorder="1" applyAlignment="1" applyProtection="1">
      <alignment horizontal="left" vertical="center"/>
      <protection hidden="1"/>
    </xf>
    <xf numFmtId="177" fontId="25" fillId="0" borderId="3" xfId="0" applyNumberFormat="1" applyFont="1" applyFill="1" applyBorder="1" applyAlignment="1">
      <alignment horizontal="center" vertical="center"/>
    </xf>
    <xf numFmtId="0" fontId="30" fillId="0" borderId="3" xfId="0" applyFont="1" applyFill="1" applyBorder="1" applyAlignment="1">
      <alignment horizontal="center" vertical="center"/>
    </xf>
    <xf numFmtId="0" fontId="0" fillId="8" borderId="0" xfId="0" applyFill="1">
      <alignment vertical="center"/>
    </xf>
    <xf numFmtId="0" fontId="11" fillId="8" borderId="0" xfId="0" applyFont="1" applyFill="1">
      <alignment vertical="center"/>
    </xf>
    <xf numFmtId="0" fontId="11" fillId="0" borderId="0" xfId="0" applyFont="1">
      <alignment vertical="center"/>
    </xf>
    <xf numFmtId="0" fontId="14" fillId="6" borderId="3" xfId="0" applyFont="1" applyFill="1" applyBorder="1" applyAlignment="1">
      <alignment horizontal="left" vertical="center"/>
    </xf>
    <xf numFmtId="0" fontId="14" fillId="8" borderId="3" xfId="0" applyFont="1" applyFill="1" applyBorder="1" applyAlignment="1">
      <alignment horizontal="center" vertical="center"/>
    </xf>
    <xf numFmtId="0" fontId="14" fillId="8" borderId="3" xfId="0" applyFont="1" applyFill="1" applyBorder="1" applyAlignment="1">
      <alignment horizontal="left" vertical="center"/>
    </xf>
    <xf numFmtId="177" fontId="11" fillId="8" borderId="3" xfId="0" applyNumberFormat="1" applyFont="1" applyFill="1" applyBorder="1">
      <alignment vertical="center"/>
    </xf>
    <xf numFmtId="177" fontId="14" fillId="8" borderId="3" xfId="0" applyNumberFormat="1" applyFont="1" applyFill="1" applyBorder="1">
      <alignment vertical="center"/>
    </xf>
    <xf numFmtId="0" fontId="11" fillId="8" borderId="3" xfId="0" applyFont="1" applyFill="1" applyBorder="1" applyAlignment="1">
      <alignment horizontal="center" vertical="center"/>
    </xf>
    <xf numFmtId="0" fontId="11" fillId="8" borderId="3" xfId="0" applyFont="1" applyFill="1" applyBorder="1" applyAlignment="1">
      <alignment horizontal="left" vertical="center" indent="1"/>
    </xf>
    <xf numFmtId="0" fontId="14" fillId="6" borderId="3" xfId="0" applyFont="1" applyFill="1" applyBorder="1" applyAlignment="1">
      <alignment horizontal="left" vertical="center" indent="1"/>
    </xf>
    <xf numFmtId="0" fontId="11" fillId="0" borderId="0" xfId="0" applyFont="1" applyAlignment="1">
      <alignment horizontal="center" vertical="center"/>
    </xf>
    <xf numFmtId="0" fontId="11" fillId="0" borderId="0" xfId="0" applyFont="1" applyAlignment="1">
      <alignment horizontal="left" vertical="center"/>
    </xf>
    <xf numFmtId="177" fontId="11" fillId="0" borderId="0" xfId="0" applyNumberFormat="1" applyFont="1">
      <alignment vertical="center"/>
    </xf>
    <xf numFmtId="0" fontId="13" fillId="0" borderId="0" xfId="0" applyFont="1" applyAlignment="1">
      <alignment horizontal="left" vertical="center"/>
    </xf>
    <xf numFmtId="0" fontId="11" fillId="7" borderId="3" xfId="0" applyFont="1" applyFill="1" applyBorder="1" applyAlignment="1">
      <alignment horizontal="left" vertical="center" indent="1"/>
    </xf>
    <xf numFmtId="0" fontId="14" fillId="7" borderId="3" xfId="0" applyFont="1" applyFill="1" applyBorder="1" applyAlignment="1">
      <alignment horizontal="left" vertical="center" indent="1"/>
    </xf>
    <xf numFmtId="0" fontId="11" fillId="7" borderId="3" xfId="0" applyFont="1" applyFill="1" applyBorder="1" applyAlignment="1">
      <alignment horizontal="left" vertical="center" indent="2"/>
    </xf>
    <xf numFmtId="0" fontId="11" fillId="8" borderId="3" xfId="0" applyFont="1" applyFill="1" applyBorder="1" applyAlignment="1">
      <alignment horizontal="left" vertical="center" indent="3"/>
    </xf>
    <xf numFmtId="0" fontId="11" fillId="7" borderId="3" xfId="0" applyFont="1" applyFill="1" applyBorder="1" applyAlignment="1">
      <alignment horizontal="left" vertical="center" indent="3"/>
    </xf>
    <xf numFmtId="0" fontId="11" fillId="6" borderId="3" xfId="0" applyFont="1" applyFill="1" applyBorder="1" applyAlignment="1">
      <alignment horizontal="left" vertical="center"/>
    </xf>
    <xf numFmtId="177" fontId="11" fillId="6" borderId="3" xfId="0" applyNumberFormat="1" applyFont="1" applyFill="1" applyBorder="1">
      <alignment vertical="center"/>
    </xf>
    <xf numFmtId="0" fontId="11" fillId="6" borderId="3" xfId="0" applyFont="1" applyFill="1" applyBorder="1" applyAlignment="1">
      <alignment horizontal="left" vertical="center" indent="1"/>
    </xf>
    <xf numFmtId="0" fontId="31" fillId="0" borderId="0" xfId="0" applyFont="1">
      <alignment vertical="center"/>
    </xf>
    <xf numFmtId="0" fontId="14" fillId="7" borderId="3" xfId="0" applyFont="1" applyFill="1" applyBorder="1" applyAlignment="1">
      <alignment horizontal="center" vertical="center"/>
    </xf>
    <xf numFmtId="0" fontId="14" fillId="7" borderId="5" xfId="0" applyFont="1" applyFill="1" applyBorder="1" applyAlignment="1">
      <alignment horizontal="center" vertical="center"/>
    </xf>
    <xf numFmtId="0" fontId="14" fillId="7" borderId="3" xfId="0" applyFont="1" applyFill="1" applyBorder="1">
      <alignment vertical="center"/>
    </xf>
    <xf numFmtId="177" fontId="11" fillId="7" borderId="4" xfId="0" applyNumberFormat="1" applyFont="1" applyFill="1" applyBorder="1">
      <alignment vertical="center"/>
    </xf>
    <xf numFmtId="0" fontId="11" fillId="7" borderId="3" xfId="0" applyFont="1" applyFill="1" applyBorder="1" applyAlignment="1">
      <alignment horizontal="center" vertical="center"/>
    </xf>
    <xf numFmtId="0" fontId="17" fillId="2" borderId="0" xfId="0" applyFont="1" applyFill="1">
      <alignment vertical="center"/>
    </xf>
    <xf numFmtId="0" fontId="18" fillId="0" borderId="0" xfId="0" applyFont="1">
      <alignment vertical="center"/>
    </xf>
    <xf numFmtId="0" fontId="25" fillId="0" borderId="3" xfId="0" applyFont="1" applyFill="1" applyBorder="1" applyAlignment="1">
      <alignment horizontal="left" vertical="center" indent="2"/>
    </xf>
    <xf numFmtId="0" fontId="23" fillId="0" borderId="3" xfId="0" applyFont="1" applyFill="1" applyBorder="1" applyAlignment="1">
      <alignment horizontal="center" vertical="center"/>
    </xf>
    <xf numFmtId="0" fontId="11" fillId="2" borderId="3" xfId="0" applyFont="1" applyFill="1" applyBorder="1" applyAlignment="1">
      <alignment horizontal="center" vertical="center"/>
    </xf>
    <xf numFmtId="0" fontId="25" fillId="2" borderId="3" xfId="0" applyFont="1" applyFill="1" applyBorder="1" applyAlignment="1">
      <alignment horizontal="left" vertical="center" indent="2"/>
    </xf>
    <xf numFmtId="177" fontId="11" fillId="2" borderId="3" xfId="0" applyNumberFormat="1" applyFont="1" applyFill="1" applyBorder="1">
      <alignment vertical="center"/>
    </xf>
    <xf numFmtId="0" fontId="23" fillId="2" borderId="3" xfId="0" applyFont="1" applyFill="1" applyBorder="1" applyAlignment="1">
      <alignment horizontal="center" vertical="center"/>
    </xf>
    <xf numFmtId="177" fontId="14" fillId="2" borderId="3" xfId="0" applyNumberFormat="1" applyFont="1" applyFill="1" applyBorder="1" applyAlignment="1">
      <alignment horizontal="center" vertical="center"/>
    </xf>
    <xf numFmtId="177" fontId="12" fillId="2" borderId="3" xfId="0" applyNumberFormat="1" applyFont="1" applyFill="1" applyBorder="1">
      <alignment vertical="center"/>
    </xf>
    <xf numFmtId="0" fontId="11" fillId="6" borderId="3" xfId="0" applyFont="1" applyFill="1" applyBorder="1" applyAlignment="1">
      <alignment horizontal="left" vertical="center" indent="2"/>
    </xf>
    <xf numFmtId="0" fontId="12" fillId="6" borderId="3" xfId="0" applyFont="1" applyFill="1" applyBorder="1" applyAlignment="1">
      <alignment horizontal="left" vertical="center" indent="2"/>
    </xf>
    <xf numFmtId="0" fontId="11" fillId="2" borderId="3" xfId="0" applyFont="1" applyFill="1" applyBorder="1" applyAlignment="1">
      <alignment horizontal="left" vertical="center" indent="2"/>
    </xf>
    <xf numFmtId="0" fontId="12" fillId="2" borderId="3" xfId="0" applyFont="1" applyFill="1" applyBorder="1" applyAlignment="1">
      <alignment horizontal="left" vertical="center" indent="2"/>
    </xf>
    <xf numFmtId="0" fontId="11" fillId="0" borderId="3" xfId="0" applyFont="1" applyBorder="1" applyAlignment="1">
      <alignment horizontal="left" vertical="center" indent="2"/>
    </xf>
    <xf numFmtId="0" fontId="14" fillId="0" borderId="0" xfId="0" applyFont="1" applyAlignment="1">
      <alignment horizontal="center" vertical="center"/>
    </xf>
    <xf numFmtId="0" fontId="14" fillId="0" borderId="0" xfId="0" applyFont="1" applyAlignment="1">
      <alignment horizontal="left" vertical="center"/>
    </xf>
    <xf numFmtId="177" fontId="14" fillId="0" borderId="0" xfId="0" applyNumberFormat="1" applyFont="1">
      <alignment vertical="center"/>
    </xf>
    <xf numFmtId="0" fontId="23" fillId="0" borderId="0" xfId="0" applyFont="1" applyAlignment="1">
      <alignment horizontal="center" vertical="center"/>
    </xf>
    <xf numFmtId="177" fontId="15" fillId="0" borderId="0" xfId="0" applyNumberFormat="1" applyFont="1">
      <alignment vertical="center"/>
    </xf>
    <xf numFmtId="177" fontId="15" fillId="2" borderId="3" xfId="0" applyNumberFormat="1" applyFont="1" applyFill="1" applyBorder="1" applyAlignment="1">
      <alignment horizontal="center" vertical="center"/>
    </xf>
    <xf numFmtId="0" fontId="25" fillId="6" borderId="3" xfId="0" applyFont="1" applyFill="1" applyBorder="1" applyAlignment="1">
      <alignment horizontal="left" vertical="center" indent="2"/>
    </xf>
    <xf numFmtId="177" fontId="12" fillId="0" borderId="0" xfId="0" applyNumberFormat="1" applyFont="1">
      <alignment vertical="center"/>
    </xf>
    <xf numFmtId="177" fontId="14" fillId="7" borderId="3" xfId="0" applyNumberFormat="1" applyFont="1" applyFill="1" applyBorder="1">
      <alignment vertical="center"/>
    </xf>
    <xf numFmtId="0" fontId="23" fillId="7" borderId="3" xfId="0" applyFont="1" applyFill="1" applyBorder="1" applyAlignment="1">
      <alignment horizontal="center" vertical="center"/>
    </xf>
    <xf numFmtId="177" fontId="15" fillId="7" borderId="3" xfId="0" applyNumberFormat="1" applyFont="1" applyFill="1" applyBorder="1">
      <alignment vertical="center"/>
    </xf>
    <xf numFmtId="0" fontId="14" fillId="7" borderId="5" xfId="0" applyFont="1" applyFill="1" applyBorder="1" applyAlignment="1">
      <alignment horizontal="left" vertical="center"/>
    </xf>
    <xf numFmtId="177" fontId="14" fillId="7" borderId="3" xfId="0" applyNumberFormat="1" applyFont="1" applyFill="1" applyBorder="1" applyAlignment="1">
      <alignment horizontal="center" vertical="center"/>
    </xf>
    <xf numFmtId="177" fontId="15" fillId="7" borderId="3" xfId="0" applyNumberFormat="1" applyFont="1" applyFill="1" applyBorder="1" applyAlignment="1">
      <alignment horizontal="center" vertical="center"/>
    </xf>
    <xf numFmtId="0" fontId="25" fillId="7" borderId="3" xfId="0" applyFont="1" applyFill="1" applyBorder="1" applyAlignment="1">
      <alignment horizontal="left" vertical="center" indent="2"/>
    </xf>
    <xf numFmtId="0" fontId="14" fillId="0" borderId="0" xfId="0" applyFont="1">
      <alignment vertical="center"/>
    </xf>
    <xf numFmtId="0" fontId="17" fillId="0" borderId="0" xfId="0" applyFont="1" applyAlignment="1">
      <alignment horizontal="center" vertical="center"/>
    </xf>
    <xf numFmtId="0" fontId="17" fillId="2" borderId="9" xfId="0" applyFont="1" applyFill="1" applyBorder="1">
      <alignment vertical="center"/>
    </xf>
    <xf numFmtId="2" fontId="17" fillId="2" borderId="10" xfId="0" applyNumberFormat="1" applyFont="1" applyFill="1" applyBorder="1" applyAlignment="1">
      <alignment horizontal="right" vertical="center"/>
    </xf>
    <xf numFmtId="2" fontId="17" fillId="0" borderId="0" xfId="0" applyNumberFormat="1" applyFont="1" applyAlignment="1">
      <alignment horizontal="center" vertical="center"/>
    </xf>
    <xf numFmtId="0" fontId="17" fillId="2" borderId="11" xfId="0" applyFont="1" applyFill="1" applyBorder="1">
      <alignment vertical="center"/>
    </xf>
    <xf numFmtId="2" fontId="17" fillId="2" borderId="12" xfId="0" applyNumberFormat="1" applyFont="1" applyFill="1" applyBorder="1" applyAlignment="1">
      <alignment horizontal="right" vertical="center"/>
    </xf>
    <xf numFmtId="1" fontId="17" fillId="2" borderId="12" xfId="0" applyNumberFormat="1" applyFont="1" applyFill="1" applyBorder="1" applyAlignment="1">
      <alignment horizontal="right" vertical="center"/>
    </xf>
    <xf numFmtId="0" fontId="17" fillId="2" borderId="13" xfId="0" applyFont="1" applyFill="1" applyBorder="1">
      <alignment vertical="center"/>
    </xf>
    <xf numFmtId="9" fontId="17" fillId="2" borderId="14" xfId="1" applyFont="1" applyFill="1" applyBorder="1" applyAlignment="1">
      <alignment horizontal="right" vertical="center"/>
    </xf>
    <xf numFmtId="9" fontId="17" fillId="0" borderId="0" xfId="1" applyFont="1" applyBorder="1" applyAlignment="1">
      <alignment horizontal="center" vertical="center"/>
    </xf>
    <xf numFmtId="0" fontId="17" fillId="2" borderId="3" xfId="0" applyFont="1" applyFill="1" applyBorder="1">
      <alignment vertical="center"/>
    </xf>
    <xf numFmtId="9" fontId="17" fillId="2" borderId="3" xfId="1" applyFont="1" applyFill="1" applyBorder="1" applyAlignment="1">
      <alignment horizontal="right" vertical="center"/>
    </xf>
    <xf numFmtId="1" fontId="17" fillId="2" borderId="10" xfId="0" applyNumberFormat="1" applyFont="1" applyFill="1" applyBorder="1" applyAlignment="1">
      <alignment horizontal="right" vertical="center"/>
    </xf>
    <xf numFmtId="176" fontId="17" fillId="2" borderId="3" xfId="1" applyNumberFormat="1" applyFont="1" applyFill="1" applyBorder="1" applyAlignment="1">
      <alignment horizontal="right" vertical="center"/>
    </xf>
    <xf numFmtId="9" fontId="17" fillId="2" borderId="3" xfId="1" applyNumberFormat="1" applyFont="1" applyFill="1" applyBorder="1" applyAlignment="1">
      <alignment horizontal="right" vertical="center"/>
    </xf>
    <xf numFmtId="177" fontId="17" fillId="0" borderId="0" xfId="0" applyNumberFormat="1" applyFont="1">
      <alignment vertical="center"/>
    </xf>
    <xf numFmtId="0" fontId="17" fillId="0" borderId="15" xfId="0" applyFont="1" applyBorder="1">
      <alignment vertical="center"/>
    </xf>
    <xf numFmtId="2" fontId="17" fillId="9" borderId="16" xfId="0" applyNumberFormat="1" applyFont="1" applyFill="1" applyBorder="1" applyAlignment="1">
      <alignment horizontal="right" vertical="center"/>
    </xf>
    <xf numFmtId="0" fontId="17" fillId="0" borderId="11" xfId="0" applyFont="1" applyBorder="1">
      <alignment vertical="center"/>
    </xf>
    <xf numFmtId="9" fontId="17" fillId="0" borderId="12" xfId="1" applyFont="1" applyBorder="1" applyAlignment="1">
      <alignment horizontal="right" vertical="center"/>
    </xf>
    <xf numFmtId="0" fontId="17" fillId="0" borderId="17" xfId="0" applyFont="1" applyBorder="1">
      <alignment vertical="center"/>
    </xf>
    <xf numFmtId="1" fontId="17" fillId="0" borderId="12" xfId="0" applyNumberFormat="1" applyFont="1" applyBorder="1" applyAlignment="1">
      <alignment horizontal="right" vertical="center"/>
    </xf>
    <xf numFmtId="0" fontId="17" fillId="0" borderId="9" xfId="0" applyFont="1" applyBorder="1">
      <alignment vertical="center"/>
    </xf>
    <xf numFmtId="2" fontId="17" fillId="0" borderId="10" xfId="0" applyNumberFormat="1" applyFont="1" applyBorder="1" applyAlignment="1">
      <alignment horizontal="right" vertical="center"/>
    </xf>
    <xf numFmtId="2" fontId="17" fillId="0" borderId="12" xfId="0" applyNumberFormat="1" applyFont="1" applyBorder="1" applyAlignment="1">
      <alignment horizontal="right" vertical="center"/>
    </xf>
    <xf numFmtId="0" fontId="17" fillId="0" borderId="13" xfId="0" applyFont="1" applyBorder="1">
      <alignment vertical="center"/>
    </xf>
    <xf numFmtId="9" fontId="17" fillId="0" borderId="14" xfId="1" applyFont="1" applyBorder="1" applyAlignment="1">
      <alignment horizontal="right" vertical="center"/>
    </xf>
    <xf numFmtId="2" fontId="17" fillId="0" borderId="18" xfId="0" applyNumberFormat="1" applyFont="1" applyBorder="1" applyAlignment="1">
      <alignment horizontal="right" vertical="center"/>
    </xf>
    <xf numFmtId="9" fontId="17" fillId="0" borderId="3" xfId="1" applyFont="1" applyBorder="1" applyAlignment="1">
      <alignment horizontal="center" vertical="center"/>
    </xf>
    <xf numFmtId="0" fontId="17" fillId="0" borderId="3" xfId="0" applyFont="1" applyBorder="1">
      <alignment vertical="center"/>
    </xf>
    <xf numFmtId="9" fontId="17" fillId="0" borderId="7" xfId="1" applyFont="1" applyBorder="1" applyAlignment="1">
      <alignment horizontal="right" vertical="center"/>
    </xf>
    <xf numFmtId="177" fontId="17" fillId="0" borderId="3" xfId="0" applyNumberFormat="1" applyFont="1" applyBorder="1">
      <alignment vertical="center"/>
    </xf>
    <xf numFmtId="1" fontId="17" fillId="0" borderId="19" xfId="0" applyNumberFormat="1" applyFont="1" applyBorder="1" applyAlignment="1">
      <alignment horizontal="right" vertical="center"/>
    </xf>
    <xf numFmtId="9" fontId="17" fillId="0" borderId="20" xfId="1" applyFont="1" applyBorder="1" applyAlignment="1">
      <alignment horizontal="right" vertical="center"/>
    </xf>
    <xf numFmtId="2" fontId="17" fillId="0" borderId="0" xfId="0" applyNumberFormat="1" applyFont="1" applyAlignment="1">
      <alignment horizontal="right" vertical="center"/>
    </xf>
    <xf numFmtId="0" fontId="17" fillId="2" borderId="3" xfId="0" applyFont="1" applyFill="1" applyBorder="1" applyAlignment="1">
      <alignment horizontal="right" vertical="center"/>
    </xf>
    <xf numFmtId="0" fontId="17" fillId="2" borderId="3" xfId="0" applyFont="1" applyFill="1" applyBorder="1" applyAlignment="1">
      <alignment horizontal="center" vertical="center"/>
    </xf>
    <xf numFmtId="178" fontId="17" fillId="2" borderId="3" xfId="0" applyNumberFormat="1" applyFont="1" applyFill="1" applyBorder="1">
      <alignment vertical="center"/>
    </xf>
    <xf numFmtId="2" fontId="17" fillId="2" borderId="3" xfId="0" applyNumberFormat="1" applyFont="1" applyFill="1" applyBorder="1">
      <alignment vertical="center"/>
    </xf>
    <xf numFmtId="2" fontId="17" fillId="2" borderId="4" xfId="0" applyNumberFormat="1" applyFont="1" applyFill="1" applyBorder="1">
      <alignment vertical="center"/>
    </xf>
    <xf numFmtId="2" fontId="17" fillId="2" borderId="7" xfId="0" applyNumberFormat="1" applyFont="1" applyFill="1" applyBorder="1">
      <alignment vertical="center"/>
    </xf>
    <xf numFmtId="2" fontId="17" fillId="0" borderId="3" xfId="0" applyNumberFormat="1" applyFont="1" applyBorder="1">
      <alignment vertical="center"/>
    </xf>
    <xf numFmtId="0" fontId="17" fillId="0" borderId="3" xfId="0" applyFont="1" applyBorder="1" applyAlignment="1">
      <alignment horizontal="center" vertical="center"/>
    </xf>
    <xf numFmtId="2" fontId="17" fillId="0" borderId="7" xfId="0" applyNumberFormat="1" applyFont="1" applyBorder="1">
      <alignment vertical="center"/>
    </xf>
    <xf numFmtId="2" fontId="17" fillId="0" borderId="5" xfId="0" applyNumberFormat="1" applyFont="1" applyBorder="1">
      <alignment vertical="center"/>
    </xf>
    <xf numFmtId="0" fontId="21" fillId="0" borderId="3" xfId="0" applyFont="1" applyBorder="1" applyAlignment="1">
      <alignment horizontal="center" vertical="center"/>
    </xf>
    <xf numFmtId="0" fontId="21" fillId="0" borderId="3" xfId="0" applyFont="1" applyBorder="1">
      <alignment vertical="center"/>
    </xf>
    <xf numFmtId="2" fontId="21" fillId="0" borderId="3" xfId="0" applyNumberFormat="1" applyFont="1" applyBorder="1">
      <alignment vertical="center"/>
    </xf>
    <xf numFmtId="177" fontId="21" fillId="0" borderId="3" xfId="0" applyNumberFormat="1" applyFont="1" applyBorder="1">
      <alignment vertical="center"/>
    </xf>
    <xf numFmtId="2" fontId="17" fillId="6" borderId="12" xfId="0" applyNumberFormat="1" applyFont="1" applyFill="1" applyBorder="1" applyAlignment="1">
      <alignment horizontal="right" vertical="center"/>
    </xf>
    <xf numFmtId="9" fontId="17" fillId="0" borderId="22" xfId="1" applyFont="1" applyBorder="1" applyAlignment="1">
      <alignment horizontal="right" vertical="center"/>
    </xf>
    <xf numFmtId="2" fontId="17" fillId="6" borderId="3" xfId="0" applyNumberFormat="1" applyFont="1" applyFill="1" applyBorder="1">
      <alignment vertical="center"/>
    </xf>
    <xf numFmtId="0" fontId="17" fillId="6" borderId="0" xfId="0" applyFont="1" applyFill="1">
      <alignment vertical="center"/>
    </xf>
    <xf numFmtId="0" fontId="14" fillId="11" borderId="7" xfId="0" applyFont="1" applyFill="1" applyBorder="1">
      <alignment vertical="center"/>
    </xf>
    <xf numFmtId="0" fontId="14" fillId="11" borderId="8" xfId="0" applyFont="1" applyFill="1" applyBorder="1">
      <alignment vertical="center"/>
    </xf>
    <xf numFmtId="0" fontId="14" fillId="12" borderId="3" xfId="0" applyFont="1" applyFill="1" applyBorder="1" applyAlignment="1">
      <alignment horizontal="center" vertical="center"/>
    </xf>
    <xf numFmtId="179" fontId="14" fillId="12" borderId="3" xfId="1" applyNumberFormat="1" applyFont="1" applyFill="1" applyBorder="1" applyAlignment="1">
      <alignment horizontal="center" vertical="center"/>
    </xf>
    <xf numFmtId="9" fontId="14" fillId="0" borderId="3" xfId="0" applyNumberFormat="1" applyFont="1" applyBorder="1" applyAlignment="1">
      <alignment horizontal="center" vertical="center"/>
    </xf>
    <xf numFmtId="9" fontId="14" fillId="0" borderId="4" xfId="0" applyNumberFormat="1" applyFont="1" applyBorder="1" applyAlignment="1">
      <alignment horizontal="center" vertical="center"/>
    </xf>
    <xf numFmtId="0" fontId="14" fillId="0" borderId="3" xfId="0" applyFont="1" applyBorder="1" applyAlignment="1">
      <alignment horizontal="left" vertical="center"/>
    </xf>
    <xf numFmtId="2" fontId="14" fillId="0" borderId="3" xfId="0" applyNumberFormat="1" applyFont="1" applyBorder="1">
      <alignment vertical="center"/>
    </xf>
    <xf numFmtId="180" fontId="14" fillId="0" borderId="3" xfId="0" applyNumberFormat="1" applyFont="1" applyBorder="1">
      <alignment vertical="center"/>
    </xf>
    <xf numFmtId="2" fontId="11" fillId="0" borderId="3" xfId="0" applyNumberFormat="1" applyFont="1" applyFill="1" applyBorder="1">
      <alignment vertical="center"/>
    </xf>
    <xf numFmtId="2" fontId="11" fillId="0" borderId="3" xfId="0" applyNumberFormat="1" applyFont="1" applyBorder="1">
      <alignment vertical="center"/>
    </xf>
    <xf numFmtId="2" fontId="14" fillId="2" borderId="3" xfId="0" applyNumberFormat="1" applyFont="1" applyFill="1" applyBorder="1">
      <alignment vertical="center"/>
    </xf>
    <xf numFmtId="180" fontId="11" fillId="0" borderId="3" xfId="0" applyNumberFormat="1" applyFont="1" applyBorder="1">
      <alignment vertical="center"/>
    </xf>
    <xf numFmtId="181" fontId="14" fillId="0" borderId="3" xfId="0" applyNumberFormat="1" applyFont="1" applyBorder="1">
      <alignment vertical="center"/>
    </xf>
    <xf numFmtId="2" fontId="11" fillId="2" borderId="3" xfId="0" applyNumberFormat="1" applyFont="1" applyFill="1" applyBorder="1">
      <alignment vertical="center"/>
    </xf>
    <xf numFmtId="0" fontId="11" fillId="0" borderId="0" xfId="0" applyFont="1" applyAlignment="1">
      <alignment horizontal="left" vertical="center" indent="2"/>
    </xf>
    <xf numFmtId="2" fontId="11" fillId="0" borderId="0" xfId="0" applyNumberFormat="1" applyFont="1">
      <alignment vertical="center"/>
    </xf>
    <xf numFmtId="180" fontId="11" fillId="0" borderId="0" xfId="0" applyNumberFormat="1" applyFont="1">
      <alignment vertical="center"/>
    </xf>
    <xf numFmtId="0" fontId="11" fillId="0" borderId="3" xfId="0" applyFont="1" applyBorder="1">
      <alignment vertical="center"/>
    </xf>
    <xf numFmtId="0" fontId="11" fillId="0" borderId="3" xfId="0" applyFont="1" applyBorder="1" applyAlignment="1">
      <alignment horizontal="left" vertical="center" indent="1"/>
    </xf>
    <xf numFmtId="2" fontId="11" fillId="6" borderId="3" xfId="0" applyNumberFormat="1" applyFont="1" applyFill="1" applyBorder="1">
      <alignment vertical="center"/>
    </xf>
    <xf numFmtId="0" fontId="0" fillId="0" borderId="0" xfId="0" applyFill="1" applyAlignment="1">
      <alignment horizontal="center" vertical="center"/>
    </xf>
    <xf numFmtId="0" fontId="33" fillId="0" borderId="0" xfId="0" applyFont="1" applyFill="1" applyAlignment="1">
      <alignment horizontal="center" vertical="center"/>
    </xf>
    <xf numFmtId="0" fontId="3" fillId="0" borderId="0" xfId="0" applyFont="1" applyFill="1">
      <alignment vertical="center"/>
    </xf>
    <xf numFmtId="0" fontId="34" fillId="0" borderId="0" xfId="0" applyFont="1" applyFill="1">
      <alignment vertical="center"/>
    </xf>
    <xf numFmtId="0" fontId="35" fillId="0" borderId="0" xfId="0" applyFont="1" applyFill="1" applyAlignment="1">
      <alignment horizontal="center" vertical="center"/>
    </xf>
    <xf numFmtId="0" fontId="36" fillId="0" borderId="0" xfId="0" applyFont="1" applyFill="1" applyAlignment="1">
      <alignment horizontal="center" vertical="center"/>
    </xf>
    <xf numFmtId="0" fontId="37" fillId="0" borderId="0" xfId="0" applyFont="1" applyFill="1">
      <alignment vertical="center"/>
    </xf>
    <xf numFmtId="0" fontId="37" fillId="0" borderId="0" xfId="0" applyFont="1" applyFill="1" applyAlignment="1">
      <alignment horizontal="center" vertical="center"/>
    </xf>
    <xf numFmtId="0" fontId="38" fillId="0" borderId="0" xfId="0" applyFont="1" applyFill="1" applyAlignment="1">
      <alignment horizontal="center" vertical="center"/>
    </xf>
    <xf numFmtId="0" fontId="39" fillId="0" borderId="3" xfId="0" applyFont="1" applyFill="1" applyBorder="1" applyAlignment="1">
      <alignment horizontal="center" vertical="center"/>
    </xf>
    <xf numFmtId="0" fontId="39" fillId="0" borderId="21" xfId="0" applyFont="1" applyFill="1" applyBorder="1" applyAlignment="1">
      <alignment horizontal="center" vertical="center"/>
    </xf>
    <xf numFmtId="0" fontId="40" fillId="0" borderId="3" xfId="0" applyFont="1" applyFill="1" applyBorder="1">
      <alignment vertical="center"/>
    </xf>
    <xf numFmtId="0" fontId="41" fillId="0" borderId="3" xfId="0" applyFont="1" applyFill="1" applyBorder="1" applyAlignment="1">
      <alignment horizontal="center"/>
    </xf>
    <xf numFmtId="0" fontId="41" fillId="0" borderId="3" xfId="0" applyFont="1" applyFill="1" applyBorder="1" applyAlignment="1"/>
    <xf numFmtId="0" fontId="41" fillId="0" borderId="3" xfId="0" applyFont="1" applyFill="1" applyBorder="1" applyAlignment="1">
      <alignment horizontal="center" vertical="center" wrapText="1"/>
    </xf>
    <xf numFmtId="0" fontId="41" fillId="0" borderId="3" xfId="0" applyFont="1" applyFill="1" applyBorder="1" applyAlignment="1">
      <alignment vertical="center" wrapText="1"/>
    </xf>
    <xf numFmtId="0" fontId="42" fillId="0" borderId="3" xfId="0" applyFont="1" applyFill="1" applyBorder="1" applyAlignment="1">
      <alignment horizontal="left" vertical="center" indent="2"/>
    </xf>
    <xf numFmtId="0" fontId="41" fillId="0" borderId="3" xfId="0" applyFont="1" applyFill="1" applyBorder="1" applyAlignment="1">
      <alignment wrapText="1"/>
    </xf>
    <xf numFmtId="0" fontId="34" fillId="0" borderId="3" xfId="0" applyFont="1" applyFill="1" applyBorder="1" applyAlignment="1">
      <alignment horizontal="left" vertical="center" indent="2"/>
    </xf>
    <xf numFmtId="9" fontId="41" fillId="0" borderId="3" xfId="0" applyNumberFormat="1" applyFont="1" applyFill="1" applyBorder="1" applyAlignment="1">
      <alignment horizontal="center"/>
    </xf>
    <xf numFmtId="0" fontId="41" fillId="0" borderId="3" xfId="0" applyFont="1" applyFill="1" applyBorder="1" applyAlignment="1">
      <alignment horizontal="center" vertical="center"/>
    </xf>
    <xf numFmtId="0" fontId="43" fillId="0" borderId="3" xfId="0" applyFont="1" applyFill="1" applyBorder="1" applyAlignment="1">
      <alignment horizontal="center" vertical="center"/>
    </xf>
    <xf numFmtId="0" fontId="34" fillId="0" borderId="3" xfId="0" applyFont="1" applyFill="1" applyBorder="1" applyAlignment="1">
      <alignment vertical="center"/>
    </xf>
    <xf numFmtId="0" fontId="44" fillId="0" borderId="21" xfId="0" applyFont="1" applyFill="1" applyBorder="1" applyAlignment="1">
      <alignment horizontal="center" vertical="center"/>
    </xf>
    <xf numFmtId="0" fontId="44" fillId="0" borderId="3" xfId="0" applyFont="1" applyFill="1" applyBorder="1" applyAlignment="1">
      <alignment horizontal="center" vertical="center"/>
    </xf>
    <xf numFmtId="0" fontId="45" fillId="0" borderId="3" xfId="0" applyFont="1" applyFill="1" applyBorder="1" applyAlignment="1">
      <alignment horizontal="left" vertical="center" indent="2"/>
    </xf>
    <xf numFmtId="0" fontId="46" fillId="0" borderId="3" xfId="0" applyFont="1" applyFill="1" applyBorder="1" applyAlignment="1">
      <alignment horizontal="center"/>
    </xf>
    <xf numFmtId="0" fontId="46" fillId="0" borderId="3" xfId="0" applyFont="1" applyFill="1" applyBorder="1" applyAlignment="1">
      <alignment wrapText="1"/>
    </xf>
    <xf numFmtId="0" fontId="46" fillId="0" borderId="3" xfId="0" applyFont="1" applyFill="1" applyBorder="1" applyAlignment="1"/>
    <xf numFmtId="0" fontId="39" fillId="0" borderId="21" xfId="0" applyFont="1" applyFill="1" applyBorder="1" applyAlignment="1">
      <alignment horizontal="center" vertical="center" wrapText="1"/>
    </xf>
    <xf numFmtId="0" fontId="0" fillId="0" borderId="3" xfId="0" applyFill="1" applyBorder="1" applyAlignment="1">
      <alignment vertical="center" wrapText="1"/>
    </xf>
    <xf numFmtId="0" fontId="36" fillId="0" borderId="3" xfId="0" applyFont="1" applyFill="1" applyBorder="1" applyAlignment="1">
      <alignment horizontal="center" vertical="center"/>
    </xf>
    <xf numFmtId="0" fontId="0" fillId="0" borderId="3" xfId="0" applyFill="1" applyBorder="1" applyAlignment="1">
      <alignment horizontal="center" vertical="center"/>
    </xf>
    <xf numFmtId="0" fontId="0" fillId="0" borderId="3" xfId="0" applyFill="1" applyBorder="1">
      <alignment vertical="center"/>
    </xf>
    <xf numFmtId="9" fontId="36" fillId="0" borderId="3" xfId="0" applyNumberFormat="1" applyFont="1" applyFill="1" applyBorder="1" applyAlignment="1">
      <alignment horizontal="center" vertical="center"/>
    </xf>
    <xf numFmtId="0" fontId="47" fillId="0" borderId="3" xfId="0" applyFont="1" applyFill="1" applyBorder="1" applyAlignment="1">
      <alignment horizontal="center" vertical="center" wrapText="1"/>
    </xf>
    <xf numFmtId="0" fontId="3" fillId="0" borderId="3" xfId="0" applyFont="1" applyFill="1" applyBorder="1" applyAlignment="1">
      <alignment horizontal="center" vertical="center" wrapText="1"/>
    </xf>
    <xf numFmtId="0" fontId="48" fillId="0" borderId="3" xfId="0" applyFont="1" applyFill="1" applyBorder="1" applyAlignment="1">
      <alignment horizontal="left" vertical="center" indent="2"/>
    </xf>
    <xf numFmtId="0" fontId="49" fillId="0" borderId="3" xfId="0" applyFont="1" applyFill="1" applyBorder="1" applyAlignment="1">
      <alignment horizontal="center" vertical="center"/>
    </xf>
    <xf numFmtId="0" fontId="49" fillId="0" borderId="3" xfId="0" applyFont="1" applyFill="1" applyBorder="1" applyAlignment="1">
      <alignment vertical="center" wrapText="1"/>
    </xf>
    <xf numFmtId="0" fontId="50" fillId="0" borderId="3" xfId="0" applyFont="1" applyFill="1" applyBorder="1" applyAlignment="1">
      <alignment horizontal="center" vertical="center"/>
    </xf>
    <xf numFmtId="0" fontId="3" fillId="0" borderId="3" xfId="0" applyFont="1" applyFill="1" applyBorder="1" applyAlignment="1">
      <alignment horizontal="center" vertical="center"/>
    </xf>
    <xf numFmtId="0" fontId="3" fillId="0" borderId="3" xfId="0" applyFont="1" applyFill="1" applyBorder="1">
      <alignment vertical="center"/>
    </xf>
    <xf numFmtId="9" fontId="50" fillId="0" borderId="3" xfId="0" applyNumberFormat="1" applyFont="1" applyFill="1" applyBorder="1" applyAlignment="1">
      <alignment horizontal="center" vertical="center"/>
    </xf>
    <xf numFmtId="0" fontId="39" fillId="0" borderId="3" xfId="0" applyFont="1" applyFill="1" applyBorder="1">
      <alignment vertical="center"/>
    </xf>
    <xf numFmtId="0" fontId="41" fillId="0" borderId="4" xfId="0" applyFont="1" applyFill="1" applyBorder="1" applyAlignment="1">
      <alignment horizontal="center" vertical="center"/>
    </xf>
    <xf numFmtId="0" fontId="39" fillId="0" borderId="4" xfId="0" applyFont="1" applyFill="1" applyBorder="1" applyAlignment="1">
      <alignment horizontal="center" vertical="center" wrapText="1"/>
    </xf>
    <xf numFmtId="0" fontId="0" fillId="0" borderId="3" xfId="0" applyFont="1" applyFill="1" applyBorder="1" applyAlignment="1">
      <alignment horizontal="center" vertical="center" wrapText="1"/>
    </xf>
    <xf numFmtId="0" fontId="34" fillId="0" borderId="3" xfId="0" applyFont="1" applyFill="1" applyBorder="1" applyAlignment="1">
      <alignment horizontal="left" vertical="center" indent="4"/>
    </xf>
    <xf numFmtId="0" fontId="51" fillId="0" borderId="3" xfId="0" applyFont="1" applyFill="1" applyBorder="1" applyAlignment="1">
      <alignment horizontal="center" vertical="center"/>
    </xf>
    <xf numFmtId="176" fontId="51" fillId="0" borderId="3" xfId="0" applyNumberFormat="1" applyFont="1" applyFill="1" applyBorder="1" applyAlignment="1">
      <alignment horizontal="center" vertical="center"/>
    </xf>
    <xf numFmtId="177" fontId="0" fillId="0" borderId="3" xfId="0" applyNumberFormat="1" applyFill="1" applyBorder="1" applyAlignment="1">
      <alignment vertical="center" wrapText="1"/>
    </xf>
    <xf numFmtId="177" fontId="51" fillId="0" borderId="3" xfId="0" applyNumberFormat="1" applyFont="1" applyFill="1" applyBorder="1" applyAlignment="1">
      <alignment horizontal="center" vertical="center"/>
    </xf>
    <xf numFmtId="2" fontId="36" fillId="0" borderId="3" xfId="0" applyNumberFormat="1" applyFont="1" applyFill="1" applyBorder="1" applyAlignment="1">
      <alignment horizontal="center" vertical="center"/>
    </xf>
    <xf numFmtId="0" fontId="47" fillId="8" borderId="3" xfId="0" applyFont="1" applyFill="1" applyBorder="1" applyAlignment="1">
      <alignment horizontal="center" vertical="center" wrapText="1"/>
    </xf>
    <xf numFmtId="0" fontId="40" fillId="8" borderId="3" xfId="0" applyFont="1" applyFill="1" applyBorder="1" applyAlignment="1">
      <alignment vertical="center"/>
    </xf>
    <xf numFmtId="0" fontId="41" fillId="8" borderId="3" xfId="0" applyFont="1" applyFill="1" applyBorder="1" applyAlignment="1">
      <alignment horizontal="center" vertical="center"/>
    </xf>
    <xf numFmtId="0" fontId="0" fillId="8" borderId="3" xfId="0" applyFill="1" applyBorder="1" applyAlignment="1">
      <alignment vertical="center" wrapText="1"/>
    </xf>
    <xf numFmtId="2" fontId="50" fillId="8" borderId="3" xfId="0" applyNumberFormat="1" applyFont="1" applyFill="1" applyBorder="1" applyAlignment="1">
      <alignment horizontal="center" vertical="center"/>
    </xf>
    <xf numFmtId="0" fontId="0" fillId="8" borderId="3" xfId="0" applyFill="1" applyBorder="1" applyAlignment="1">
      <alignment horizontal="center" vertical="center"/>
    </xf>
    <xf numFmtId="0" fontId="0" fillId="8" borderId="3" xfId="0" applyFill="1" applyBorder="1">
      <alignment vertical="center"/>
    </xf>
    <xf numFmtId="0" fontId="47" fillId="0" borderId="3" xfId="0" applyFont="1" applyFill="1" applyBorder="1" applyAlignment="1">
      <alignment horizontal="center" vertical="center"/>
    </xf>
    <xf numFmtId="10" fontId="36" fillId="0" borderId="3" xfId="0" applyNumberFormat="1" applyFont="1" applyFill="1" applyBorder="1" applyAlignment="1">
      <alignment horizontal="center" vertical="center"/>
    </xf>
    <xf numFmtId="182" fontId="36" fillId="0" borderId="3" xfId="0" applyNumberFormat="1" applyFont="1" applyFill="1" applyBorder="1" applyAlignment="1">
      <alignment horizontal="center" vertical="center"/>
    </xf>
    <xf numFmtId="0" fontId="0" fillId="0" borderId="3" xfId="0" applyFont="1" applyFill="1" applyBorder="1" applyAlignment="1">
      <alignment horizontal="center" vertical="center"/>
    </xf>
    <xf numFmtId="177" fontId="36" fillId="0" borderId="3" xfId="0" applyNumberFormat="1" applyFont="1" applyFill="1" applyBorder="1" applyAlignment="1">
      <alignment horizontal="center" vertical="center"/>
    </xf>
    <xf numFmtId="0" fontId="0" fillId="0" borderId="3" xfId="0" applyFill="1" applyBorder="1" applyAlignment="1">
      <alignment horizontal="center" vertical="center" wrapText="1"/>
    </xf>
    <xf numFmtId="0" fontId="34" fillId="0" borderId="3" xfId="0" applyFont="1" applyFill="1" applyBorder="1" applyAlignment="1">
      <alignment horizontal="left" vertical="center" indent="3"/>
    </xf>
    <xf numFmtId="0" fontId="41" fillId="6" borderId="3" xfId="0" applyFont="1" applyFill="1" applyBorder="1" applyAlignment="1">
      <alignment horizontal="center" vertical="center"/>
    </xf>
    <xf numFmtId="0" fontId="0" fillId="0" borderId="4" xfId="0" applyFill="1" applyBorder="1" applyAlignment="1">
      <alignment vertical="center" wrapText="1"/>
    </xf>
    <xf numFmtId="0" fontId="0" fillId="0" borderId="4" xfId="0" applyFill="1" applyBorder="1" applyAlignment="1">
      <alignment horizontal="center" vertical="center" wrapText="1"/>
    </xf>
    <xf numFmtId="183" fontId="36" fillId="0" borderId="3" xfId="0" applyNumberFormat="1" applyFont="1" applyFill="1" applyBorder="1" applyAlignment="1">
      <alignment horizontal="center" vertical="center"/>
    </xf>
    <xf numFmtId="0" fontId="47" fillId="0" borderId="4" xfId="0" applyFont="1" applyFill="1" applyBorder="1" applyAlignment="1">
      <alignment horizontal="center" vertical="center" wrapText="1"/>
    </xf>
    <xf numFmtId="0" fontId="41" fillId="0" borderId="3" xfId="0" applyFont="1" applyFill="1" applyBorder="1" applyAlignment="1">
      <alignment horizontal="left" vertical="center" indent="2"/>
    </xf>
    <xf numFmtId="0" fontId="41" fillId="0" borderId="5" xfId="0" applyFont="1" applyFill="1" applyBorder="1" applyAlignment="1">
      <alignment horizontal="center" vertical="center" wrapText="1"/>
    </xf>
    <xf numFmtId="0" fontId="41" fillId="0" borderId="5" xfId="0" applyFont="1" applyFill="1" applyBorder="1" applyAlignment="1">
      <alignment horizontal="center" vertical="center"/>
    </xf>
    <xf numFmtId="0" fontId="0" fillId="0" borderId="5" xfId="0" applyFill="1" applyBorder="1" applyAlignment="1">
      <alignment horizontal="center" vertical="center" wrapText="1"/>
    </xf>
    <xf numFmtId="0" fontId="0" fillId="6" borderId="3" xfId="0" applyFill="1" applyBorder="1" applyAlignment="1">
      <alignment horizontal="center" vertical="center"/>
    </xf>
    <xf numFmtId="0" fontId="52" fillId="8" borderId="3" xfId="0" applyFont="1" applyFill="1" applyBorder="1" applyAlignment="1">
      <alignment horizontal="left" vertical="center" indent="2"/>
    </xf>
    <xf numFmtId="0" fontId="49" fillId="8" borderId="3" xfId="0" applyFont="1" applyFill="1" applyBorder="1" applyAlignment="1">
      <alignment horizontal="center" vertical="center"/>
    </xf>
    <xf numFmtId="0" fontId="49" fillId="8" borderId="3" xfId="0" applyFont="1" applyFill="1" applyBorder="1" applyAlignment="1">
      <alignment vertical="center" wrapText="1"/>
    </xf>
    <xf numFmtId="177" fontId="50" fillId="8" borderId="3" xfId="0" applyNumberFormat="1" applyFont="1" applyFill="1" applyBorder="1" applyAlignment="1">
      <alignment horizontal="center" vertical="center"/>
    </xf>
    <xf numFmtId="0" fontId="3" fillId="8" borderId="3" xfId="0" applyFont="1" applyFill="1" applyBorder="1" applyAlignment="1">
      <alignment horizontal="center" vertical="center"/>
    </xf>
    <xf numFmtId="0" fontId="42" fillId="8" borderId="3" xfId="0" applyFont="1" applyFill="1" applyBorder="1" applyAlignment="1">
      <alignment horizontal="left" vertical="center" indent="2"/>
    </xf>
    <xf numFmtId="0" fontId="42" fillId="8" borderId="3" xfId="0" applyFont="1" applyFill="1" applyBorder="1" applyAlignment="1">
      <alignment vertical="center"/>
    </xf>
    <xf numFmtId="0" fontId="48" fillId="8" borderId="3" xfId="0" applyFont="1" applyFill="1" applyBorder="1" applyAlignment="1">
      <alignment horizontal="left" vertical="center" indent="2"/>
    </xf>
    <xf numFmtId="176" fontId="50" fillId="8" borderId="3" xfId="0" applyNumberFormat="1" applyFont="1" applyFill="1" applyBorder="1" applyAlignment="1">
      <alignment horizontal="center" vertical="center"/>
    </xf>
    <xf numFmtId="9" fontId="0" fillId="0" borderId="3" xfId="0" applyNumberFormat="1" applyFill="1" applyBorder="1" applyAlignment="1">
      <alignment horizontal="center" vertical="center" wrapText="1"/>
    </xf>
    <xf numFmtId="0" fontId="40" fillId="0" borderId="3" xfId="0" applyFont="1" applyFill="1" applyBorder="1" applyAlignment="1">
      <alignment horizontal="left" vertical="center" indent="2"/>
    </xf>
    <xf numFmtId="49" fontId="0" fillId="0" borderId="3" xfId="0" applyNumberFormat="1" applyFont="1" applyFill="1" applyBorder="1" applyAlignment="1">
      <alignment horizontal="center" vertical="center" wrapText="1"/>
    </xf>
    <xf numFmtId="0" fontId="41" fillId="0" borderId="3" xfId="0" applyFont="1" applyFill="1" applyBorder="1">
      <alignment vertical="center"/>
    </xf>
    <xf numFmtId="0" fontId="34" fillId="0" borderId="3" xfId="0" applyFont="1" applyFill="1" applyBorder="1" applyAlignment="1">
      <alignment horizontal="left" vertical="center" indent="5"/>
    </xf>
    <xf numFmtId="0" fontId="34" fillId="0" borderId="3" xfId="0" applyFont="1" applyFill="1" applyBorder="1" applyAlignment="1">
      <alignment horizontal="center" vertical="center"/>
    </xf>
    <xf numFmtId="9" fontId="41" fillId="0" borderId="3" xfId="0" applyNumberFormat="1" applyFont="1" applyFill="1" applyBorder="1" applyAlignment="1">
      <alignment horizontal="left" vertical="center" wrapText="1"/>
    </xf>
    <xf numFmtId="0" fontId="39" fillId="0" borderId="0" xfId="0" applyFont="1" applyFill="1" applyAlignment="1">
      <alignment horizontal="center" vertical="center" wrapText="1"/>
    </xf>
    <xf numFmtId="0" fontId="34" fillId="0" borderId="0" xfId="0" applyFont="1" applyFill="1" applyAlignment="1">
      <alignment horizontal="left" vertical="center" indent="2"/>
    </xf>
    <xf numFmtId="0" fontId="34" fillId="0" borderId="0" xfId="0" applyFont="1" applyFill="1" applyAlignment="1">
      <alignment horizontal="center" vertical="center"/>
    </xf>
    <xf numFmtId="0" fontId="42" fillId="0" borderId="0" xfId="0" applyFont="1" applyFill="1" applyAlignment="1">
      <alignment horizontal="center" vertical="center"/>
    </xf>
    <xf numFmtId="0" fontId="34" fillId="0" borderId="3" xfId="0" applyFont="1" applyFill="1" applyBorder="1">
      <alignment vertical="center"/>
    </xf>
    <xf numFmtId="9" fontId="34" fillId="0" borderId="3" xfId="0" applyNumberFormat="1" applyFont="1" applyFill="1" applyBorder="1" applyAlignment="1">
      <alignment horizontal="center" vertical="center"/>
    </xf>
    <xf numFmtId="0" fontId="53" fillId="0" borderId="0" xfId="0" applyFont="1" applyFill="1">
      <alignment vertical="center"/>
    </xf>
    <xf numFmtId="0" fontId="21" fillId="3" borderId="3" xfId="0" applyFont="1" applyFill="1" applyBorder="1" applyAlignment="1">
      <alignment horizontal="center" vertical="center"/>
    </xf>
    <xf numFmtId="0" fontId="21" fillId="0" borderId="3" xfId="0" applyFont="1" applyBorder="1" applyAlignment="1">
      <alignment horizontal="center" vertical="center" wrapText="1"/>
    </xf>
    <xf numFmtId="9" fontId="21" fillId="0" borderId="3" xfId="0" applyNumberFormat="1" applyFont="1" applyBorder="1" applyAlignment="1">
      <alignment horizontal="center" vertical="center"/>
    </xf>
    <xf numFmtId="0" fontId="21" fillId="6" borderId="3" xfId="0" applyFont="1" applyFill="1" applyBorder="1" applyAlignment="1">
      <alignment horizontal="center" vertical="center"/>
    </xf>
    <xf numFmtId="2" fontId="21" fillId="6" borderId="3" xfId="0" applyNumberFormat="1" applyFont="1" applyFill="1" applyBorder="1">
      <alignment vertical="center"/>
    </xf>
    <xf numFmtId="0" fontId="17" fillId="0" borderId="0" xfId="0" applyFont="1" applyAlignment="1">
      <alignment vertical="center" wrapText="1"/>
    </xf>
    <xf numFmtId="0" fontId="17" fillId="13" borderId="0" xfId="0" applyFont="1" applyFill="1">
      <alignment vertical="center"/>
    </xf>
    <xf numFmtId="0" fontId="17" fillId="14" borderId="0" xfId="0" applyFont="1" applyFill="1">
      <alignment vertical="center"/>
    </xf>
    <xf numFmtId="0" fontId="17" fillId="15" borderId="0" xfId="0" applyFont="1" applyFill="1">
      <alignment vertical="center"/>
    </xf>
    <xf numFmtId="0" fontId="17" fillId="16" borderId="0" xfId="0" applyFont="1" applyFill="1">
      <alignment vertical="center"/>
    </xf>
    <xf numFmtId="0" fontId="39" fillId="0" borderId="21" xfId="0" applyFont="1" applyFill="1" applyBorder="1" applyAlignment="1">
      <alignment horizontal="center" vertical="center"/>
    </xf>
    <xf numFmtId="184" fontId="41" fillId="0" borderId="3" xfId="0" applyNumberFormat="1" applyFont="1" applyFill="1" applyBorder="1" applyAlignment="1">
      <alignment horizontal="center" vertical="center"/>
    </xf>
    <xf numFmtId="0" fontId="26" fillId="10" borderId="4" xfId="0" applyFont="1" applyFill="1" applyBorder="1" applyAlignment="1">
      <alignment horizontal="center" vertical="center" wrapText="1"/>
    </xf>
    <xf numFmtId="0" fontId="26" fillId="10" borderId="21" xfId="0" applyFont="1" applyFill="1" applyBorder="1" applyAlignment="1">
      <alignment horizontal="center" vertical="center" wrapText="1"/>
    </xf>
    <xf numFmtId="0" fontId="26" fillId="10" borderId="5" xfId="0" applyFont="1" applyFill="1" applyBorder="1" applyAlignment="1">
      <alignment horizontal="center" vertical="center" wrapText="1"/>
    </xf>
    <xf numFmtId="0" fontId="39" fillId="0" borderId="3" xfId="0" applyFont="1" applyFill="1" applyBorder="1" applyAlignment="1">
      <alignment horizontal="center" vertical="center" wrapText="1"/>
    </xf>
    <xf numFmtId="0" fontId="40" fillId="0" borderId="3" xfId="0" applyFont="1" applyFill="1" applyBorder="1" applyAlignment="1">
      <alignment horizontal="center" vertical="center"/>
    </xf>
    <xf numFmtId="0" fontId="41" fillId="0" borderId="4" xfId="0" applyFont="1" applyFill="1" applyBorder="1" applyAlignment="1">
      <alignment horizontal="center" vertical="center" wrapText="1"/>
    </xf>
    <xf numFmtId="0" fontId="41" fillId="0" borderId="21" xfId="0" applyFont="1" applyFill="1" applyBorder="1" applyAlignment="1">
      <alignment horizontal="center" vertical="center" wrapText="1"/>
    </xf>
    <xf numFmtId="0" fontId="41" fillId="0" borderId="5" xfId="0" applyFont="1" applyFill="1" applyBorder="1" applyAlignment="1">
      <alignment horizontal="center" vertical="center" wrapText="1"/>
    </xf>
    <xf numFmtId="0" fontId="39" fillId="0" borderId="21" xfId="0" applyFont="1" applyFill="1" applyBorder="1" applyAlignment="1">
      <alignment horizontal="center" vertical="center" wrapText="1"/>
    </xf>
    <xf numFmtId="0" fontId="39" fillId="0" borderId="5" xfId="0" applyFont="1" applyFill="1" applyBorder="1" applyAlignment="1">
      <alignment horizontal="center" vertical="center" wrapText="1"/>
    </xf>
    <xf numFmtId="0" fontId="43" fillId="0" borderId="21" xfId="0" applyFont="1" applyFill="1" applyBorder="1" applyAlignment="1">
      <alignment horizontal="center" vertical="center" wrapText="1"/>
    </xf>
    <xf numFmtId="0" fontId="43" fillId="0" borderId="5" xfId="0" applyFont="1" applyFill="1" applyBorder="1" applyAlignment="1">
      <alignment horizontal="center" vertical="center" wrapText="1"/>
    </xf>
    <xf numFmtId="0" fontId="39" fillId="0" borderId="4" xfId="0" applyFont="1" applyFill="1" applyBorder="1" applyAlignment="1">
      <alignment horizontal="center" vertical="center" wrapText="1"/>
    </xf>
    <xf numFmtId="0" fontId="39" fillId="0" borderId="21" xfId="0" applyFont="1" applyFill="1" applyBorder="1" applyAlignment="1">
      <alignment horizontal="center" vertical="center"/>
    </xf>
    <xf numFmtId="0" fontId="39" fillId="8" borderId="21" xfId="0" applyFont="1" applyFill="1" applyBorder="1" applyAlignment="1">
      <alignment horizontal="center" vertical="center"/>
    </xf>
    <xf numFmtId="0" fontId="14" fillId="11" borderId="3" xfId="0" applyFont="1" applyFill="1" applyBorder="1" applyAlignment="1">
      <alignment horizontal="left" vertical="center" indent="1"/>
    </xf>
    <xf numFmtId="0" fontId="14" fillId="4" borderId="3" xfId="0" applyFont="1" applyFill="1" applyBorder="1" applyAlignment="1">
      <alignment horizontal="center" vertical="center"/>
    </xf>
    <xf numFmtId="0" fontId="14" fillId="5" borderId="3" xfId="0" applyFont="1" applyFill="1" applyBorder="1" applyAlignment="1">
      <alignment horizontal="center" vertical="center"/>
    </xf>
    <xf numFmtId="0" fontId="32" fillId="12" borderId="3" xfId="0" applyFont="1" applyFill="1" applyBorder="1" applyAlignment="1">
      <alignment horizontal="center" vertical="center"/>
    </xf>
    <xf numFmtId="0" fontId="14" fillId="12" borderId="4" xfId="0" applyFont="1" applyFill="1" applyBorder="1" applyAlignment="1">
      <alignment horizontal="center" vertical="center"/>
    </xf>
    <xf numFmtId="0" fontId="14" fillId="12" borderId="21" xfId="0" applyFont="1" applyFill="1" applyBorder="1" applyAlignment="1">
      <alignment horizontal="center" vertical="center"/>
    </xf>
    <xf numFmtId="0" fontId="14" fillId="12" borderId="5" xfId="0" applyFont="1" applyFill="1" applyBorder="1" applyAlignment="1">
      <alignment horizontal="center" vertical="center"/>
    </xf>
    <xf numFmtId="0" fontId="21" fillId="10" borderId="4" xfId="0" applyFont="1" applyFill="1" applyBorder="1" applyAlignment="1">
      <alignment horizontal="center" vertical="center"/>
    </xf>
    <xf numFmtId="0" fontId="21" fillId="10" borderId="5" xfId="0" applyFont="1" applyFill="1" applyBorder="1" applyAlignment="1">
      <alignment horizontal="center" vertical="center"/>
    </xf>
    <xf numFmtId="0" fontId="17" fillId="2" borderId="21" xfId="0" applyFont="1" applyFill="1" applyBorder="1" applyAlignment="1">
      <alignment horizontal="center" vertical="center"/>
    </xf>
    <xf numFmtId="0" fontId="17" fillId="0" borderId="4" xfId="0" applyFont="1" applyBorder="1" applyAlignment="1">
      <alignment horizontal="center" vertical="center"/>
    </xf>
    <xf numFmtId="0" fontId="17" fillId="0" borderId="21" xfId="0" applyFont="1" applyBorder="1" applyAlignment="1">
      <alignment horizontal="center" vertical="center"/>
    </xf>
    <xf numFmtId="0" fontId="17" fillId="0" borderId="5" xfId="0" applyFont="1" applyBorder="1" applyAlignment="1">
      <alignment horizontal="center" vertical="center"/>
    </xf>
    <xf numFmtId="0" fontId="17" fillId="0" borderId="3" xfId="0" applyFont="1" applyBorder="1" applyAlignment="1">
      <alignment horizontal="center" vertical="center"/>
    </xf>
    <xf numFmtId="0" fontId="17" fillId="2" borderId="4" xfId="0" applyFont="1" applyFill="1" applyBorder="1" applyAlignment="1">
      <alignment horizontal="center" vertical="center"/>
    </xf>
    <xf numFmtId="0" fontId="17" fillId="2" borderId="5" xfId="0" applyFont="1" applyFill="1" applyBorder="1" applyAlignment="1">
      <alignment horizontal="center" vertical="center"/>
    </xf>
    <xf numFmtId="0" fontId="15" fillId="5" borderId="3" xfId="0" applyFont="1" applyFill="1" applyBorder="1" applyAlignment="1">
      <alignment horizontal="center" vertical="center"/>
    </xf>
    <xf numFmtId="0" fontId="14" fillId="3" borderId="4" xfId="0" applyFont="1" applyFill="1" applyBorder="1" applyAlignment="1">
      <alignment horizontal="center" vertical="center"/>
    </xf>
    <xf numFmtId="0" fontId="14" fillId="3" borderId="5" xfId="0" applyFont="1" applyFill="1" applyBorder="1" applyAlignment="1">
      <alignment horizontal="center" vertical="center"/>
    </xf>
    <xf numFmtId="0" fontId="14" fillId="7" borderId="3" xfId="0" applyFont="1" applyFill="1" applyBorder="1" applyAlignment="1">
      <alignment horizontal="center" vertical="center"/>
    </xf>
    <xf numFmtId="0" fontId="14" fillId="7" borderId="4" xfId="0" applyFont="1" applyFill="1" applyBorder="1" applyAlignment="1">
      <alignment horizontal="center" vertical="center"/>
    </xf>
    <xf numFmtId="0" fontId="14" fillId="7" borderId="5" xfId="0" applyFont="1" applyFill="1" applyBorder="1" applyAlignment="1">
      <alignment horizontal="center" vertical="center"/>
    </xf>
    <xf numFmtId="0" fontId="14" fillId="0" borderId="3" xfId="0" applyFont="1" applyFill="1" applyBorder="1" applyAlignment="1">
      <alignment horizontal="center" vertical="center"/>
    </xf>
    <xf numFmtId="0" fontId="26" fillId="0" borderId="3" xfId="0" applyFont="1" applyFill="1" applyBorder="1" applyAlignment="1">
      <alignment horizontal="center" vertical="center"/>
    </xf>
    <xf numFmtId="0" fontId="14" fillId="0" borderId="4" xfId="0" applyFont="1" applyFill="1" applyBorder="1" applyAlignment="1">
      <alignment horizontal="center" vertical="center"/>
    </xf>
    <xf numFmtId="0" fontId="14" fillId="0" borderId="5" xfId="0" applyFont="1" applyFill="1" applyBorder="1" applyAlignment="1">
      <alignment horizontal="center" vertical="center"/>
    </xf>
    <xf numFmtId="0" fontId="11" fillId="0" borderId="0" xfId="0" applyFont="1" applyFill="1" applyAlignment="1">
      <alignment horizontal="center" vertical="center"/>
    </xf>
    <xf numFmtId="0" fontId="14" fillId="0" borderId="7" xfId="0" applyFont="1" applyFill="1" applyBorder="1" applyAlignment="1">
      <alignment horizontal="center" vertical="center"/>
    </xf>
    <xf numFmtId="0" fontId="14" fillId="0" borderId="8" xfId="0" applyFont="1" applyFill="1" applyBorder="1" applyAlignment="1">
      <alignment horizontal="center" vertical="center"/>
    </xf>
    <xf numFmtId="0" fontId="14" fillId="0" borderId="6" xfId="0" applyFont="1" applyFill="1" applyBorder="1" applyAlignment="1">
      <alignment horizontal="center" vertical="center"/>
    </xf>
    <xf numFmtId="0" fontId="15" fillId="0" borderId="3" xfId="0" applyFont="1" applyFill="1" applyBorder="1" applyAlignment="1">
      <alignment horizontal="center" vertical="center"/>
    </xf>
    <xf numFmtId="0" fontId="7" fillId="0" borderId="3" xfId="0" applyFont="1" applyFill="1" applyBorder="1" applyAlignment="1">
      <alignment horizontal="center" vertical="center"/>
    </xf>
    <xf numFmtId="0" fontId="7" fillId="0" borderId="4" xfId="0" applyFont="1" applyFill="1" applyBorder="1" applyAlignment="1">
      <alignment horizontal="center" vertical="center"/>
    </xf>
    <xf numFmtId="0" fontId="7" fillId="0" borderId="5" xfId="0" applyFont="1" applyFill="1" applyBorder="1" applyAlignment="1">
      <alignment horizontal="center" vertical="center"/>
    </xf>
    <xf numFmtId="0" fontId="3" fillId="0" borderId="0" xfId="0" applyFont="1" applyFill="1" applyAlignment="1">
      <alignment horizontal="center" vertical="center" wrapText="1"/>
    </xf>
  </cellXfs>
  <cellStyles count="2">
    <cellStyle name="百分比" xfId="1" builtinId="5"/>
    <cellStyle name="常规" xfId="0" builtinId="0"/>
  </cellStyles>
  <dxfs count="4">
    <dxf>
      <font>
        <b/>
        <i val="0"/>
        <color rgb="FFFF0000"/>
      </font>
    </dxf>
    <dxf>
      <numFmt numFmtId="176" formatCode="0_ "/>
    </dxf>
    <dxf>
      <numFmt numFmtId="176" formatCode="0_ "/>
    </dxf>
    <dxf>
      <numFmt numFmtId="176" formatCode="0_ "/>
    </dxf>
  </dxfs>
  <tableStyles count="0" defaultTableStyle="TableStyleMedium2" defaultPivotStyle="PivotStyleLight16"/>
  <colors>
    <mruColors>
      <color rgb="FFFFFFFF"/>
      <color rgb="FFFFFF00"/>
      <color rgb="FFFF0000"/>
      <color rgb="FF000000"/>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externalLink" Target="externalLinks/externalLink4.xml"/><Relationship Id="rId3" Type="http://schemas.openxmlformats.org/officeDocument/2006/relationships/worksheet" Target="worksheets/sheet3.xml"/><Relationship Id="rId21"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externalLink" Target="externalLinks/externalLink3.xml"/><Relationship Id="rId2" Type="http://schemas.openxmlformats.org/officeDocument/2006/relationships/worksheet" Target="worksheets/sheet2.xml"/><Relationship Id="rId16" Type="http://schemas.openxmlformats.org/officeDocument/2006/relationships/externalLink" Target="externalLinks/externalLink2.xml"/><Relationship Id="rId20"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externalLink" Target="externalLinks/externalLink1.xml"/><Relationship Id="rId10" Type="http://schemas.openxmlformats.org/officeDocument/2006/relationships/worksheet" Target="worksheets/sheet10.xml"/><Relationship Id="rId19"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calcChain" Target="calcChain.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PC-2-54\&#21513;&#26519;&#21326;&#24494;&#21457;&#34892;\WFW311\TEMP\GP\GP_Ph1\SBB-OIs\Hel-OIs.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25968;&#23383;&#21270;&#31995;&#32479;&#36130;&#21153;&#27169;&#22411;&#36793;&#30028;&#12304;&#20809;&#20648;&#12305;.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25968;&#23383;&#21270;&#31995;&#32479;&#36130;&#21153;&#27169;&#22411;&#36793;&#30028;&#12304;&#39118;&#20648;&#12305;.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25968;&#23383;&#21270;&#31995;&#32479;&#36130;&#21153;&#27169;&#22411;&#36793;&#30028;&#12304;&#20648;&#33021;&#12305;.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W-TEO"/>
      <sheetName val="Financ. Overview"/>
      <sheetName val="Toolbox"/>
      <sheetName val="eqpmad2"/>
      <sheetName val="Open"/>
      <sheetName val="计算稿"/>
      <sheetName val="POWER ASSUMPTIONS"/>
      <sheetName val="第一部分定价"/>
      <sheetName val="G.1R-Shou COP Gf"/>
      <sheetName val="表—08 分部分项工程量清单计价表"/>
      <sheetName val="网络合计"/>
      <sheetName val="BA "/>
      <sheetName val="Main"/>
      <sheetName val="汇总表"/>
      <sheetName val="2_1 Termine"/>
      <sheetName val="2_2 Termine"/>
      <sheetName val="4_1 Orga_"/>
      <sheetName val="3_3 Fabrikate_Küche"/>
      <sheetName val="4_2_1 Pers"/>
      <sheetName val="4_2_2 Pers"/>
      <sheetName val="5 Subs"/>
      <sheetName val="7 BE"/>
      <sheetName val="8 Ref_"/>
      <sheetName val="8 Bietererklärung"/>
      <sheetName val="1_4 Optionen"/>
      <sheetName val="1_5 EPs"/>
      <sheetName val="3_1 Fabrikate_Bau"/>
      <sheetName val="PLANT"/>
      <sheetName val="INSTRUMENT"/>
      <sheetName val="SpecITEM"/>
      <sheetName val="LINE_Sc"/>
      <sheetName val="MOTOR"/>
      <sheetName val="#REF!"/>
      <sheetName val="Macro1"/>
      <sheetName val="2008年试用版"/>
      <sheetName val="p2"/>
      <sheetName val="AD ST"/>
      <sheetName val="Headings"/>
      <sheetName val="改加胶玻璃、室外栏杆"/>
      <sheetName val="XLR_NoRangeSheet"/>
      <sheetName val="7"/>
      <sheetName val="3"/>
      <sheetName val="工程量"/>
      <sheetName val="裙房"/>
      <sheetName val="明细表"/>
      <sheetName val="21"/>
      <sheetName val="价格数据库"/>
      <sheetName val="99CCTV"/>
      <sheetName val="预算200326"/>
      <sheetName val="99PA"/>
      <sheetName val="General"/>
      <sheetName val="ANL"/>
      <sheetName val="材料"/>
      <sheetName val="单价报价明细表"/>
      <sheetName val="建筑面积 "/>
      <sheetName val="2009 Dec Production"/>
      <sheetName val="YTD Fcst"/>
      <sheetName val="Component Details"/>
      <sheetName val="Component Details by User Tag"/>
      <sheetName val="Component Location Details"/>
      <sheetName val="Installation Details Full"/>
      <sheetName val="Installation Details"/>
      <sheetName val="Estimate Composition"/>
      <sheetName val="Basis of Estimate"/>
      <sheetName val="Cover Page"/>
      <sheetName val="Indirects"/>
      <sheetName val="Non Capital Estimate"/>
      <sheetName val="Scope Summary and Schedule"/>
      <sheetName val="Term Definitions"/>
      <sheetName val="Wage Rates"/>
      <sheetName val="SAP Estimate - ATH&amp;CTL"/>
      <sheetName val="SAP Estimate - ITC"/>
      <sheetName val="SAP Structure"/>
      <sheetName val="SAP Upload"/>
      <sheetName val="TWC Summary"/>
      <sheetName val="Direct Discipline Summary"/>
      <sheetName val="Key Quantities by TWC Summary"/>
      <sheetName val="Key Quantities Summary"/>
      <sheetName val="WBS Summary"/>
      <sheetName val="Allowances and Overheads"/>
      <sheetName val="Assumptions"/>
      <sheetName val="광통신 견적내역서1"/>
      <sheetName val="天津宜家"/>
      <sheetName val="单位库"/>
      <sheetName val="理论重量表"/>
      <sheetName val="울산시산표"/>
      <sheetName val="主结构量"/>
      <sheetName val="Lguide"/>
      <sheetName val="Input"/>
      <sheetName val="Sheet1"/>
      <sheetName val="單價表STD"/>
      <sheetName val="Cover"/>
      <sheetName val="系数516"/>
      <sheetName val="dV&amp;Cl"/>
      <sheetName val="CAP"/>
      <sheetName val="변수"/>
      <sheetName val="R"/>
      <sheetName val="전압하강"/>
      <sheetName val="F-T Voltage"/>
      <sheetName val="Mask수요"/>
      <sheetName val="표지"/>
      <sheetName val="차체부품 INS REPORT(갑)"/>
      <sheetName val="정리"/>
      <sheetName val="Var."/>
      <sheetName val="地泵租赁"/>
      <sheetName val="見積書"/>
      <sheetName val="S1"/>
      <sheetName val="Subs"/>
      <sheetName val="Parameters"/>
      <sheetName val="报价单"/>
      <sheetName val="机房工程B"/>
      <sheetName val="多媒体查询"/>
      <sheetName val="中心机房"/>
      <sheetName val="会议"/>
      <sheetName val="停车场"/>
      <sheetName val="BA"/>
      <sheetName val="物业"/>
      <sheetName val="移动通信"/>
      <sheetName val="防雷接地"/>
      <sheetName val="清单1"/>
      <sheetName val="XL4Poppy"/>
      <sheetName val="Mp-team 1"/>
      <sheetName val="工程量汇总及含量分析"/>
      <sheetName val="X13"/>
      <sheetName val="Sapphire"/>
      <sheetName val="Sheet9"/>
      <sheetName val="含量"/>
      <sheetName val="内围地梁钢筋说明"/>
      <sheetName val="D0026B3"/>
      <sheetName val="1"/>
      <sheetName val="2"/>
      <sheetName val="单价表"/>
      <sheetName val="变量单"/>
      <sheetName val="企业表一"/>
      <sheetName val="清单"/>
      <sheetName val="主材价格"/>
      <sheetName val="M-5A"/>
      <sheetName val=""/>
      <sheetName val="A"/>
      <sheetName val="材料单价表"/>
      <sheetName val="G2TempSheet"/>
      <sheetName val="做法表"/>
      <sheetName val="北区裙楼工程量"/>
      <sheetName val="承台(砖模) "/>
      <sheetName val="KDB"/>
      <sheetName val="ironmongery"/>
      <sheetName val="8"/>
      <sheetName val="6"/>
      <sheetName val="面积合计（藏）"/>
      <sheetName val="4"/>
      <sheetName val="投标材料清单 "/>
      <sheetName val="5"/>
      <sheetName val="資料庫"/>
      <sheetName val="墙板"/>
      <sheetName val="__-BLDG"/>
      <sheetName val="SAP整體值資料-532"/>
      <sheetName val="6.作業核發"/>
      <sheetName val="Hel-OIs"/>
      <sheetName val="项目参数设置"/>
      <sheetName val="基本设置"/>
      <sheetName val="Rates"/>
      <sheetName val="Rate_Tables"/>
      <sheetName val="Staff_Assignment"/>
      <sheetName val="DLCD"/>
      <sheetName val="Consolidated"/>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说明"/>
      <sheetName val="可抵扣进项税"/>
      <sheetName val="参数输入表"/>
      <sheetName val="表1-资金筹措及还本付息表"/>
      <sheetName val="表2-折旧摊销表"/>
      <sheetName val="表3-成本费用表"/>
      <sheetName val="表4-收入税金表"/>
      <sheetName val="表5-利润表-资本金"/>
      <sheetName val="表6-现金流量表-资本金"/>
      <sheetName val="表7-利润表-全投资"/>
      <sheetName val="表8-现金流量表-全投资"/>
      <sheetName val="表9-现金流量表-财务计划"/>
      <sheetName val="表10-资产负债表"/>
      <sheetName val="财务指标表"/>
    </sheetNames>
    <sheetDataSet>
      <sheetData sheetId="0"/>
      <sheetData sheetId="1"/>
      <sheetData sheetId="2">
        <row r="21">
          <cell r="H21">
            <v>95040</v>
          </cell>
        </row>
        <row r="22">
          <cell r="H22">
            <v>94612.32</v>
          </cell>
        </row>
        <row r="23">
          <cell r="H23">
            <v>94186.564559999999</v>
          </cell>
        </row>
        <row r="24">
          <cell r="H24">
            <v>93762.72501948</v>
          </cell>
        </row>
        <row r="25">
          <cell r="H25">
            <v>93340.792756892406</v>
          </cell>
        </row>
        <row r="26">
          <cell r="H26">
            <v>92920.759189486402</v>
          </cell>
        </row>
        <row r="27">
          <cell r="H27">
            <v>92502.615773133701</v>
          </cell>
        </row>
        <row r="28">
          <cell r="H28">
            <v>92086.354002154607</v>
          </cell>
        </row>
        <row r="29">
          <cell r="H29">
            <v>91671.965409144905</v>
          </cell>
        </row>
        <row r="30">
          <cell r="H30">
            <v>91259.441564803696</v>
          </cell>
        </row>
        <row r="31">
          <cell r="H31">
            <v>90848.774077762093</v>
          </cell>
        </row>
        <row r="32">
          <cell r="H32">
            <v>90439.954594412193</v>
          </cell>
        </row>
        <row r="33">
          <cell r="H33">
            <v>90032.974798737298</v>
          </cell>
        </row>
        <row r="34">
          <cell r="H34">
            <v>89627.826412142997</v>
          </cell>
        </row>
        <row r="35">
          <cell r="H35">
            <v>89224.501193288394</v>
          </cell>
        </row>
        <row r="36">
          <cell r="H36">
            <v>88822.990937918599</v>
          </cell>
        </row>
        <row r="37">
          <cell r="H37">
            <v>88423.287478697996</v>
          </cell>
        </row>
        <row r="38">
          <cell r="H38">
            <v>88025.382685043805</v>
          </cell>
        </row>
        <row r="39">
          <cell r="H39">
            <v>87629.268462961103</v>
          </cell>
        </row>
        <row r="40">
          <cell r="H40">
            <v>87234.936754877795</v>
          </cell>
        </row>
        <row r="77">
          <cell r="H77">
            <v>0.5</v>
          </cell>
        </row>
        <row r="78">
          <cell r="H78">
            <v>0.5</v>
          </cell>
        </row>
        <row r="79">
          <cell r="H79">
            <v>0.5</v>
          </cell>
        </row>
        <row r="80">
          <cell r="H80">
            <v>0.5</v>
          </cell>
        </row>
        <row r="81">
          <cell r="H81">
            <v>0.5</v>
          </cell>
        </row>
        <row r="82">
          <cell r="H82">
            <v>0.7</v>
          </cell>
        </row>
        <row r="83">
          <cell r="H83">
            <v>0.7</v>
          </cell>
        </row>
        <row r="84">
          <cell r="H84">
            <v>0.7</v>
          </cell>
        </row>
        <row r="85">
          <cell r="H85">
            <v>0.7</v>
          </cell>
        </row>
        <row r="86">
          <cell r="H86">
            <v>0.7</v>
          </cell>
        </row>
        <row r="87">
          <cell r="H87">
            <v>0.7</v>
          </cell>
        </row>
        <row r="88">
          <cell r="H88">
            <v>0.7</v>
          </cell>
        </row>
        <row r="89">
          <cell r="H89">
            <v>0.7</v>
          </cell>
        </row>
        <row r="90">
          <cell r="H90">
            <v>0.7</v>
          </cell>
        </row>
        <row r="91">
          <cell r="H91">
            <v>0.7</v>
          </cell>
        </row>
        <row r="92">
          <cell r="H92">
            <v>0.7</v>
          </cell>
        </row>
        <row r="93">
          <cell r="H93">
            <v>0.7</v>
          </cell>
        </row>
        <row r="94">
          <cell r="H94">
            <v>0.7</v>
          </cell>
        </row>
        <row r="95">
          <cell r="H95">
            <v>0.7</v>
          </cell>
        </row>
        <row r="96">
          <cell r="H96">
            <v>0.7</v>
          </cell>
        </row>
        <row r="103">
          <cell r="H103">
            <v>0.4</v>
          </cell>
        </row>
      </sheetData>
      <sheetData sheetId="3"/>
      <sheetData sheetId="4"/>
      <sheetData sheetId="5"/>
      <sheetData sheetId="6"/>
      <sheetData sheetId="7"/>
      <sheetData sheetId="8"/>
      <sheetData sheetId="9"/>
      <sheetData sheetId="10"/>
      <sheetData sheetId="11"/>
      <sheetData sheetId="12"/>
      <sheetData sheetId="13"/>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说明"/>
      <sheetName val="可抵扣进项税"/>
      <sheetName val="参数输入表"/>
      <sheetName val="表1-资金筹措及还本付息表"/>
      <sheetName val="表2-折旧摊销表"/>
      <sheetName val="表3-成本费用表"/>
      <sheetName val="表4-收入税金表"/>
      <sheetName val="表5-利润表-资本金"/>
      <sheetName val="表6-现金流量表-资本金"/>
      <sheetName val="表7-利润表-全投资"/>
      <sheetName val="表8-现金流量表-全投资"/>
      <sheetName val="表9-现金流量表-财务计划"/>
      <sheetName val="表10-资产负债表"/>
      <sheetName val="财务指标表"/>
    </sheetNames>
    <sheetDataSet>
      <sheetData sheetId="0"/>
      <sheetData sheetId="1"/>
      <sheetData sheetId="2">
        <row r="17">
          <cell r="H17">
            <v>106927</v>
          </cell>
        </row>
        <row r="45">
          <cell r="H45">
            <v>0.5</v>
          </cell>
        </row>
        <row r="46">
          <cell r="H46">
            <v>0.5</v>
          </cell>
        </row>
        <row r="47">
          <cell r="H47">
            <v>0.5</v>
          </cell>
        </row>
        <row r="48">
          <cell r="H48">
            <v>0.5</v>
          </cell>
        </row>
        <row r="49">
          <cell r="H49">
            <v>0.5</v>
          </cell>
        </row>
        <row r="50">
          <cell r="H50">
            <v>0.7</v>
          </cell>
        </row>
        <row r="51">
          <cell r="H51">
            <v>0.7</v>
          </cell>
        </row>
        <row r="52">
          <cell r="H52">
            <v>0.7</v>
          </cell>
        </row>
        <row r="53">
          <cell r="H53">
            <v>0.7</v>
          </cell>
        </row>
        <row r="54">
          <cell r="H54">
            <v>0.7</v>
          </cell>
        </row>
        <row r="55">
          <cell r="H55">
            <v>0.7</v>
          </cell>
        </row>
        <row r="56">
          <cell r="H56">
            <v>0.7</v>
          </cell>
        </row>
        <row r="57">
          <cell r="H57">
            <v>0.7</v>
          </cell>
        </row>
        <row r="58">
          <cell r="H58">
            <v>0.7</v>
          </cell>
        </row>
        <row r="59">
          <cell r="H59">
            <v>0.7</v>
          </cell>
        </row>
        <row r="60">
          <cell r="H60">
            <v>0.7</v>
          </cell>
        </row>
        <row r="61">
          <cell r="H61">
            <v>0.7</v>
          </cell>
        </row>
        <row r="62">
          <cell r="H62">
            <v>0.7</v>
          </cell>
        </row>
        <row r="63">
          <cell r="H63">
            <v>0.7</v>
          </cell>
        </row>
        <row r="64">
          <cell r="H64">
            <v>0.7</v>
          </cell>
        </row>
        <row r="66">
          <cell r="H66">
            <v>0.3</v>
          </cell>
        </row>
      </sheetData>
      <sheetData sheetId="3"/>
      <sheetData sheetId="4"/>
      <sheetData sheetId="5"/>
      <sheetData sheetId="6"/>
      <sheetData sheetId="7"/>
      <sheetData sheetId="8"/>
      <sheetData sheetId="9"/>
      <sheetData sheetId="10"/>
      <sheetData sheetId="11"/>
      <sheetData sheetId="12"/>
      <sheetData sheetId="13"/>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说明"/>
      <sheetName val="可抵扣进项税"/>
      <sheetName val="参数输入表"/>
      <sheetName val="表1-资金筹措及还本付息表"/>
      <sheetName val="表2-折旧摊销表"/>
      <sheetName val="表3-成本费用表"/>
      <sheetName val="表4-收入税金表"/>
      <sheetName val="表5-利润表-资本金"/>
      <sheetName val="表6-现金流量表-资本金"/>
      <sheetName val="表7-利润表-全投资"/>
      <sheetName val="表8-现金流量表-全投资"/>
      <sheetName val="表9-现金流量表-财务计划"/>
      <sheetName val="表10-资产负债表"/>
      <sheetName val="财务指标表"/>
    </sheetNames>
    <sheetDataSet>
      <sheetData sheetId="0"/>
      <sheetData sheetId="1"/>
      <sheetData sheetId="2">
        <row r="295">
          <cell r="H295">
            <v>22950</v>
          </cell>
        </row>
        <row r="296">
          <cell r="H296">
            <v>22491</v>
          </cell>
        </row>
        <row r="297">
          <cell r="H297">
            <v>22032</v>
          </cell>
        </row>
        <row r="298">
          <cell r="H298">
            <v>21573</v>
          </cell>
        </row>
        <row r="299">
          <cell r="H299">
            <v>21114</v>
          </cell>
        </row>
        <row r="300">
          <cell r="H300">
            <v>20655</v>
          </cell>
        </row>
        <row r="301">
          <cell r="H301">
            <v>20196</v>
          </cell>
        </row>
        <row r="302">
          <cell r="H302">
            <v>19737</v>
          </cell>
        </row>
        <row r="303">
          <cell r="H303">
            <v>19278</v>
          </cell>
        </row>
        <row r="304">
          <cell r="H304">
            <v>18819</v>
          </cell>
        </row>
        <row r="305">
          <cell r="H305">
            <v>22950</v>
          </cell>
        </row>
        <row r="306">
          <cell r="H306">
            <v>22491</v>
          </cell>
        </row>
        <row r="307">
          <cell r="H307">
            <v>22032</v>
          </cell>
        </row>
        <row r="308">
          <cell r="H308">
            <v>21573</v>
          </cell>
        </row>
        <row r="309">
          <cell r="H309">
            <v>21114</v>
          </cell>
        </row>
        <row r="310">
          <cell r="H310">
            <v>20655</v>
          </cell>
        </row>
        <row r="311">
          <cell r="H311">
            <v>20196</v>
          </cell>
        </row>
        <row r="312">
          <cell r="H312">
            <v>19737</v>
          </cell>
        </row>
        <row r="313">
          <cell r="H313">
            <v>19278</v>
          </cell>
        </row>
        <row r="314">
          <cell r="H314">
            <v>18819</v>
          </cell>
        </row>
        <row r="316">
          <cell r="H316">
            <v>0.65</v>
          </cell>
        </row>
        <row r="317">
          <cell r="H317">
            <v>0.65</v>
          </cell>
        </row>
        <row r="318">
          <cell r="H318">
            <v>0.65</v>
          </cell>
        </row>
        <row r="319">
          <cell r="H319">
            <v>0.65</v>
          </cell>
        </row>
        <row r="320">
          <cell r="H320">
            <v>0.65</v>
          </cell>
        </row>
        <row r="321">
          <cell r="H321">
            <v>0.65</v>
          </cell>
        </row>
        <row r="322">
          <cell r="H322">
            <v>0.65</v>
          </cell>
        </row>
        <row r="323">
          <cell r="H323">
            <v>0.65</v>
          </cell>
        </row>
        <row r="324">
          <cell r="H324">
            <v>0.65</v>
          </cell>
        </row>
        <row r="325">
          <cell r="H325">
            <v>0.65</v>
          </cell>
        </row>
        <row r="326">
          <cell r="H326">
            <v>0.65</v>
          </cell>
        </row>
        <row r="327">
          <cell r="H327">
            <v>0.65</v>
          </cell>
        </row>
        <row r="328">
          <cell r="H328">
            <v>0.65</v>
          </cell>
        </row>
        <row r="329">
          <cell r="H329">
            <v>0.65</v>
          </cell>
        </row>
        <row r="330">
          <cell r="H330">
            <v>0.65</v>
          </cell>
        </row>
        <row r="331">
          <cell r="H331">
            <v>0.65</v>
          </cell>
        </row>
        <row r="332">
          <cell r="H332">
            <v>0.65</v>
          </cell>
        </row>
        <row r="333">
          <cell r="H333">
            <v>0.65</v>
          </cell>
        </row>
        <row r="334">
          <cell r="H334">
            <v>0.65</v>
          </cell>
        </row>
        <row r="335">
          <cell r="H335">
            <v>0.65</v>
          </cell>
        </row>
        <row r="382">
          <cell r="H382">
            <v>0.1</v>
          </cell>
        </row>
        <row r="383">
          <cell r="H383">
            <v>0.1</v>
          </cell>
        </row>
        <row r="384">
          <cell r="H384">
            <v>0.1</v>
          </cell>
        </row>
        <row r="385">
          <cell r="H385">
            <v>0.1</v>
          </cell>
        </row>
        <row r="386">
          <cell r="H386">
            <v>0.1</v>
          </cell>
        </row>
        <row r="387">
          <cell r="H387">
            <v>0.1</v>
          </cell>
        </row>
        <row r="388">
          <cell r="H388">
            <v>0.1</v>
          </cell>
        </row>
        <row r="389">
          <cell r="H389">
            <v>0.1</v>
          </cell>
        </row>
        <row r="390">
          <cell r="H390">
            <v>0.1</v>
          </cell>
        </row>
        <row r="391">
          <cell r="H391">
            <v>0.1</v>
          </cell>
        </row>
        <row r="392">
          <cell r="H392">
            <v>0.1</v>
          </cell>
        </row>
        <row r="393">
          <cell r="H393">
            <v>0.1</v>
          </cell>
        </row>
        <row r="394">
          <cell r="H394">
            <v>0.1</v>
          </cell>
        </row>
        <row r="395">
          <cell r="H395">
            <v>0.1</v>
          </cell>
        </row>
        <row r="396">
          <cell r="H396">
            <v>0.1</v>
          </cell>
        </row>
        <row r="397">
          <cell r="H397">
            <v>0.1</v>
          </cell>
        </row>
        <row r="398">
          <cell r="H398">
            <v>0.1</v>
          </cell>
        </row>
        <row r="399">
          <cell r="H399">
            <v>0.1</v>
          </cell>
        </row>
        <row r="400">
          <cell r="H400">
            <v>0.1</v>
          </cell>
        </row>
        <row r="401">
          <cell r="H401">
            <v>0.1</v>
          </cell>
        </row>
      </sheetData>
      <sheetData sheetId="3"/>
      <sheetData sheetId="4"/>
      <sheetData sheetId="5"/>
      <sheetData sheetId="6"/>
      <sheetData sheetId="7"/>
      <sheetData sheetId="8"/>
      <sheetData sheetId="9"/>
      <sheetData sheetId="10"/>
      <sheetData sheetId="11"/>
      <sheetData sheetId="12"/>
      <sheetData sheetId="13"/>
    </sheetDataSet>
  </externalBook>
</externalLink>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14.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C20"/>
  <sheetViews>
    <sheetView showGridLines="0" topLeftCell="A2" zoomScale="80" zoomScaleNormal="80" workbookViewId="0">
      <selection activeCell="H11" sqref="H11"/>
    </sheetView>
  </sheetViews>
  <sheetFormatPr defaultColWidth="8.81640625" defaultRowHeight="16.5" x14ac:dyDescent="0.25"/>
  <cols>
    <col min="1" max="1" width="1.1796875" style="91" customWidth="1"/>
    <col min="2" max="2" width="8.81640625" style="91" customWidth="1"/>
    <col min="3" max="3" width="151.81640625" style="91" customWidth="1"/>
    <col min="4" max="16384" width="8.81640625" style="91"/>
  </cols>
  <sheetData>
    <row r="1" spans="2:3" ht="10" customHeight="1" x14ac:dyDescent="0.25"/>
    <row r="2" spans="2:3" x14ac:dyDescent="0.25">
      <c r="B2" s="91" t="s">
        <v>0</v>
      </c>
    </row>
    <row r="3" spans="2:3" ht="19" customHeight="1" x14ac:dyDescent="0.25">
      <c r="B3" s="266"/>
      <c r="C3" s="394" t="s">
        <v>1</v>
      </c>
    </row>
    <row r="4" spans="2:3" ht="22.5" customHeight="1" x14ac:dyDescent="0.25">
      <c r="B4" s="183"/>
      <c r="C4" s="394" t="s">
        <v>2</v>
      </c>
    </row>
    <row r="5" spans="2:3" ht="18" customHeight="1" x14ac:dyDescent="0.25">
      <c r="B5" s="395"/>
      <c r="C5" s="394" t="s">
        <v>3</v>
      </c>
    </row>
    <row r="6" spans="2:3" ht="19.5" customHeight="1" x14ac:dyDescent="0.25">
      <c r="B6" s="396"/>
      <c r="C6" s="394" t="s">
        <v>4</v>
      </c>
    </row>
    <row r="7" spans="2:3" ht="18.5" customHeight="1" x14ac:dyDescent="0.25">
      <c r="B7" s="397"/>
      <c r="C7" s="394" t="s">
        <v>5</v>
      </c>
    </row>
    <row r="8" spans="2:3" ht="20.5" customHeight="1" x14ac:dyDescent="0.25">
      <c r="B8" s="398"/>
      <c r="C8" s="394" t="s">
        <v>6</v>
      </c>
    </row>
    <row r="9" spans="2:3" x14ac:dyDescent="0.25">
      <c r="C9" s="394"/>
    </row>
    <row r="10" spans="2:3" ht="33" x14ac:dyDescent="0.25">
      <c r="C10" s="394" t="s">
        <v>7</v>
      </c>
    </row>
    <row r="11" spans="2:3" x14ac:dyDescent="0.25">
      <c r="C11" s="394"/>
    </row>
    <row r="12" spans="2:3" ht="33" x14ac:dyDescent="0.25">
      <c r="C12" s="394" t="s">
        <v>8</v>
      </c>
    </row>
    <row r="13" spans="2:3" x14ac:dyDescent="0.25">
      <c r="C13" s="394"/>
    </row>
    <row r="14" spans="2:3" x14ac:dyDescent="0.25">
      <c r="C14" s="394" t="s">
        <v>9</v>
      </c>
    </row>
    <row r="16" spans="2:3" x14ac:dyDescent="0.25">
      <c r="C16" s="394" t="s">
        <v>10</v>
      </c>
    </row>
    <row r="17" spans="3:3" x14ac:dyDescent="0.25">
      <c r="C17" s="394"/>
    </row>
    <row r="18" spans="3:3" ht="49.5" x14ac:dyDescent="0.25">
      <c r="C18" s="394" t="s">
        <v>11</v>
      </c>
    </row>
    <row r="20" spans="3:3" x14ac:dyDescent="0.25">
      <c r="C20" s="91" t="s">
        <v>12</v>
      </c>
    </row>
  </sheetData>
  <phoneticPr fontId="65" type="noConversion"/>
  <pageMargins left="0.7" right="0.7" top="0.75" bottom="0.75" header="0.3" footer="0.3"/>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B2:G17"/>
  <sheetViews>
    <sheetView showGridLines="0" workbookViewId="0">
      <selection activeCell="I19" sqref="I19"/>
    </sheetView>
  </sheetViews>
  <sheetFormatPr defaultColWidth="8.81640625" defaultRowHeight="16.5" x14ac:dyDescent="0.25"/>
  <cols>
    <col min="1" max="1" width="3.08984375" style="91" customWidth="1"/>
    <col min="2" max="2" width="17.6328125" style="91" customWidth="1"/>
    <col min="3" max="3" width="8.81640625" style="91"/>
    <col min="4" max="4" width="20" style="91" customWidth="1"/>
    <col min="5" max="5" width="15" style="91" customWidth="1"/>
    <col min="6" max="6" width="15.81640625" style="214" customWidth="1"/>
    <col min="7" max="7" width="15.81640625" style="91" customWidth="1"/>
    <col min="8" max="16384" width="8.81640625" style="91"/>
  </cols>
  <sheetData>
    <row r="2" spans="2:7" ht="26" customHeight="1" x14ac:dyDescent="0.25">
      <c r="B2" s="401" t="s">
        <v>13</v>
      </c>
      <c r="C2" s="389" t="s">
        <v>14</v>
      </c>
      <c r="D2" s="389" t="s">
        <v>15</v>
      </c>
      <c r="E2" s="389" t="s">
        <v>16</v>
      </c>
      <c r="F2" s="389" t="s">
        <v>17</v>
      </c>
      <c r="G2" s="389" t="s">
        <v>18</v>
      </c>
    </row>
    <row r="3" spans="2:7" ht="14" customHeight="1" x14ac:dyDescent="0.25">
      <c r="B3" s="402"/>
      <c r="C3" s="390">
        <v>1</v>
      </c>
      <c r="D3" s="259" t="s">
        <v>19</v>
      </c>
      <c r="E3" s="261"/>
      <c r="F3" s="391">
        <f>参数输入表!H709</f>
        <v>0.13</v>
      </c>
      <c r="G3" s="255">
        <f t="shared" ref="G3:G8" si="0">E3/(1+F3)*F3</f>
        <v>0</v>
      </c>
    </row>
    <row r="4" spans="2:7" ht="14" customHeight="1" x14ac:dyDescent="0.25">
      <c r="B4" s="402"/>
      <c r="C4" s="390">
        <v>2</v>
      </c>
      <c r="D4" s="259" t="s">
        <v>20</v>
      </c>
      <c r="E4" s="261"/>
      <c r="F4" s="391">
        <f>参数输入表!H710</f>
        <v>0.09</v>
      </c>
      <c r="G4" s="255">
        <f t="shared" si="0"/>
        <v>0</v>
      </c>
    </row>
    <row r="5" spans="2:7" ht="14" customHeight="1" x14ac:dyDescent="0.25">
      <c r="B5" s="402"/>
      <c r="C5" s="390">
        <v>3</v>
      </c>
      <c r="D5" s="259" t="s">
        <v>21</v>
      </c>
      <c r="E5" s="261"/>
      <c r="F5" s="391">
        <f>参数输入表!H711</f>
        <v>0.06</v>
      </c>
      <c r="G5" s="255">
        <f t="shared" si="0"/>
        <v>0</v>
      </c>
    </row>
    <row r="6" spans="2:7" ht="14" customHeight="1" x14ac:dyDescent="0.25">
      <c r="B6" s="402"/>
      <c r="C6" s="390">
        <v>4</v>
      </c>
      <c r="D6" s="259" t="s">
        <v>22</v>
      </c>
      <c r="E6" s="261"/>
      <c r="F6" s="391">
        <f>参数输入表!H712</f>
        <v>0</v>
      </c>
      <c r="G6" s="255">
        <f t="shared" si="0"/>
        <v>0</v>
      </c>
    </row>
    <row r="7" spans="2:7" ht="14" customHeight="1" x14ac:dyDescent="0.25">
      <c r="B7" s="402"/>
      <c r="C7" s="390">
        <v>5</v>
      </c>
      <c r="D7" s="259" t="s">
        <v>23</v>
      </c>
      <c r="E7" s="261"/>
      <c r="F7" s="391">
        <f>参数输入表!H714</f>
        <v>0.09</v>
      </c>
      <c r="G7" s="255">
        <f t="shared" si="0"/>
        <v>0</v>
      </c>
    </row>
    <row r="8" spans="2:7" ht="14" customHeight="1" x14ac:dyDescent="0.25">
      <c r="B8" s="402"/>
      <c r="C8" s="390">
        <v>6</v>
      </c>
      <c r="D8" s="259" t="s">
        <v>24</v>
      </c>
      <c r="E8" s="261"/>
      <c r="F8" s="391">
        <f>参数输入表!H715</f>
        <v>0</v>
      </c>
      <c r="G8" s="255">
        <f t="shared" si="0"/>
        <v>0</v>
      </c>
    </row>
    <row r="9" spans="2:7" ht="14" customHeight="1" x14ac:dyDescent="0.25">
      <c r="B9" s="402"/>
      <c r="C9" s="390">
        <v>7</v>
      </c>
      <c r="D9" s="256" t="s">
        <v>25</v>
      </c>
      <c r="E9" s="255"/>
      <c r="F9" s="256"/>
      <c r="G9" s="243"/>
    </row>
    <row r="10" spans="2:7" ht="14" customHeight="1" x14ac:dyDescent="0.25">
      <c r="B10" s="402"/>
      <c r="C10" s="390">
        <v>8</v>
      </c>
      <c r="D10" s="256" t="s">
        <v>26</v>
      </c>
      <c r="E10" s="255"/>
      <c r="F10" s="256"/>
      <c r="G10" s="243"/>
    </row>
    <row r="11" spans="2:7" ht="14" customHeight="1" x14ac:dyDescent="0.25">
      <c r="B11" s="402"/>
      <c r="C11" s="390">
        <v>9</v>
      </c>
      <c r="D11" s="256" t="s">
        <v>27</v>
      </c>
      <c r="E11" s="255"/>
      <c r="F11" s="256"/>
      <c r="G11" s="243"/>
    </row>
    <row r="12" spans="2:7" ht="14" customHeight="1" x14ac:dyDescent="0.25">
      <c r="B12" s="402"/>
      <c r="C12" s="390">
        <v>10</v>
      </c>
      <c r="D12" s="256" t="s">
        <v>28</v>
      </c>
      <c r="E12" s="255"/>
      <c r="F12" s="256"/>
      <c r="G12" s="243"/>
    </row>
    <row r="13" spans="2:7" ht="14" customHeight="1" x14ac:dyDescent="0.25">
      <c r="B13" s="403"/>
      <c r="C13" s="390">
        <v>11</v>
      </c>
      <c r="D13" s="392" t="s">
        <v>29</v>
      </c>
      <c r="E13" s="393">
        <f>SUM(G3:G8)</f>
        <v>0</v>
      </c>
      <c r="F13" s="256"/>
      <c r="G13" s="243"/>
    </row>
    <row r="17" spans="3:3" x14ac:dyDescent="0.25">
      <c r="C17" s="133" t="s">
        <v>30</v>
      </c>
    </row>
  </sheetData>
  <mergeCells count="1">
    <mergeCell ref="B2:B13"/>
  </mergeCells>
  <phoneticPr fontId="65" type="noConversion"/>
  <pageMargins left="0.7" right="0.7" top="0.75" bottom="0.75" header="0.3" footer="0.3"/>
  <pageSetup paperSize="9" orientation="portrait"/>
  <legacy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K726"/>
  <sheetViews>
    <sheetView showGridLines="0" zoomScale="60" zoomScaleNormal="60" workbookViewId="0">
      <pane xSplit="2" ySplit="3" topLeftCell="C70" activePane="bottomRight" state="frozen"/>
      <selection pane="topRight"/>
      <selection pane="bottomLeft"/>
      <selection pane="bottomRight" activeCell="H77" sqref="H77"/>
    </sheetView>
  </sheetViews>
  <sheetFormatPr defaultColWidth="9.81640625" defaultRowHeight="21" x14ac:dyDescent="0.25"/>
  <cols>
    <col min="1" max="1" width="2.54296875" style="1" customWidth="1"/>
    <col min="2" max="2" width="12.81640625" style="1" customWidth="1"/>
    <col min="3" max="3" width="9.54296875" style="288" customWidth="1"/>
    <col min="4" max="4" width="42.90625" style="291" customWidth="1"/>
    <col min="5" max="5" width="48.7265625" style="292" customWidth="1"/>
    <col min="6" max="6" width="29.26953125" style="288" customWidth="1"/>
    <col min="7" max="7" width="27.1796875" style="1" customWidth="1"/>
    <col min="8" max="8" width="17.81640625" style="293" customWidth="1"/>
    <col min="9" max="9" width="33.54296875" style="288" customWidth="1"/>
    <col min="10" max="10" width="70.90625" style="1" customWidth="1"/>
    <col min="11" max="11" width="21.81640625" style="1" customWidth="1"/>
    <col min="12" max="12" width="12.90625" style="1"/>
    <col min="13" max="257" width="9.81640625" style="1"/>
    <col min="258" max="258" width="5.81640625" style="1" customWidth="1"/>
    <col min="259" max="259" width="15.54296875" style="1" customWidth="1"/>
    <col min="260" max="260" width="9.54296875" style="1" customWidth="1"/>
    <col min="261" max="261" width="30.81640625" style="1" customWidth="1"/>
    <col min="262" max="262" width="17.1796875" style="1" customWidth="1"/>
    <col min="263" max="263" width="69.1796875" style="1" customWidth="1"/>
    <col min="264" max="264" width="19.81640625" style="1" customWidth="1"/>
    <col min="265" max="265" width="18" style="1" customWidth="1"/>
    <col min="266" max="266" width="72.08984375" style="1" customWidth="1"/>
    <col min="267" max="267" width="21.81640625" style="1" customWidth="1"/>
    <col min="268" max="513" width="9.81640625" style="1"/>
    <col min="514" max="514" width="5.81640625" style="1" customWidth="1"/>
    <col min="515" max="515" width="15.54296875" style="1" customWidth="1"/>
    <col min="516" max="516" width="9.54296875" style="1" customWidth="1"/>
    <col min="517" max="517" width="30.81640625" style="1" customWidth="1"/>
    <col min="518" max="518" width="17.1796875" style="1" customWidth="1"/>
    <col min="519" max="519" width="69.1796875" style="1" customWidth="1"/>
    <col min="520" max="520" width="19.81640625" style="1" customWidth="1"/>
    <col min="521" max="521" width="18" style="1" customWidth="1"/>
    <col min="522" max="522" width="72.08984375" style="1" customWidth="1"/>
    <col min="523" max="523" width="21.81640625" style="1" customWidth="1"/>
    <col min="524" max="769" width="9.81640625" style="1"/>
    <col min="770" max="770" width="5.81640625" style="1" customWidth="1"/>
    <col min="771" max="771" width="15.54296875" style="1" customWidth="1"/>
    <col min="772" max="772" width="9.54296875" style="1" customWidth="1"/>
    <col min="773" max="773" width="30.81640625" style="1" customWidth="1"/>
    <col min="774" max="774" width="17.1796875" style="1" customWidth="1"/>
    <col min="775" max="775" width="69.1796875" style="1" customWidth="1"/>
    <col min="776" max="776" width="19.81640625" style="1" customWidth="1"/>
    <col min="777" max="777" width="18" style="1" customWidth="1"/>
    <col min="778" max="778" width="72.08984375" style="1" customWidth="1"/>
    <col min="779" max="779" width="21.81640625" style="1" customWidth="1"/>
    <col min="780" max="1025" width="9.81640625" style="1"/>
    <col min="1026" max="1026" width="5.81640625" style="1" customWidth="1"/>
    <col min="1027" max="1027" width="15.54296875" style="1" customWidth="1"/>
    <col min="1028" max="1028" width="9.54296875" style="1" customWidth="1"/>
    <col min="1029" max="1029" width="30.81640625" style="1" customWidth="1"/>
    <col min="1030" max="1030" width="17.1796875" style="1" customWidth="1"/>
    <col min="1031" max="1031" width="69.1796875" style="1" customWidth="1"/>
    <col min="1032" max="1032" width="19.81640625" style="1" customWidth="1"/>
    <col min="1033" max="1033" width="18" style="1" customWidth="1"/>
    <col min="1034" max="1034" width="72.08984375" style="1" customWidth="1"/>
    <col min="1035" max="1035" width="21.81640625" style="1" customWidth="1"/>
    <col min="1036" max="1281" width="9.81640625" style="1"/>
    <col min="1282" max="1282" width="5.81640625" style="1" customWidth="1"/>
    <col min="1283" max="1283" width="15.54296875" style="1" customWidth="1"/>
    <col min="1284" max="1284" width="9.54296875" style="1" customWidth="1"/>
    <col min="1285" max="1285" width="30.81640625" style="1" customWidth="1"/>
    <col min="1286" max="1286" width="17.1796875" style="1" customWidth="1"/>
    <col min="1287" max="1287" width="69.1796875" style="1" customWidth="1"/>
    <col min="1288" max="1288" width="19.81640625" style="1" customWidth="1"/>
    <col min="1289" max="1289" width="18" style="1" customWidth="1"/>
    <col min="1290" max="1290" width="72.08984375" style="1" customWidth="1"/>
    <col min="1291" max="1291" width="21.81640625" style="1" customWidth="1"/>
    <col min="1292" max="1537" width="9.81640625" style="1"/>
    <col min="1538" max="1538" width="5.81640625" style="1" customWidth="1"/>
    <col min="1539" max="1539" width="15.54296875" style="1" customWidth="1"/>
    <col min="1540" max="1540" width="9.54296875" style="1" customWidth="1"/>
    <col min="1541" max="1541" width="30.81640625" style="1" customWidth="1"/>
    <col min="1542" max="1542" width="17.1796875" style="1" customWidth="1"/>
    <col min="1543" max="1543" width="69.1796875" style="1" customWidth="1"/>
    <col min="1544" max="1544" width="19.81640625" style="1" customWidth="1"/>
    <col min="1545" max="1545" width="18" style="1" customWidth="1"/>
    <col min="1546" max="1546" width="72.08984375" style="1" customWidth="1"/>
    <col min="1547" max="1547" width="21.81640625" style="1" customWidth="1"/>
    <col min="1548" max="1793" width="9.81640625" style="1"/>
    <col min="1794" max="1794" width="5.81640625" style="1" customWidth="1"/>
    <col min="1795" max="1795" width="15.54296875" style="1" customWidth="1"/>
    <col min="1796" max="1796" width="9.54296875" style="1" customWidth="1"/>
    <col min="1797" max="1797" width="30.81640625" style="1" customWidth="1"/>
    <col min="1798" max="1798" width="17.1796875" style="1" customWidth="1"/>
    <col min="1799" max="1799" width="69.1796875" style="1" customWidth="1"/>
    <col min="1800" max="1800" width="19.81640625" style="1" customWidth="1"/>
    <col min="1801" max="1801" width="18" style="1" customWidth="1"/>
    <col min="1802" max="1802" width="72.08984375" style="1" customWidth="1"/>
    <col min="1803" max="1803" width="21.81640625" style="1" customWidth="1"/>
    <col min="1804" max="2049" width="9.81640625" style="1"/>
    <col min="2050" max="2050" width="5.81640625" style="1" customWidth="1"/>
    <col min="2051" max="2051" width="15.54296875" style="1" customWidth="1"/>
    <col min="2052" max="2052" width="9.54296875" style="1" customWidth="1"/>
    <col min="2053" max="2053" width="30.81640625" style="1" customWidth="1"/>
    <col min="2054" max="2054" width="17.1796875" style="1" customWidth="1"/>
    <col min="2055" max="2055" width="69.1796875" style="1" customWidth="1"/>
    <col min="2056" max="2056" width="19.81640625" style="1" customWidth="1"/>
    <col min="2057" max="2057" width="18" style="1" customWidth="1"/>
    <col min="2058" max="2058" width="72.08984375" style="1" customWidth="1"/>
    <col min="2059" max="2059" width="21.81640625" style="1" customWidth="1"/>
    <col min="2060" max="2305" width="9.81640625" style="1"/>
    <col min="2306" max="2306" width="5.81640625" style="1" customWidth="1"/>
    <col min="2307" max="2307" width="15.54296875" style="1" customWidth="1"/>
    <col min="2308" max="2308" width="9.54296875" style="1" customWidth="1"/>
    <col min="2309" max="2309" width="30.81640625" style="1" customWidth="1"/>
    <col min="2310" max="2310" width="17.1796875" style="1" customWidth="1"/>
    <col min="2311" max="2311" width="69.1796875" style="1" customWidth="1"/>
    <col min="2312" max="2312" width="19.81640625" style="1" customWidth="1"/>
    <col min="2313" max="2313" width="18" style="1" customWidth="1"/>
    <col min="2314" max="2314" width="72.08984375" style="1" customWidth="1"/>
    <col min="2315" max="2315" width="21.81640625" style="1" customWidth="1"/>
    <col min="2316" max="2561" width="9.81640625" style="1"/>
    <col min="2562" max="2562" width="5.81640625" style="1" customWidth="1"/>
    <col min="2563" max="2563" width="15.54296875" style="1" customWidth="1"/>
    <col min="2564" max="2564" width="9.54296875" style="1" customWidth="1"/>
    <col min="2565" max="2565" width="30.81640625" style="1" customWidth="1"/>
    <col min="2566" max="2566" width="17.1796875" style="1" customWidth="1"/>
    <col min="2567" max="2567" width="69.1796875" style="1" customWidth="1"/>
    <col min="2568" max="2568" width="19.81640625" style="1" customWidth="1"/>
    <col min="2569" max="2569" width="18" style="1" customWidth="1"/>
    <col min="2570" max="2570" width="72.08984375" style="1" customWidth="1"/>
    <col min="2571" max="2571" width="21.81640625" style="1" customWidth="1"/>
    <col min="2572" max="2817" width="9.81640625" style="1"/>
    <col min="2818" max="2818" width="5.81640625" style="1" customWidth="1"/>
    <col min="2819" max="2819" width="15.54296875" style="1" customWidth="1"/>
    <col min="2820" max="2820" width="9.54296875" style="1" customWidth="1"/>
    <col min="2821" max="2821" width="30.81640625" style="1" customWidth="1"/>
    <col min="2822" max="2822" width="17.1796875" style="1" customWidth="1"/>
    <col min="2823" max="2823" width="69.1796875" style="1" customWidth="1"/>
    <col min="2824" max="2824" width="19.81640625" style="1" customWidth="1"/>
    <col min="2825" max="2825" width="18" style="1" customWidth="1"/>
    <col min="2826" max="2826" width="72.08984375" style="1" customWidth="1"/>
    <col min="2827" max="2827" width="21.81640625" style="1" customWidth="1"/>
    <col min="2828" max="3073" width="9.81640625" style="1"/>
    <col min="3074" max="3074" width="5.81640625" style="1" customWidth="1"/>
    <col min="3075" max="3075" width="15.54296875" style="1" customWidth="1"/>
    <col min="3076" max="3076" width="9.54296875" style="1" customWidth="1"/>
    <col min="3077" max="3077" width="30.81640625" style="1" customWidth="1"/>
    <col min="3078" max="3078" width="17.1796875" style="1" customWidth="1"/>
    <col min="3079" max="3079" width="69.1796875" style="1" customWidth="1"/>
    <col min="3080" max="3080" width="19.81640625" style="1" customWidth="1"/>
    <col min="3081" max="3081" width="18" style="1" customWidth="1"/>
    <col min="3082" max="3082" width="72.08984375" style="1" customWidth="1"/>
    <col min="3083" max="3083" width="21.81640625" style="1" customWidth="1"/>
    <col min="3084" max="3329" width="9.81640625" style="1"/>
    <col min="3330" max="3330" width="5.81640625" style="1" customWidth="1"/>
    <col min="3331" max="3331" width="15.54296875" style="1" customWidth="1"/>
    <col min="3332" max="3332" width="9.54296875" style="1" customWidth="1"/>
    <col min="3333" max="3333" width="30.81640625" style="1" customWidth="1"/>
    <col min="3334" max="3334" width="17.1796875" style="1" customWidth="1"/>
    <col min="3335" max="3335" width="69.1796875" style="1" customWidth="1"/>
    <col min="3336" max="3336" width="19.81640625" style="1" customWidth="1"/>
    <col min="3337" max="3337" width="18" style="1" customWidth="1"/>
    <col min="3338" max="3338" width="72.08984375" style="1" customWidth="1"/>
    <col min="3339" max="3339" width="21.81640625" style="1" customWidth="1"/>
    <col min="3340" max="3585" width="9.81640625" style="1"/>
    <col min="3586" max="3586" width="5.81640625" style="1" customWidth="1"/>
    <col min="3587" max="3587" width="15.54296875" style="1" customWidth="1"/>
    <col min="3588" max="3588" width="9.54296875" style="1" customWidth="1"/>
    <col min="3589" max="3589" width="30.81640625" style="1" customWidth="1"/>
    <col min="3590" max="3590" width="17.1796875" style="1" customWidth="1"/>
    <col min="3591" max="3591" width="69.1796875" style="1" customWidth="1"/>
    <col min="3592" max="3592" width="19.81640625" style="1" customWidth="1"/>
    <col min="3593" max="3593" width="18" style="1" customWidth="1"/>
    <col min="3594" max="3594" width="72.08984375" style="1" customWidth="1"/>
    <col min="3595" max="3595" width="21.81640625" style="1" customWidth="1"/>
    <col min="3596" max="3841" width="9.81640625" style="1"/>
    <col min="3842" max="3842" width="5.81640625" style="1" customWidth="1"/>
    <col min="3843" max="3843" width="15.54296875" style="1" customWidth="1"/>
    <col min="3844" max="3844" width="9.54296875" style="1" customWidth="1"/>
    <col min="3845" max="3845" width="30.81640625" style="1" customWidth="1"/>
    <col min="3846" max="3846" width="17.1796875" style="1" customWidth="1"/>
    <col min="3847" max="3847" width="69.1796875" style="1" customWidth="1"/>
    <col min="3848" max="3848" width="19.81640625" style="1" customWidth="1"/>
    <col min="3849" max="3849" width="18" style="1" customWidth="1"/>
    <col min="3850" max="3850" width="72.08984375" style="1" customWidth="1"/>
    <col min="3851" max="3851" width="21.81640625" style="1" customWidth="1"/>
    <col min="3852" max="4097" width="9.81640625" style="1"/>
    <col min="4098" max="4098" width="5.81640625" style="1" customWidth="1"/>
    <col min="4099" max="4099" width="15.54296875" style="1" customWidth="1"/>
    <col min="4100" max="4100" width="9.54296875" style="1" customWidth="1"/>
    <col min="4101" max="4101" width="30.81640625" style="1" customWidth="1"/>
    <col min="4102" max="4102" width="17.1796875" style="1" customWidth="1"/>
    <col min="4103" max="4103" width="69.1796875" style="1" customWidth="1"/>
    <col min="4104" max="4104" width="19.81640625" style="1" customWidth="1"/>
    <col min="4105" max="4105" width="18" style="1" customWidth="1"/>
    <col min="4106" max="4106" width="72.08984375" style="1" customWidth="1"/>
    <col min="4107" max="4107" width="21.81640625" style="1" customWidth="1"/>
    <col min="4108" max="4353" width="9.81640625" style="1"/>
    <col min="4354" max="4354" width="5.81640625" style="1" customWidth="1"/>
    <col min="4355" max="4355" width="15.54296875" style="1" customWidth="1"/>
    <col min="4356" max="4356" width="9.54296875" style="1" customWidth="1"/>
    <col min="4357" max="4357" width="30.81640625" style="1" customWidth="1"/>
    <col min="4358" max="4358" width="17.1796875" style="1" customWidth="1"/>
    <col min="4359" max="4359" width="69.1796875" style="1" customWidth="1"/>
    <col min="4360" max="4360" width="19.81640625" style="1" customWidth="1"/>
    <col min="4361" max="4361" width="18" style="1" customWidth="1"/>
    <col min="4362" max="4362" width="72.08984375" style="1" customWidth="1"/>
    <col min="4363" max="4363" width="21.81640625" style="1" customWidth="1"/>
    <col min="4364" max="4609" width="9.81640625" style="1"/>
    <col min="4610" max="4610" width="5.81640625" style="1" customWidth="1"/>
    <col min="4611" max="4611" width="15.54296875" style="1" customWidth="1"/>
    <col min="4612" max="4612" width="9.54296875" style="1" customWidth="1"/>
    <col min="4613" max="4613" width="30.81640625" style="1" customWidth="1"/>
    <col min="4614" max="4614" width="17.1796875" style="1" customWidth="1"/>
    <col min="4615" max="4615" width="69.1796875" style="1" customWidth="1"/>
    <col min="4616" max="4616" width="19.81640625" style="1" customWidth="1"/>
    <col min="4617" max="4617" width="18" style="1" customWidth="1"/>
    <col min="4618" max="4618" width="72.08984375" style="1" customWidth="1"/>
    <col min="4619" max="4619" width="21.81640625" style="1" customWidth="1"/>
    <col min="4620" max="4865" width="9.81640625" style="1"/>
    <col min="4866" max="4866" width="5.81640625" style="1" customWidth="1"/>
    <col min="4867" max="4867" width="15.54296875" style="1" customWidth="1"/>
    <col min="4868" max="4868" width="9.54296875" style="1" customWidth="1"/>
    <col min="4869" max="4869" width="30.81640625" style="1" customWidth="1"/>
    <col min="4870" max="4870" width="17.1796875" style="1" customWidth="1"/>
    <col min="4871" max="4871" width="69.1796875" style="1" customWidth="1"/>
    <col min="4872" max="4872" width="19.81640625" style="1" customWidth="1"/>
    <col min="4873" max="4873" width="18" style="1" customWidth="1"/>
    <col min="4874" max="4874" width="72.08984375" style="1" customWidth="1"/>
    <col min="4875" max="4875" width="21.81640625" style="1" customWidth="1"/>
    <col min="4876" max="5121" width="9.81640625" style="1"/>
    <col min="5122" max="5122" width="5.81640625" style="1" customWidth="1"/>
    <col min="5123" max="5123" width="15.54296875" style="1" customWidth="1"/>
    <col min="5124" max="5124" width="9.54296875" style="1" customWidth="1"/>
    <col min="5125" max="5125" width="30.81640625" style="1" customWidth="1"/>
    <col min="5126" max="5126" width="17.1796875" style="1" customWidth="1"/>
    <col min="5127" max="5127" width="69.1796875" style="1" customWidth="1"/>
    <col min="5128" max="5128" width="19.81640625" style="1" customWidth="1"/>
    <col min="5129" max="5129" width="18" style="1" customWidth="1"/>
    <col min="5130" max="5130" width="72.08984375" style="1" customWidth="1"/>
    <col min="5131" max="5131" width="21.81640625" style="1" customWidth="1"/>
    <col min="5132" max="5377" width="9.81640625" style="1"/>
    <col min="5378" max="5378" width="5.81640625" style="1" customWidth="1"/>
    <col min="5379" max="5379" width="15.54296875" style="1" customWidth="1"/>
    <col min="5380" max="5380" width="9.54296875" style="1" customWidth="1"/>
    <col min="5381" max="5381" width="30.81640625" style="1" customWidth="1"/>
    <col min="5382" max="5382" width="17.1796875" style="1" customWidth="1"/>
    <col min="5383" max="5383" width="69.1796875" style="1" customWidth="1"/>
    <col min="5384" max="5384" width="19.81640625" style="1" customWidth="1"/>
    <col min="5385" max="5385" width="18" style="1" customWidth="1"/>
    <col min="5386" max="5386" width="72.08984375" style="1" customWidth="1"/>
    <col min="5387" max="5387" width="21.81640625" style="1" customWidth="1"/>
    <col min="5388" max="5633" width="9.81640625" style="1"/>
    <col min="5634" max="5634" width="5.81640625" style="1" customWidth="1"/>
    <col min="5635" max="5635" width="15.54296875" style="1" customWidth="1"/>
    <col min="5636" max="5636" width="9.54296875" style="1" customWidth="1"/>
    <col min="5637" max="5637" width="30.81640625" style="1" customWidth="1"/>
    <col min="5638" max="5638" width="17.1796875" style="1" customWidth="1"/>
    <col min="5639" max="5639" width="69.1796875" style="1" customWidth="1"/>
    <col min="5640" max="5640" width="19.81640625" style="1" customWidth="1"/>
    <col min="5641" max="5641" width="18" style="1" customWidth="1"/>
    <col min="5642" max="5642" width="72.08984375" style="1" customWidth="1"/>
    <col min="5643" max="5643" width="21.81640625" style="1" customWidth="1"/>
    <col min="5644" max="5889" width="9.81640625" style="1"/>
    <col min="5890" max="5890" width="5.81640625" style="1" customWidth="1"/>
    <col min="5891" max="5891" width="15.54296875" style="1" customWidth="1"/>
    <col min="5892" max="5892" width="9.54296875" style="1" customWidth="1"/>
    <col min="5893" max="5893" width="30.81640625" style="1" customWidth="1"/>
    <col min="5894" max="5894" width="17.1796875" style="1" customWidth="1"/>
    <col min="5895" max="5895" width="69.1796875" style="1" customWidth="1"/>
    <col min="5896" max="5896" width="19.81640625" style="1" customWidth="1"/>
    <col min="5897" max="5897" width="18" style="1" customWidth="1"/>
    <col min="5898" max="5898" width="72.08984375" style="1" customWidth="1"/>
    <col min="5899" max="5899" width="21.81640625" style="1" customWidth="1"/>
    <col min="5900" max="6145" width="9.81640625" style="1"/>
    <col min="6146" max="6146" width="5.81640625" style="1" customWidth="1"/>
    <col min="6147" max="6147" width="15.54296875" style="1" customWidth="1"/>
    <col min="6148" max="6148" width="9.54296875" style="1" customWidth="1"/>
    <col min="6149" max="6149" width="30.81640625" style="1" customWidth="1"/>
    <col min="6150" max="6150" width="17.1796875" style="1" customWidth="1"/>
    <col min="6151" max="6151" width="69.1796875" style="1" customWidth="1"/>
    <col min="6152" max="6152" width="19.81640625" style="1" customWidth="1"/>
    <col min="6153" max="6153" width="18" style="1" customWidth="1"/>
    <col min="6154" max="6154" width="72.08984375" style="1" customWidth="1"/>
    <col min="6155" max="6155" width="21.81640625" style="1" customWidth="1"/>
    <col min="6156" max="6401" width="9.81640625" style="1"/>
    <col min="6402" max="6402" width="5.81640625" style="1" customWidth="1"/>
    <col min="6403" max="6403" width="15.54296875" style="1" customWidth="1"/>
    <col min="6404" max="6404" width="9.54296875" style="1" customWidth="1"/>
    <col min="6405" max="6405" width="30.81640625" style="1" customWidth="1"/>
    <col min="6406" max="6406" width="17.1796875" style="1" customWidth="1"/>
    <col min="6407" max="6407" width="69.1796875" style="1" customWidth="1"/>
    <col min="6408" max="6408" width="19.81640625" style="1" customWidth="1"/>
    <col min="6409" max="6409" width="18" style="1" customWidth="1"/>
    <col min="6410" max="6410" width="72.08984375" style="1" customWidth="1"/>
    <col min="6411" max="6411" width="21.81640625" style="1" customWidth="1"/>
    <col min="6412" max="6657" width="9.81640625" style="1"/>
    <col min="6658" max="6658" width="5.81640625" style="1" customWidth="1"/>
    <col min="6659" max="6659" width="15.54296875" style="1" customWidth="1"/>
    <col min="6660" max="6660" width="9.54296875" style="1" customWidth="1"/>
    <col min="6661" max="6661" width="30.81640625" style="1" customWidth="1"/>
    <col min="6662" max="6662" width="17.1796875" style="1" customWidth="1"/>
    <col min="6663" max="6663" width="69.1796875" style="1" customWidth="1"/>
    <col min="6664" max="6664" width="19.81640625" style="1" customWidth="1"/>
    <col min="6665" max="6665" width="18" style="1" customWidth="1"/>
    <col min="6666" max="6666" width="72.08984375" style="1" customWidth="1"/>
    <col min="6667" max="6667" width="21.81640625" style="1" customWidth="1"/>
    <col min="6668" max="6913" width="9.81640625" style="1"/>
    <col min="6914" max="6914" width="5.81640625" style="1" customWidth="1"/>
    <col min="6915" max="6915" width="15.54296875" style="1" customWidth="1"/>
    <col min="6916" max="6916" width="9.54296875" style="1" customWidth="1"/>
    <col min="6917" max="6917" width="30.81640625" style="1" customWidth="1"/>
    <col min="6918" max="6918" width="17.1796875" style="1" customWidth="1"/>
    <col min="6919" max="6919" width="69.1796875" style="1" customWidth="1"/>
    <col min="6920" max="6920" width="19.81640625" style="1" customWidth="1"/>
    <col min="6921" max="6921" width="18" style="1" customWidth="1"/>
    <col min="6922" max="6922" width="72.08984375" style="1" customWidth="1"/>
    <col min="6923" max="6923" width="21.81640625" style="1" customWidth="1"/>
    <col min="6924" max="7169" width="9.81640625" style="1"/>
    <col min="7170" max="7170" width="5.81640625" style="1" customWidth="1"/>
    <col min="7171" max="7171" width="15.54296875" style="1" customWidth="1"/>
    <col min="7172" max="7172" width="9.54296875" style="1" customWidth="1"/>
    <col min="7173" max="7173" width="30.81640625" style="1" customWidth="1"/>
    <col min="7174" max="7174" width="17.1796875" style="1" customWidth="1"/>
    <col min="7175" max="7175" width="69.1796875" style="1" customWidth="1"/>
    <col min="7176" max="7176" width="19.81640625" style="1" customWidth="1"/>
    <col min="7177" max="7177" width="18" style="1" customWidth="1"/>
    <col min="7178" max="7178" width="72.08984375" style="1" customWidth="1"/>
    <col min="7179" max="7179" width="21.81640625" style="1" customWidth="1"/>
    <col min="7180" max="7425" width="9.81640625" style="1"/>
    <col min="7426" max="7426" width="5.81640625" style="1" customWidth="1"/>
    <col min="7427" max="7427" width="15.54296875" style="1" customWidth="1"/>
    <col min="7428" max="7428" width="9.54296875" style="1" customWidth="1"/>
    <col min="7429" max="7429" width="30.81640625" style="1" customWidth="1"/>
    <col min="7430" max="7430" width="17.1796875" style="1" customWidth="1"/>
    <col min="7431" max="7431" width="69.1796875" style="1" customWidth="1"/>
    <col min="7432" max="7432" width="19.81640625" style="1" customWidth="1"/>
    <col min="7433" max="7433" width="18" style="1" customWidth="1"/>
    <col min="7434" max="7434" width="72.08984375" style="1" customWidth="1"/>
    <col min="7435" max="7435" width="21.81640625" style="1" customWidth="1"/>
    <col min="7436" max="7681" width="9.81640625" style="1"/>
    <col min="7682" max="7682" width="5.81640625" style="1" customWidth="1"/>
    <col min="7683" max="7683" width="15.54296875" style="1" customWidth="1"/>
    <col min="7684" max="7684" width="9.54296875" style="1" customWidth="1"/>
    <col min="7685" max="7685" width="30.81640625" style="1" customWidth="1"/>
    <col min="7686" max="7686" width="17.1796875" style="1" customWidth="1"/>
    <col min="7687" max="7687" width="69.1796875" style="1" customWidth="1"/>
    <col min="7688" max="7688" width="19.81640625" style="1" customWidth="1"/>
    <col min="7689" max="7689" width="18" style="1" customWidth="1"/>
    <col min="7690" max="7690" width="72.08984375" style="1" customWidth="1"/>
    <col min="7691" max="7691" width="21.81640625" style="1" customWidth="1"/>
    <col min="7692" max="7937" width="9.81640625" style="1"/>
    <col min="7938" max="7938" width="5.81640625" style="1" customWidth="1"/>
    <col min="7939" max="7939" width="15.54296875" style="1" customWidth="1"/>
    <col min="7940" max="7940" width="9.54296875" style="1" customWidth="1"/>
    <col min="7941" max="7941" width="30.81640625" style="1" customWidth="1"/>
    <col min="7942" max="7942" width="17.1796875" style="1" customWidth="1"/>
    <col min="7943" max="7943" width="69.1796875" style="1" customWidth="1"/>
    <col min="7944" max="7944" width="19.81640625" style="1" customWidth="1"/>
    <col min="7945" max="7945" width="18" style="1" customWidth="1"/>
    <col min="7946" max="7946" width="72.08984375" style="1" customWidth="1"/>
    <col min="7947" max="7947" width="21.81640625" style="1" customWidth="1"/>
    <col min="7948" max="8193" width="9.81640625" style="1"/>
    <col min="8194" max="8194" width="5.81640625" style="1" customWidth="1"/>
    <col min="8195" max="8195" width="15.54296875" style="1" customWidth="1"/>
    <col min="8196" max="8196" width="9.54296875" style="1" customWidth="1"/>
    <col min="8197" max="8197" width="30.81640625" style="1" customWidth="1"/>
    <col min="8198" max="8198" width="17.1796875" style="1" customWidth="1"/>
    <col min="8199" max="8199" width="69.1796875" style="1" customWidth="1"/>
    <col min="8200" max="8200" width="19.81640625" style="1" customWidth="1"/>
    <col min="8201" max="8201" width="18" style="1" customWidth="1"/>
    <col min="8202" max="8202" width="72.08984375" style="1" customWidth="1"/>
    <col min="8203" max="8203" width="21.81640625" style="1" customWidth="1"/>
    <col min="8204" max="8449" width="9.81640625" style="1"/>
    <col min="8450" max="8450" width="5.81640625" style="1" customWidth="1"/>
    <col min="8451" max="8451" width="15.54296875" style="1" customWidth="1"/>
    <col min="8452" max="8452" width="9.54296875" style="1" customWidth="1"/>
    <col min="8453" max="8453" width="30.81640625" style="1" customWidth="1"/>
    <col min="8454" max="8454" width="17.1796875" style="1" customWidth="1"/>
    <col min="8455" max="8455" width="69.1796875" style="1" customWidth="1"/>
    <col min="8456" max="8456" width="19.81640625" style="1" customWidth="1"/>
    <col min="8457" max="8457" width="18" style="1" customWidth="1"/>
    <col min="8458" max="8458" width="72.08984375" style="1" customWidth="1"/>
    <col min="8459" max="8459" width="21.81640625" style="1" customWidth="1"/>
    <col min="8460" max="8705" width="9.81640625" style="1"/>
    <col min="8706" max="8706" width="5.81640625" style="1" customWidth="1"/>
    <col min="8707" max="8707" width="15.54296875" style="1" customWidth="1"/>
    <col min="8708" max="8708" width="9.54296875" style="1" customWidth="1"/>
    <col min="8709" max="8709" width="30.81640625" style="1" customWidth="1"/>
    <col min="8710" max="8710" width="17.1796875" style="1" customWidth="1"/>
    <col min="8711" max="8711" width="69.1796875" style="1" customWidth="1"/>
    <col min="8712" max="8712" width="19.81640625" style="1" customWidth="1"/>
    <col min="8713" max="8713" width="18" style="1" customWidth="1"/>
    <col min="8714" max="8714" width="72.08984375" style="1" customWidth="1"/>
    <col min="8715" max="8715" width="21.81640625" style="1" customWidth="1"/>
    <col min="8716" max="8961" width="9.81640625" style="1"/>
    <col min="8962" max="8962" width="5.81640625" style="1" customWidth="1"/>
    <col min="8963" max="8963" width="15.54296875" style="1" customWidth="1"/>
    <col min="8964" max="8964" width="9.54296875" style="1" customWidth="1"/>
    <col min="8965" max="8965" width="30.81640625" style="1" customWidth="1"/>
    <col min="8966" max="8966" width="17.1796875" style="1" customWidth="1"/>
    <col min="8967" max="8967" width="69.1796875" style="1" customWidth="1"/>
    <col min="8968" max="8968" width="19.81640625" style="1" customWidth="1"/>
    <col min="8969" max="8969" width="18" style="1" customWidth="1"/>
    <col min="8970" max="8970" width="72.08984375" style="1" customWidth="1"/>
    <col min="8971" max="8971" width="21.81640625" style="1" customWidth="1"/>
    <col min="8972" max="9217" width="9.81640625" style="1"/>
    <col min="9218" max="9218" width="5.81640625" style="1" customWidth="1"/>
    <col min="9219" max="9219" width="15.54296875" style="1" customWidth="1"/>
    <col min="9220" max="9220" width="9.54296875" style="1" customWidth="1"/>
    <col min="9221" max="9221" width="30.81640625" style="1" customWidth="1"/>
    <col min="9222" max="9222" width="17.1796875" style="1" customWidth="1"/>
    <col min="9223" max="9223" width="69.1796875" style="1" customWidth="1"/>
    <col min="9224" max="9224" width="19.81640625" style="1" customWidth="1"/>
    <col min="9225" max="9225" width="18" style="1" customWidth="1"/>
    <col min="9226" max="9226" width="72.08984375" style="1" customWidth="1"/>
    <col min="9227" max="9227" width="21.81640625" style="1" customWidth="1"/>
    <col min="9228" max="9473" width="9.81640625" style="1"/>
    <col min="9474" max="9474" width="5.81640625" style="1" customWidth="1"/>
    <col min="9475" max="9475" width="15.54296875" style="1" customWidth="1"/>
    <col min="9476" max="9476" width="9.54296875" style="1" customWidth="1"/>
    <col min="9477" max="9477" width="30.81640625" style="1" customWidth="1"/>
    <col min="9478" max="9478" width="17.1796875" style="1" customWidth="1"/>
    <col min="9479" max="9479" width="69.1796875" style="1" customWidth="1"/>
    <col min="9480" max="9480" width="19.81640625" style="1" customWidth="1"/>
    <col min="9481" max="9481" width="18" style="1" customWidth="1"/>
    <col min="9482" max="9482" width="72.08984375" style="1" customWidth="1"/>
    <col min="9483" max="9483" width="21.81640625" style="1" customWidth="1"/>
    <col min="9484" max="9729" width="9.81640625" style="1"/>
    <col min="9730" max="9730" width="5.81640625" style="1" customWidth="1"/>
    <col min="9731" max="9731" width="15.54296875" style="1" customWidth="1"/>
    <col min="9732" max="9732" width="9.54296875" style="1" customWidth="1"/>
    <col min="9733" max="9733" width="30.81640625" style="1" customWidth="1"/>
    <col min="9734" max="9734" width="17.1796875" style="1" customWidth="1"/>
    <col min="9735" max="9735" width="69.1796875" style="1" customWidth="1"/>
    <col min="9736" max="9736" width="19.81640625" style="1" customWidth="1"/>
    <col min="9737" max="9737" width="18" style="1" customWidth="1"/>
    <col min="9738" max="9738" width="72.08984375" style="1" customWidth="1"/>
    <col min="9739" max="9739" width="21.81640625" style="1" customWidth="1"/>
    <col min="9740" max="9985" width="9.81640625" style="1"/>
    <col min="9986" max="9986" width="5.81640625" style="1" customWidth="1"/>
    <col min="9987" max="9987" width="15.54296875" style="1" customWidth="1"/>
    <col min="9988" max="9988" width="9.54296875" style="1" customWidth="1"/>
    <col min="9989" max="9989" width="30.81640625" style="1" customWidth="1"/>
    <col min="9990" max="9990" width="17.1796875" style="1" customWidth="1"/>
    <col min="9991" max="9991" width="69.1796875" style="1" customWidth="1"/>
    <col min="9992" max="9992" width="19.81640625" style="1" customWidth="1"/>
    <col min="9993" max="9993" width="18" style="1" customWidth="1"/>
    <col min="9994" max="9994" width="72.08984375" style="1" customWidth="1"/>
    <col min="9995" max="9995" width="21.81640625" style="1" customWidth="1"/>
    <col min="9996" max="10241" width="9.81640625" style="1"/>
    <col min="10242" max="10242" width="5.81640625" style="1" customWidth="1"/>
    <col min="10243" max="10243" width="15.54296875" style="1" customWidth="1"/>
    <col min="10244" max="10244" width="9.54296875" style="1" customWidth="1"/>
    <col min="10245" max="10245" width="30.81640625" style="1" customWidth="1"/>
    <col min="10246" max="10246" width="17.1796875" style="1" customWidth="1"/>
    <col min="10247" max="10247" width="69.1796875" style="1" customWidth="1"/>
    <col min="10248" max="10248" width="19.81640625" style="1" customWidth="1"/>
    <col min="10249" max="10249" width="18" style="1" customWidth="1"/>
    <col min="10250" max="10250" width="72.08984375" style="1" customWidth="1"/>
    <col min="10251" max="10251" width="21.81640625" style="1" customWidth="1"/>
    <col min="10252" max="10497" width="9.81640625" style="1"/>
    <col min="10498" max="10498" width="5.81640625" style="1" customWidth="1"/>
    <col min="10499" max="10499" width="15.54296875" style="1" customWidth="1"/>
    <col min="10500" max="10500" width="9.54296875" style="1" customWidth="1"/>
    <col min="10501" max="10501" width="30.81640625" style="1" customWidth="1"/>
    <col min="10502" max="10502" width="17.1796875" style="1" customWidth="1"/>
    <col min="10503" max="10503" width="69.1796875" style="1" customWidth="1"/>
    <col min="10504" max="10504" width="19.81640625" style="1" customWidth="1"/>
    <col min="10505" max="10505" width="18" style="1" customWidth="1"/>
    <col min="10506" max="10506" width="72.08984375" style="1" customWidth="1"/>
    <col min="10507" max="10507" width="21.81640625" style="1" customWidth="1"/>
    <col min="10508" max="10753" width="9.81640625" style="1"/>
    <col min="10754" max="10754" width="5.81640625" style="1" customWidth="1"/>
    <col min="10755" max="10755" width="15.54296875" style="1" customWidth="1"/>
    <col min="10756" max="10756" width="9.54296875" style="1" customWidth="1"/>
    <col min="10757" max="10757" width="30.81640625" style="1" customWidth="1"/>
    <col min="10758" max="10758" width="17.1796875" style="1" customWidth="1"/>
    <col min="10759" max="10759" width="69.1796875" style="1" customWidth="1"/>
    <col min="10760" max="10760" width="19.81640625" style="1" customWidth="1"/>
    <col min="10761" max="10761" width="18" style="1" customWidth="1"/>
    <col min="10762" max="10762" width="72.08984375" style="1" customWidth="1"/>
    <col min="10763" max="10763" width="21.81640625" style="1" customWidth="1"/>
    <col min="10764" max="11009" width="9.81640625" style="1"/>
    <col min="11010" max="11010" width="5.81640625" style="1" customWidth="1"/>
    <col min="11011" max="11011" width="15.54296875" style="1" customWidth="1"/>
    <col min="11012" max="11012" width="9.54296875" style="1" customWidth="1"/>
    <col min="11013" max="11013" width="30.81640625" style="1" customWidth="1"/>
    <col min="11014" max="11014" width="17.1796875" style="1" customWidth="1"/>
    <col min="11015" max="11015" width="69.1796875" style="1" customWidth="1"/>
    <col min="11016" max="11016" width="19.81640625" style="1" customWidth="1"/>
    <col min="11017" max="11017" width="18" style="1" customWidth="1"/>
    <col min="11018" max="11018" width="72.08984375" style="1" customWidth="1"/>
    <col min="11019" max="11019" width="21.81640625" style="1" customWidth="1"/>
    <col min="11020" max="11265" width="9.81640625" style="1"/>
    <col min="11266" max="11266" width="5.81640625" style="1" customWidth="1"/>
    <col min="11267" max="11267" width="15.54296875" style="1" customWidth="1"/>
    <col min="11268" max="11268" width="9.54296875" style="1" customWidth="1"/>
    <col min="11269" max="11269" width="30.81640625" style="1" customWidth="1"/>
    <col min="11270" max="11270" width="17.1796875" style="1" customWidth="1"/>
    <col min="11271" max="11271" width="69.1796875" style="1" customWidth="1"/>
    <col min="11272" max="11272" width="19.81640625" style="1" customWidth="1"/>
    <col min="11273" max="11273" width="18" style="1" customWidth="1"/>
    <col min="11274" max="11274" width="72.08984375" style="1" customWidth="1"/>
    <col min="11275" max="11275" width="21.81640625" style="1" customWidth="1"/>
    <col min="11276" max="11521" width="9.81640625" style="1"/>
    <col min="11522" max="11522" width="5.81640625" style="1" customWidth="1"/>
    <col min="11523" max="11523" width="15.54296875" style="1" customWidth="1"/>
    <col min="11524" max="11524" width="9.54296875" style="1" customWidth="1"/>
    <col min="11525" max="11525" width="30.81640625" style="1" customWidth="1"/>
    <col min="11526" max="11526" width="17.1796875" style="1" customWidth="1"/>
    <col min="11527" max="11527" width="69.1796875" style="1" customWidth="1"/>
    <col min="11528" max="11528" width="19.81640625" style="1" customWidth="1"/>
    <col min="11529" max="11529" width="18" style="1" customWidth="1"/>
    <col min="11530" max="11530" width="72.08984375" style="1" customWidth="1"/>
    <col min="11531" max="11531" width="21.81640625" style="1" customWidth="1"/>
    <col min="11532" max="11777" width="9.81640625" style="1"/>
    <col min="11778" max="11778" width="5.81640625" style="1" customWidth="1"/>
    <col min="11779" max="11779" width="15.54296875" style="1" customWidth="1"/>
    <col min="11780" max="11780" width="9.54296875" style="1" customWidth="1"/>
    <col min="11781" max="11781" width="30.81640625" style="1" customWidth="1"/>
    <col min="11782" max="11782" width="17.1796875" style="1" customWidth="1"/>
    <col min="11783" max="11783" width="69.1796875" style="1" customWidth="1"/>
    <col min="11784" max="11784" width="19.81640625" style="1" customWidth="1"/>
    <col min="11785" max="11785" width="18" style="1" customWidth="1"/>
    <col min="11786" max="11786" width="72.08984375" style="1" customWidth="1"/>
    <col min="11787" max="11787" width="21.81640625" style="1" customWidth="1"/>
    <col min="11788" max="12033" width="9.81640625" style="1"/>
    <col min="12034" max="12034" width="5.81640625" style="1" customWidth="1"/>
    <col min="12035" max="12035" width="15.54296875" style="1" customWidth="1"/>
    <col min="12036" max="12036" width="9.54296875" style="1" customWidth="1"/>
    <col min="12037" max="12037" width="30.81640625" style="1" customWidth="1"/>
    <col min="12038" max="12038" width="17.1796875" style="1" customWidth="1"/>
    <col min="12039" max="12039" width="69.1796875" style="1" customWidth="1"/>
    <col min="12040" max="12040" width="19.81640625" style="1" customWidth="1"/>
    <col min="12041" max="12041" width="18" style="1" customWidth="1"/>
    <col min="12042" max="12042" width="72.08984375" style="1" customWidth="1"/>
    <col min="12043" max="12043" width="21.81640625" style="1" customWidth="1"/>
    <col min="12044" max="12289" width="9.81640625" style="1"/>
    <col min="12290" max="12290" width="5.81640625" style="1" customWidth="1"/>
    <col min="12291" max="12291" width="15.54296875" style="1" customWidth="1"/>
    <col min="12292" max="12292" width="9.54296875" style="1" customWidth="1"/>
    <col min="12293" max="12293" width="30.81640625" style="1" customWidth="1"/>
    <col min="12294" max="12294" width="17.1796875" style="1" customWidth="1"/>
    <col min="12295" max="12295" width="69.1796875" style="1" customWidth="1"/>
    <col min="12296" max="12296" width="19.81640625" style="1" customWidth="1"/>
    <col min="12297" max="12297" width="18" style="1" customWidth="1"/>
    <col min="12298" max="12298" width="72.08984375" style="1" customWidth="1"/>
    <col min="12299" max="12299" width="21.81640625" style="1" customWidth="1"/>
    <col min="12300" max="12545" width="9.81640625" style="1"/>
    <col min="12546" max="12546" width="5.81640625" style="1" customWidth="1"/>
    <col min="12547" max="12547" width="15.54296875" style="1" customWidth="1"/>
    <col min="12548" max="12548" width="9.54296875" style="1" customWidth="1"/>
    <col min="12549" max="12549" width="30.81640625" style="1" customWidth="1"/>
    <col min="12550" max="12550" width="17.1796875" style="1" customWidth="1"/>
    <col min="12551" max="12551" width="69.1796875" style="1" customWidth="1"/>
    <col min="12552" max="12552" width="19.81640625" style="1" customWidth="1"/>
    <col min="12553" max="12553" width="18" style="1" customWidth="1"/>
    <col min="12554" max="12554" width="72.08984375" style="1" customWidth="1"/>
    <col min="12555" max="12555" width="21.81640625" style="1" customWidth="1"/>
    <col min="12556" max="12801" width="9.81640625" style="1"/>
    <col min="12802" max="12802" width="5.81640625" style="1" customWidth="1"/>
    <col min="12803" max="12803" width="15.54296875" style="1" customWidth="1"/>
    <col min="12804" max="12804" width="9.54296875" style="1" customWidth="1"/>
    <col min="12805" max="12805" width="30.81640625" style="1" customWidth="1"/>
    <col min="12806" max="12806" width="17.1796875" style="1" customWidth="1"/>
    <col min="12807" max="12807" width="69.1796875" style="1" customWidth="1"/>
    <col min="12808" max="12808" width="19.81640625" style="1" customWidth="1"/>
    <col min="12809" max="12809" width="18" style="1" customWidth="1"/>
    <col min="12810" max="12810" width="72.08984375" style="1" customWidth="1"/>
    <col min="12811" max="12811" width="21.81640625" style="1" customWidth="1"/>
    <col min="12812" max="13057" width="9.81640625" style="1"/>
    <col min="13058" max="13058" width="5.81640625" style="1" customWidth="1"/>
    <col min="13059" max="13059" width="15.54296875" style="1" customWidth="1"/>
    <col min="13060" max="13060" width="9.54296875" style="1" customWidth="1"/>
    <col min="13061" max="13061" width="30.81640625" style="1" customWidth="1"/>
    <col min="13062" max="13062" width="17.1796875" style="1" customWidth="1"/>
    <col min="13063" max="13063" width="69.1796875" style="1" customWidth="1"/>
    <col min="13064" max="13064" width="19.81640625" style="1" customWidth="1"/>
    <col min="13065" max="13065" width="18" style="1" customWidth="1"/>
    <col min="13066" max="13066" width="72.08984375" style="1" customWidth="1"/>
    <col min="13067" max="13067" width="21.81640625" style="1" customWidth="1"/>
    <col min="13068" max="13313" width="9.81640625" style="1"/>
    <col min="13314" max="13314" width="5.81640625" style="1" customWidth="1"/>
    <col min="13315" max="13315" width="15.54296875" style="1" customWidth="1"/>
    <col min="13316" max="13316" width="9.54296875" style="1" customWidth="1"/>
    <col min="13317" max="13317" width="30.81640625" style="1" customWidth="1"/>
    <col min="13318" max="13318" width="17.1796875" style="1" customWidth="1"/>
    <col min="13319" max="13319" width="69.1796875" style="1" customWidth="1"/>
    <col min="13320" max="13320" width="19.81640625" style="1" customWidth="1"/>
    <col min="13321" max="13321" width="18" style="1" customWidth="1"/>
    <col min="13322" max="13322" width="72.08984375" style="1" customWidth="1"/>
    <col min="13323" max="13323" width="21.81640625" style="1" customWidth="1"/>
    <col min="13324" max="13569" width="9.81640625" style="1"/>
    <col min="13570" max="13570" width="5.81640625" style="1" customWidth="1"/>
    <col min="13571" max="13571" width="15.54296875" style="1" customWidth="1"/>
    <col min="13572" max="13572" width="9.54296875" style="1" customWidth="1"/>
    <col min="13573" max="13573" width="30.81640625" style="1" customWidth="1"/>
    <col min="13574" max="13574" width="17.1796875" style="1" customWidth="1"/>
    <col min="13575" max="13575" width="69.1796875" style="1" customWidth="1"/>
    <col min="13576" max="13576" width="19.81640625" style="1" customWidth="1"/>
    <col min="13577" max="13577" width="18" style="1" customWidth="1"/>
    <col min="13578" max="13578" width="72.08984375" style="1" customWidth="1"/>
    <col min="13579" max="13579" width="21.81640625" style="1" customWidth="1"/>
    <col min="13580" max="13825" width="9.81640625" style="1"/>
    <col min="13826" max="13826" width="5.81640625" style="1" customWidth="1"/>
    <col min="13827" max="13827" width="15.54296875" style="1" customWidth="1"/>
    <col min="13828" max="13828" width="9.54296875" style="1" customWidth="1"/>
    <col min="13829" max="13829" width="30.81640625" style="1" customWidth="1"/>
    <col min="13830" max="13830" width="17.1796875" style="1" customWidth="1"/>
    <col min="13831" max="13831" width="69.1796875" style="1" customWidth="1"/>
    <col min="13832" max="13832" width="19.81640625" style="1" customWidth="1"/>
    <col min="13833" max="13833" width="18" style="1" customWidth="1"/>
    <col min="13834" max="13834" width="72.08984375" style="1" customWidth="1"/>
    <col min="13835" max="13835" width="21.81640625" style="1" customWidth="1"/>
    <col min="13836" max="14081" width="9.81640625" style="1"/>
    <col min="14082" max="14082" width="5.81640625" style="1" customWidth="1"/>
    <col min="14083" max="14083" width="15.54296875" style="1" customWidth="1"/>
    <col min="14084" max="14084" width="9.54296875" style="1" customWidth="1"/>
    <col min="14085" max="14085" width="30.81640625" style="1" customWidth="1"/>
    <col min="14086" max="14086" width="17.1796875" style="1" customWidth="1"/>
    <col min="14087" max="14087" width="69.1796875" style="1" customWidth="1"/>
    <col min="14088" max="14088" width="19.81640625" style="1" customWidth="1"/>
    <col min="14089" max="14089" width="18" style="1" customWidth="1"/>
    <col min="14090" max="14090" width="72.08984375" style="1" customWidth="1"/>
    <col min="14091" max="14091" width="21.81640625" style="1" customWidth="1"/>
    <col min="14092" max="14337" width="9.81640625" style="1"/>
    <col min="14338" max="14338" width="5.81640625" style="1" customWidth="1"/>
    <col min="14339" max="14339" width="15.54296875" style="1" customWidth="1"/>
    <col min="14340" max="14340" width="9.54296875" style="1" customWidth="1"/>
    <col min="14341" max="14341" width="30.81640625" style="1" customWidth="1"/>
    <col min="14342" max="14342" width="17.1796875" style="1" customWidth="1"/>
    <col min="14343" max="14343" width="69.1796875" style="1" customWidth="1"/>
    <col min="14344" max="14344" width="19.81640625" style="1" customWidth="1"/>
    <col min="14345" max="14345" width="18" style="1" customWidth="1"/>
    <col min="14346" max="14346" width="72.08984375" style="1" customWidth="1"/>
    <col min="14347" max="14347" width="21.81640625" style="1" customWidth="1"/>
    <col min="14348" max="14593" width="9.81640625" style="1"/>
    <col min="14594" max="14594" width="5.81640625" style="1" customWidth="1"/>
    <col min="14595" max="14595" width="15.54296875" style="1" customWidth="1"/>
    <col min="14596" max="14596" width="9.54296875" style="1" customWidth="1"/>
    <col min="14597" max="14597" width="30.81640625" style="1" customWidth="1"/>
    <col min="14598" max="14598" width="17.1796875" style="1" customWidth="1"/>
    <col min="14599" max="14599" width="69.1796875" style="1" customWidth="1"/>
    <col min="14600" max="14600" width="19.81640625" style="1" customWidth="1"/>
    <col min="14601" max="14601" width="18" style="1" customWidth="1"/>
    <col min="14602" max="14602" width="72.08984375" style="1" customWidth="1"/>
    <col min="14603" max="14603" width="21.81640625" style="1" customWidth="1"/>
    <col min="14604" max="14849" width="9.81640625" style="1"/>
    <col min="14850" max="14850" width="5.81640625" style="1" customWidth="1"/>
    <col min="14851" max="14851" width="15.54296875" style="1" customWidth="1"/>
    <col min="14852" max="14852" width="9.54296875" style="1" customWidth="1"/>
    <col min="14853" max="14853" width="30.81640625" style="1" customWidth="1"/>
    <col min="14854" max="14854" width="17.1796875" style="1" customWidth="1"/>
    <col min="14855" max="14855" width="69.1796875" style="1" customWidth="1"/>
    <col min="14856" max="14856" width="19.81640625" style="1" customWidth="1"/>
    <col min="14857" max="14857" width="18" style="1" customWidth="1"/>
    <col min="14858" max="14858" width="72.08984375" style="1" customWidth="1"/>
    <col min="14859" max="14859" width="21.81640625" style="1" customWidth="1"/>
    <col min="14860" max="15105" width="9.81640625" style="1"/>
    <col min="15106" max="15106" width="5.81640625" style="1" customWidth="1"/>
    <col min="15107" max="15107" width="15.54296875" style="1" customWidth="1"/>
    <col min="15108" max="15108" width="9.54296875" style="1" customWidth="1"/>
    <col min="15109" max="15109" width="30.81640625" style="1" customWidth="1"/>
    <col min="15110" max="15110" width="17.1796875" style="1" customWidth="1"/>
    <col min="15111" max="15111" width="69.1796875" style="1" customWidth="1"/>
    <col min="15112" max="15112" width="19.81640625" style="1" customWidth="1"/>
    <col min="15113" max="15113" width="18" style="1" customWidth="1"/>
    <col min="15114" max="15114" width="72.08984375" style="1" customWidth="1"/>
    <col min="15115" max="15115" width="21.81640625" style="1" customWidth="1"/>
    <col min="15116" max="15361" width="9.81640625" style="1"/>
    <col min="15362" max="15362" width="5.81640625" style="1" customWidth="1"/>
    <col min="15363" max="15363" width="15.54296875" style="1" customWidth="1"/>
    <col min="15364" max="15364" width="9.54296875" style="1" customWidth="1"/>
    <col min="15365" max="15365" width="30.81640625" style="1" customWidth="1"/>
    <col min="15366" max="15366" width="17.1796875" style="1" customWidth="1"/>
    <col min="15367" max="15367" width="69.1796875" style="1" customWidth="1"/>
    <col min="15368" max="15368" width="19.81640625" style="1" customWidth="1"/>
    <col min="15369" max="15369" width="18" style="1" customWidth="1"/>
    <col min="15370" max="15370" width="72.08984375" style="1" customWidth="1"/>
    <col min="15371" max="15371" width="21.81640625" style="1" customWidth="1"/>
    <col min="15372" max="15617" width="9.81640625" style="1"/>
    <col min="15618" max="15618" width="5.81640625" style="1" customWidth="1"/>
    <col min="15619" max="15619" width="15.54296875" style="1" customWidth="1"/>
    <col min="15620" max="15620" width="9.54296875" style="1" customWidth="1"/>
    <col min="15621" max="15621" width="30.81640625" style="1" customWidth="1"/>
    <col min="15622" max="15622" width="17.1796875" style="1" customWidth="1"/>
    <col min="15623" max="15623" width="69.1796875" style="1" customWidth="1"/>
    <col min="15624" max="15624" width="19.81640625" style="1" customWidth="1"/>
    <col min="15625" max="15625" width="18" style="1" customWidth="1"/>
    <col min="15626" max="15626" width="72.08984375" style="1" customWidth="1"/>
    <col min="15627" max="15627" width="21.81640625" style="1" customWidth="1"/>
    <col min="15628" max="15873" width="9.81640625" style="1"/>
    <col min="15874" max="15874" width="5.81640625" style="1" customWidth="1"/>
    <col min="15875" max="15875" width="15.54296875" style="1" customWidth="1"/>
    <col min="15876" max="15876" width="9.54296875" style="1" customWidth="1"/>
    <col min="15877" max="15877" width="30.81640625" style="1" customWidth="1"/>
    <col min="15878" max="15878" width="17.1796875" style="1" customWidth="1"/>
    <col min="15879" max="15879" width="69.1796875" style="1" customWidth="1"/>
    <col min="15880" max="15880" width="19.81640625" style="1" customWidth="1"/>
    <col min="15881" max="15881" width="18" style="1" customWidth="1"/>
    <col min="15882" max="15882" width="72.08984375" style="1" customWidth="1"/>
    <col min="15883" max="15883" width="21.81640625" style="1" customWidth="1"/>
    <col min="15884" max="16129" width="9.81640625" style="1"/>
    <col min="16130" max="16130" width="5.81640625" style="1" customWidth="1"/>
    <col min="16131" max="16131" width="15.54296875" style="1" customWidth="1"/>
    <col min="16132" max="16132" width="9.54296875" style="1" customWidth="1"/>
    <col min="16133" max="16133" width="30.81640625" style="1" customWidth="1"/>
    <col min="16134" max="16134" width="17.1796875" style="1" customWidth="1"/>
    <col min="16135" max="16135" width="69.1796875" style="1" customWidth="1"/>
    <col min="16136" max="16136" width="19.81640625" style="1" customWidth="1"/>
    <col min="16137" max="16137" width="18" style="1" customWidth="1"/>
    <col min="16138" max="16138" width="72.08984375" style="1" customWidth="1"/>
    <col min="16139" max="16139" width="21.81640625" style="1" customWidth="1"/>
    <col min="16140" max="16384" width="9.81640625" style="1"/>
  </cols>
  <sheetData>
    <row r="1" spans="2:11" x14ac:dyDescent="0.25">
      <c r="G1" s="294" t="s">
        <v>31</v>
      </c>
      <c r="H1" s="295"/>
      <c r="I1" s="296"/>
    </row>
    <row r="2" spans="2:11" ht="4.5" customHeight="1" x14ac:dyDescent="0.25"/>
    <row r="3" spans="2:11" s="288" customFormat="1" ht="38" customHeight="1" x14ac:dyDescent="0.25">
      <c r="B3" s="297" t="s">
        <v>32</v>
      </c>
      <c r="C3" s="297" t="s">
        <v>14</v>
      </c>
      <c r="D3" s="297" t="s">
        <v>33</v>
      </c>
      <c r="E3" s="297" t="s">
        <v>34</v>
      </c>
      <c r="F3" s="297" t="s">
        <v>35</v>
      </c>
      <c r="G3" s="297" t="s">
        <v>36</v>
      </c>
      <c r="H3" s="297" t="s">
        <v>37</v>
      </c>
      <c r="I3" s="297" t="s">
        <v>38</v>
      </c>
      <c r="J3" s="297" t="s">
        <v>39</v>
      </c>
      <c r="K3" s="297" t="s">
        <v>40</v>
      </c>
    </row>
    <row r="4" spans="2:11" s="288" customFormat="1" ht="38" customHeight="1" x14ac:dyDescent="0.25">
      <c r="B4" s="298"/>
      <c r="C4" s="297">
        <v>1</v>
      </c>
      <c r="D4" s="299" t="s">
        <v>41</v>
      </c>
      <c r="E4" s="300" t="s">
        <v>42</v>
      </c>
      <c r="F4" s="301"/>
      <c r="G4" s="302" t="s">
        <v>43</v>
      </c>
      <c r="H4" s="300">
        <v>1000</v>
      </c>
      <c r="I4" s="300" t="s">
        <v>44</v>
      </c>
      <c r="J4" s="297"/>
      <c r="K4" s="297"/>
    </row>
    <row r="5" spans="2:11" s="288" customFormat="1" ht="38" customHeight="1" x14ac:dyDescent="0.25">
      <c r="B5" s="298"/>
      <c r="C5" s="297">
        <v>2</v>
      </c>
      <c r="D5" s="299" t="s">
        <v>45</v>
      </c>
      <c r="E5" s="300" t="s">
        <v>42</v>
      </c>
      <c r="F5" s="301"/>
      <c r="G5" s="302"/>
      <c r="H5" s="300">
        <v>5</v>
      </c>
      <c r="I5" s="300" t="s">
        <v>46</v>
      </c>
      <c r="J5" s="297"/>
      <c r="K5" s="297"/>
    </row>
    <row r="6" spans="2:11" s="288" customFormat="1" ht="38" customHeight="1" x14ac:dyDescent="0.25">
      <c r="B6" s="298"/>
      <c r="C6" s="297">
        <v>3</v>
      </c>
      <c r="D6" s="299" t="s">
        <v>47</v>
      </c>
      <c r="E6" s="300" t="s">
        <v>42</v>
      </c>
      <c r="F6" s="301"/>
      <c r="G6" s="302"/>
      <c r="H6" s="300">
        <v>4000</v>
      </c>
      <c r="I6" s="300" t="s">
        <v>48</v>
      </c>
      <c r="J6" s="297"/>
      <c r="K6" s="297"/>
    </row>
    <row r="7" spans="2:11" s="288" customFormat="1" ht="43" customHeight="1" x14ac:dyDescent="0.25">
      <c r="B7" s="298"/>
      <c r="C7" s="297">
        <v>4</v>
      </c>
      <c r="D7" s="299" t="s">
        <v>49</v>
      </c>
      <c r="E7" s="300"/>
      <c r="F7" s="301"/>
      <c r="G7" s="302"/>
      <c r="H7" s="300"/>
      <c r="I7" s="300"/>
      <c r="J7" s="303" t="s">
        <v>50</v>
      </c>
      <c r="K7" s="297"/>
    </row>
    <row r="8" spans="2:11" s="288" customFormat="1" ht="43" customHeight="1" x14ac:dyDescent="0.25">
      <c r="B8" s="298"/>
      <c r="C8" s="297"/>
      <c r="D8" s="304" t="s">
        <v>51</v>
      </c>
      <c r="E8" s="300" t="s">
        <v>42</v>
      </c>
      <c r="F8" s="301"/>
      <c r="G8" s="302"/>
      <c r="H8" s="300">
        <v>120000</v>
      </c>
      <c r="I8" s="300" t="s">
        <v>52</v>
      </c>
      <c r="J8" s="303"/>
      <c r="K8" s="297"/>
    </row>
    <row r="9" spans="2:11" s="288" customFormat="1" ht="43" customHeight="1" x14ac:dyDescent="0.25">
      <c r="B9" s="298"/>
      <c r="C9" s="297"/>
      <c r="D9" s="304" t="s">
        <v>53</v>
      </c>
      <c r="E9" s="300" t="s">
        <v>42</v>
      </c>
      <c r="F9" s="301"/>
      <c r="G9" s="302"/>
      <c r="H9" s="300">
        <v>120000</v>
      </c>
      <c r="I9" s="300" t="s">
        <v>52</v>
      </c>
      <c r="J9" s="303"/>
      <c r="K9" s="297"/>
    </row>
    <row r="10" spans="2:11" s="288" customFormat="1" ht="43" customHeight="1" x14ac:dyDescent="0.25">
      <c r="B10" s="298"/>
      <c r="C10" s="297"/>
      <c r="D10" s="304" t="s">
        <v>54</v>
      </c>
      <c r="E10" s="300" t="s">
        <v>42</v>
      </c>
      <c r="F10" s="301"/>
      <c r="G10" s="302"/>
      <c r="H10" s="300">
        <v>120000</v>
      </c>
      <c r="I10" s="300" t="s">
        <v>52</v>
      </c>
      <c r="J10" s="303"/>
      <c r="K10" s="297"/>
    </row>
    <row r="11" spans="2:11" s="288" customFormat="1" ht="43" customHeight="1" x14ac:dyDescent="0.25">
      <c r="B11" s="298"/>
      <c r="C11" s="297"/>
      <c r="D11" s="304" t="s">
        <v>55</v>
      </c>
      <c r="E11" s="300" t="s">
        <v>42</v>
      </c>
      <c r="F11" s="301"/>
      <c r="G11" s="302"/>
      <c r="H11" s="300">
        <v>120000</v>
      </c>
      <c r="I11" s="300" t="s">
        <v>52</v>
      </c>
      <c r="J11" s="303"/>
      <c r="K11" s="297"/>
    </row>
    <row r="12" spans="2:11" s="288" customFormat="1" ht="43" customHeight="1" x14ac:dyDescent="0.25">
      <c r="B12" s="298"/>
      <c r="C12" s="297"/>
      <c r="D12" s="304" t="s">
        <v>56</v>
      </c>
      <c r="E12" s="300" t="s">
        <v>42</v>
      </c>
      <c r="F12" s="301"/>
      <c r="G12" s="302"/>
      <c r="H12" s="300">
        <v>120000</v>
      </c>
      <c r="I12" s="300" t="s">
        <v>52</v>
      </c>
      <c r="J12" s="303"/>
      <c r="K12" s="297"/>
    </row>
    <row r="13" spans="2:11" s="288" customFormat="1" ht="43" customHeight="1" x14ac:dyDescent="0.25">
      <c r="B13" s="298"/>
      <c r="C13" s="297"/>
      <c r="D13" s="304" t="s">
        <v>57</v>
      </c>
      <c r="E13" s="300" t="s">
        <v>42</v>
      </c>
      <c r="F13" s="301"/>
      <c r="G13" s="302"/>
      <c r="H13" s="300">
        <v>120000</v>
      </c>
      <c r="I13" s="300" t="s">
        <v>52</v>
      </c>
      <c r="J13" s="303"/>
      <c r="K13" s="297"/>
    </row>
    <row r="14" spans="2:11" s="288" customFormat="1" ht="43" customHeight="1" x14ac:dyDescent="0.25">
      <c r="B14" s="298"/>
      <c r="C14" s="297"/>
      <c r="D14" s="304" t="s">
        <v>58</v>
      </c>
      <c r="E14" s="300" t="s">
        <v>42</v>
      </c>
      <c r="F14" s="301"/>
      <c r="G14" s="302"/>
      <c r="H14" s="300">
        <v>120000</v>
      </c>
      <c r="I14" s="300" t="s">
        <v>52</v>
      </c>
      <c r="J14" s="303"/>
      <c r="K14" s="297"/>
    </row>
    <row r="15" spans="2:11" s="288" customFormat="1" ht="43" customHeight="1" x14ac:dyDescent="0.25">
      <c r="B15" s="298"/>
      <c r="C15" s="297"/>
      <c r="D15" s="304" t="s">
        <v>59</v>
      </c>
      <c r="E15" s="300" t="s">
        <v>42</v>
      </c>
      <c r="F15" s="301"/>
      <c r="G15" s="302"/>
      <c r="H15" s="300">
        <v>120000</v>
      </c>
      <c r="I15" s="300" t="s">
        <v>52</v>
      </c>
      <c r="J15" s="303"/>
      <c r="K15" s="297"/>
    </row>
    <row r="16" spans="2:11" s="288" customFormat="1" ht="43" customHeight="1" x14ac:dyDescent="0.25">
      <c r="B16" s="298"/>
      <c r="C16" s="297"/>
      <c r="D16" s="304" t="s">
        <v>60</v>
      </c>
      <c r="E16" s="300" t="s">
        <v>42</v>
      </c>
      <c r="F16" s="301"/>
      <c r="G16" s="302"/>
      <c r="H16" s="300">
        <v>120000</v>
      </c>
      <c r="I16" s="300" t="s">
        <v>52</v>
      </c>
      <c r="J16" s="303"/>
      <c r="K16" s="297"/>
    </row>
    <row r="17" spans="2:11" s="288" customFormat="1" ht="43" customHeight="1" x14ac:dyDescent="0.25">
      <c r="B17" s="298"/>
      <c r="C17" s="297"/>
      <c r="D17" s="304" t="s">
        <v>61</v>
      </c>
      <c r="E17" s="300" t="s">
        <v>42</v>
      </c>
      <c r="F17" s="301"/>
      <c r="G17" s="302"/>
      <c r="H17" s="300">
        <v>120000</v>
      </c>
      <c r="I17" s="300" t="s">
        <v>52</v>
      </c>
      <c r="J17" s="303"/>
      <c r="K17" s="297"/>
    </row>
    <row r="18" spans="2:11" s="288" customFormat="1" ht="43" customHeight="1" x14ac:dyDescent="0.25">
      <c r="B18" s="298"/>
      <c r="C18" s="297"/>
      <c r="D18" s="304" t="s">
        <v>62</v>
      </c>
      <c r="E18" s="300" t="s">
        <v>42</v>
      </c>
      <c r="F18" s="301"/>
      <c r="G18" s="302"/>
      <c r="H18" s="300">
        <v>120000</v>
      </c>
      <c r="I18" s="300" t="s">
        <v>52</v>
      </c>
      <c r="J18" s="303"/>
      <c r="K18" s="297"/>
    </row>
    <row r="19" spans="2:11" s="288" customFormat="1" ht="43" customHeight="1" x14ac:dyDescent="0.25">
      <c r="B19" s="298"/>
      <c r="C19" s="297"/>
      <c r="D19" s="304" t="s">
        <v>63</v>
      </c>
      <c r="E19" s="300" t="s">
        <v>42</v>
      </c>
      <c r="F19" s="301"/>
      <c r="G19" s="302"/>
      <c r="H19" s="300">
        <v>120000</v>
      </c>
      <c r="I19" s="300" t="s">
        <v>52</v>
      </c>
      <c r="J19" s="303"/>
      <c r="K19" s="297"/>
    </row>
    <row r="20" spans="2:11" s="288" customFormat="1" ht="43" customHeight="1" x14ac:dyDescent="0.25">
      <c r="B20" s="298"/>
      <c r="C20" s="297"/>
      <c r="D20" s="304" t="s">
        <v>64</v>
      </c>
      <c r="E20" s="300" t="s">
        <v>42</v>
      </c>
      <c r="F20" s="301"/>
      <c r="G20" s="302"/>
      <c r="H20" s="300">
        <v>120000</v>
      </c>
      <c r="I20" s="300" t="s">
        <v>52</v>
      </c>
      <c r="J20" s="303"/>
      <c r="K20" s="297"/>
    </row>
    <row r="21" spans="2:11" s="288" customFormat="1" ht="43" customHeight="1" x14ac:dyDescent="0.25">
      <c r="B21" s="298"/>
      <c r="C21" s="297"/>
      <c r="D21" s="304" t="s">
        <v>65</v>
      </c>
      <c r="E21" s="300" t="s">
        <v>42</v>
      </c>
      <c r="F21" s="301"/>
      <c r="G21" s="302"/>
      <c r="H21" s="300">
        <v>120000</v>
      </c>
      <c r="I21" s="300" t="s">
        <v>52</v>
      </c>
      <c r="J21" s="303"/>
      <c r="K21" s="297"/>
    </row>
    <row r="22" spans="2:11" s="288" customFormat="1" ht="43" customHeight="1" x14ac:dyDescent="0.25">
      <c r="B22" s="298"/>
      <c r="C22" s="297"/>
      <c r="D22" s="304" t="s">
        <v>66</v>
      </c>
      <c r="E22" s="300" t="s">
        <v>42</v>
      </c>
      <c r="F22" s="301"/>
      <c r="G22" s="302"/>
      <c r="H22" s="300">
        <v>120000</v>
      </c>
      <c r="I22" s="300" t="s">
        <v>52</v>
      </c>
      <c r="J22" s="303"/>
      <c r="K22" s="297"/>
    </row>
    <row r="23" spans="2:11" s="288" customFormat="1" ht="43" customHeight="1" x14ac:dyDescent="0.25">
      <c r="B23" s="298"/>
      <c r="C23" s="297"/>
      <c r="D23" s="304" t="s">
        <v>67</v>
      </c>
      <c r="E23" s="300" t="s">
        <v>42</v>
      </c>
      <c r="F23" s="301"/>
      <c r="G23" s="302"/>
      <c r="H23" s="300">
        <v>120000</v>
      </c>
      <c r="I23" s="300" t="s">
        <v>52</v>
      </c>
      <c r="J23" s="303"/>
      <c r="K23" s="297"/>
    </row>
    <row r="24" spans="2:11" s="288" customFormat="1" ht="43" customHeight="1" x14ac:dyDescent="0.25">
      <c r="B24" s="298"/>
      <c r="C24" s="297"/>
      <c r="D24" s="304" t="s">
        <v>68</v>
      </c>
      <c r="E24" s="300" t="s">
        <v>42</v>
      </c>
      <c r="F24" s="301"/>
      <c r="G24" s="302"/>
      <c r="H24" s="300">
        <v>120000</v>
      </c>
      <c r="I24" s="300" t="s">
        <v>52</v>
      </c>
      <c r="J24" s="303"/>
      <c r="K24" s="297"/>
    </row>
    <row r="25" spans="2:11" s="288" customFormat="1" ht="43" customHeight="1" x14ac:dyDescent="0.25">
      <c r="B25" s="298"/>
      <c r="C25" s="297"/>
      <c r="D25" s="304" t="s">
        <v>69</v>
      </c>
      <c r="E25" s="300" t="s">
        <v>42</v>
      </c>
      <c r="F25" s="301"/>
      <c r="G25" s="302"/>
      <c r="H25" s="300">
        <v>120000</v>
      </c>
      <c r="I25" s="300" t="s">
        <v>52</v>
      </c>
      <c r="J25" s="303"/>
      <c r="K25" s="297"/>
    </row>
    <row r="26" spans="2:11" s="288" customFormat="1" ht="43" customHeight="1" x14ac:dyDescent="0.25">
      <c r="B26" s="298"/>
      <c r="C26" s="297"/>
      <c r="D26" s="304" t="s">
        <v>70</v>
      </c>
      <c r="E26" s="300" t="s">
        <v>42</v>
      </c>
      <c r="F26" s="301"/>
      <c r="G26" s="302"/>
      <c r="H26" s="300">
        <v>120000</v>
      </c>
      <c r="I26" s="300" t="s">
        <v>52</v>
      </c>
      <c r="J26" s="303"/>
      <c r="K26" s="297"/>
    </row>
    <row r="27" spans="2:11" s="288" customFormat="1" ht="43" customHeight="1" x14ac:dyDescent="0.25">
      <c r="B27" s="298"/>
      <c r="C27" s="297"/>
      <c r="D27" s="304" t="s">
        <v>71</v>
      </c>
      <c r="E27" s="300" t="s">
        <v>42</v>
      </c>
      <c r="F27" s="301"/>
      <c r="G27" s="302"/>
      <c r="H27" s="300">
        <v>120000</v>
      </c>
      <c r="I27" s="300" t="s">
        <v>52</v>
      </c>
      <c r="J27" s="303"/>
      <c r="K27" s="297"/>
    </row>
    <row r="28" spans="2:11" s="288" customFormat="1" ht="38" customHeight="1" x14ac:dyDescent="0.25">
      <c r="B28" s="298"/>
      <c r="C28" s="297">
        <v>5</v>
      </c>
      <c r="D28" s="299" t="s">
        <v>72</v>
      </c>
      <c r="E28" s="300" t="s">
        <v>42</v>
      </c>
      <c r="F28" s="301"/>
      <c r="G28" s="302"/>
      <c r="H28" s="300">
        <v>1.25</v>
      </c>
      <c r="I28" s="300"/>
      <c r="J28" s="297"/>
      <c r="K28" s="297"/>
    </row>
    <row r="29" spans="2:11" s="288" customFormat="1" ht="38" customHeight="1" x14ac:dyDescent="0.25">
      <c r="B29" s="298"/>
      <c r="C29" s="297">
        <v>5</v>
      </c>
      <c r="D29" s="299" t="s">
        <v>73</v>
      </c>
      <c r="E29" s="300" t="s">
        <v>42</v>
      </c>
      <c r="F29" s="305"/>
      <c r="G29" s="302" t="s">
        <v>74</v>
      </c>
      <c r="H29" s="300" t="s">
        <v>75</v>
      </c>
      <c r="I29" s="300"/>
      <c r="J29" s="297"/>
      <c r="K29" s="297"/>
    </row>
    <row r="30" spans="2:11" s="288" customFormat="1" ht="38" customHeight="1" x14ac:dyDescent="0.25">
      <c r="B30" s="298"/>
      <c r="C30" s="297">
        <v>6</v>
      </c>
      <c r="D30" s="306" t="s">
        <v>76</v>
      </c>
      <c r="E30" s="300" t="s">
        <v>77</v>
      </c>
      <c r="F30" s="305"/>
      <c r="G30" s="302" t="s">
        <v>78</v>
      </c>
      <c r="H30" s="300"/>
      <c r="I30" s="297"/>
      <c r="J30" s="297"/>
      <c r="K30" s="297"/>
    </row>
    <row r="31" spans="2:11" s="288" customFormat="1" ht="38" customHeight="1" x14ac:dyDescent="0.25">
      <c r="B31" s="298"/>
      <c r="C31" s="297"/>
      <c r="D31" s="306" t="s">
        <v>79</v>
      </c>
      <c r="E31" s="300" t="s">
        <v>42</v>
      </c>
      <c r="F31" s="305"/>
      <c r="G31" s="302"/>
      <c r="H31" s="307">
        <v>0.5</v>
      </c>
      <c r="I31" s="297"/>
      <c r="J31" s="297"/>
      <c r="K31" s="297"/>
    </row>
    <row r="32" spans="2:11" s="288" customFormat="1" ht="38" customHeight="1" x14ac:dyDescent="0.25">
      <c r="B32" s="298"/>
      <c r="C32" s="297"/>
      <c r="D32" s="306" t="s">
        <v>80</v>
      </c>
      <c r="E32" s="300" t="s">
        <v>42</v>
      </c>
      <c r="F32" s="305"/>
      <c r="G32" s="302"/>
      <c r="H32" s="307">
        <v>0.4</v>
      </c>
      <c r="I32" s="297"/>
      <c r="J32" s="297"/>
      <c r="K32" s="297"/>
    </row>
    <row r="33" spans="2:11" s="288" customFormat="1" ht="33" customHeight="1" x14ac:dyDescent="0.25">
      <c r="B33" s="298"/>
      <c r="C33" s="297">
        <v>7</v>
      </c>
      <c r="D33" s="306" t="s">
        <v>81</v>
      </c>
      <c r="E33" s="300"/>
      <c r="F33" s="305"/>
      <c r="G33" s="302"/>
      <c r="H33" s="308"/>
      <c r="I33" s="308"/>
      <c r="J33" s="309" t="s">
        <v>82</v>
      </c>
      <c r="K33" s="297"/>
    </row>
    <row r="34" spans="2:11" s="288" customFormat="1" ht="33" customHeight="1" x14ac:dyDescent="0.25">
      <c r="B34" s="298"/>
      <c r="C34" s="297"/>
      <c r="D34" s="310" t="s">
        <v>83</v>
      </c>
      <c r="E34" s="300"/>
      <c r="F34" s="305"/>
      <c r="G34" s="302"/>
      <c r="H34" s="308"/>
      <c r="I34" s="308"/>
      <c r="J34" s="309"/>
      <c r="K34" s="297"/>
    </row>
    <row r="35" spans="2:11" s="288" customFormat="1" ht="33" customHeight="1" x14ac:dyDescent="0.25">
      <c r="B35" s="298"/>
      <c r="C35" s="297"/>
      <c r="D35" s="304" t="s">
        <v>51</v>
      </c>
      <c r="E35" s="300"/>
      <c r="F35" s="305"/>
      <c r="G35" s="302" t="s">
        <v>84</v>
      </c>
      <c r="H35" s="400">
        <f>[2]参数输入表!$H21*[2]参数输入表!$H77</f>
        <v>47520</v>
      </c>
      <c r="I35" s="308" t="s">
        <v>52</v>
      </c>
      <c r="J35" s="309"/>
      <c r="K35" s="297"/>
    </row>
    <row r="36" spans="2:11" s="288" customFormat="1" ht="33" customHeight="1" x14ac:dyDescent="0.25">
      <c r="B36" s="298"/>
      <c r="C36" s="297"/>
      <c r="D36" s="304" t="s">
        <v>53</v>
      </c>
      <c r="E36" s="300"/>
      <c r="F36" s="305"/>
      <c r="G36" s="302" t="s">
        <v>84</v>
      </c>
      <c r="H36" s="400">
        <f>[2]参数输入表!$H22*[2]参数输入表!$H78</f>
        <v>47306.16</v>
      </c>
      <c r="I36" s="308" t="s">
        <v>52</v>
      </c>
      <c r="J36" s="309"/>
      <c r="K36" s="297"/>
    </row>
    <row r="37" spans="2:11" s="288" customFormat="1" ht="33" customHeight="1" x14ac:dyDescent="0.25">
      <c r="B37" s="298"/>
      <c r="C37" s="297"/>
      <c r="D37" s="304" t="s">
        <v>54</v>
      </c>
      <c r="E37" s="300"/>
      <c r="F37" s="305"/>
      <c r="G37" s="302" t="s">
        <v>84</v>
      </c>
      <c r="H37" s="400">
        <f>[2]参数输入表!$H23*[2]参数输入表!$H79</f>
        <v>47093.282279999999</v>
      </c>
      <c r="I37" s="308" t="s">
        <v>52</v>
      </c>
      <c r="J37" s="309"/>
      <c r="K37" s="297"/>
    </row>
    <row r="38" spans="2:11" s="288" customFormat="1" ht="33" customHeight="1" x14ac:dyDescent="0.25">
      <c r="B38" s="298"/>
      <c r="C38" s="297"/>
      <c r="D38" s="304" t="s">
        <v>55</v>
      </c>
      <c r="E38" s="300"/>
      <c r="F38" s="305"/>
      <c r="G38" s="302" t="s">
        <v>84</v>
      </c>
      <c r="H38" s="400">
        <f>[2]参数输入表!$H24*[2]参数输入表!$H80</f>
        <v>46881.36250974</v>
      </c>
      <c r="I38" s="308" t="s">
        <v>52</v>
      </c>
      <c r="J38" s="309"/>
      <c r="K38" s="297"/>
    </row>
    <row r="39" spans="2:11" s="288" customFormat="1" ht="33" customHeight="1" x14ac:dyDescent="0.25">
      <c r="B39" s="298"/>
      <c r="C39" s="297"/>
      <c r="D39" s="304" t="s">
        <v>56</v>
      </c>
      <c r="E39" s="300"/>
      <c r="F39" s="305"/>
      <c r="G39" s="302" t="s">
        <v>84</v>
      </c>
      <c r="H39" s="400">
        <f>[2]参数输入表!$H25*[2]参数输入表!$H81</f>
        <v>46670.396378446203</v>
      </c>
      <c r="I39" s="308" t="s">
        <v>52</v>
      </c>
      <c r="J39" s="309"/>
      <c r="K39" s="297"/>
    </row>
    <row r="40" spans="2:11" s="288" customFormat="1" ht="33" customHeight="1" x14ac:dyDescent="0.25">
      <c r="B40" s="298"/>
      <c r="C40" s="297"/>
      <c r="D40" s="304" t="s">
        <v>57</v>
      </c>
      <c r="E40" s="300"/>
      <c r="F40" s="305"/>
      <c r="G40" s="302" t="s">
        <v>84</v>
      </c>
      <c r="H40" s="400">
        <f>[2]参数输入表!$H26*[2]参数输入表!$H82</f>
        <v>65044.531432640477</v>
      </c>
      <c r="I40" s="308" t="s">
        <v>52</v>
      </c>
      <c r="J40" s="309"/>
      <c r="K40" s="297"/>
    </row>
    <row r="41" spans="2:11" s="288" customFormat="1" ht="33" customHeight="1" x14ac:dyDescent="0.25">
      <c r="B41" s="298"/>
      <c r="C41" s="297"/>
      <c r="D41" s="304" t="s">
        <v>58</v>
      </c>
      <c r="E41" s="300"/>
      <c r="F41" s="305"/>
      <c r="G41" s="302" t="s">
        <v>84</v>
      </c>
      <c r="H41" s="400">
        <f>[2]参数输入表!$H27*[2]参数输入表!$H83</f>
        <v>64751.831041193589</v>
      </c>
      <c r="I41" s="308" t="s">
        <v>52</v>
      </c>
      <c r="J41" s="309"/>
      <c r="K41" s="297"/>
    </row>
    <row r="42" spans="2:11" s="288" customFormat="1" ht="33" customHeight="1" x14ac:dyDescent="0.25">
      <c r="B42" s="298"/>
      <c r="C42" s="297"/>
      <c r="D42" s="304" t="s">
        <v>59</v>
      </c>
      <c r="E42" s="300"/>
      <c r="F42" s="305"/>
      <c r="G42" s="302" t="s">
        <v>84</v>
      </c>
      <c r="H42" s="400">
        <f>[2]参数输入表!$H28*[2]参数输入表!$H84</f>
        <v>64460.44780150822</v>
      </c>
      <c r="I42" s="308" t="s">
        <v>52</v>
      </c>
      <c r="J42" s="309"/>
      <c r="K42" s="297"/>
    </row>
    <row r="43" spans="2:11" s="288" customFormat="1" ht="33" customHeight="1" x14ac:dyDescent="0.25">
      <c r="B43" s="298"/>
      <c r="C43" s="297"/>
      <c r="D43" s="304" t="s">
        <v>60</v>
      </c>
      <c r="E43" s="300"/>
      <c r="F43" s="305"/>
      <c r="G43" s="302" t="s">
        <v>84</v>
      </c>
      <c r="H43" s="400">
        <f>[2]参数输入表!$H29*[2]参数输入表!$H85</f>
        <v>64170.375786401426</v>
      </c>
      <c r="I43" s="308" t="s">
        <v>52</v>
      </c>
      <c r="J43" s="309"/>
      <c r="K43" s="297"/>
    </row>
    <row r="44" spans="2:11" s="288" customFormat="1" ht="33" customHeight="1" x14ac:dyDescent="0.25">
      <c r="B44" s="298"/>
      <c r="C44" s="297"/>
      <c r="D44" s="304" t="s">
        <v>61</v>
      </c>
      <c r="E44" s="300"/>
      <c r="F44" s="305"/>
      <c r="G44" s="302" t="s">
        <v>84</v>
      </c>
      <c r="H44" s="400">
        <f>[2]参数输入表!$H30*[2]参数输入表!$H86</f>
        <v>63881.609095362583</v>
      </c>
      <c r="I44" s="308" t="s">
        <v>52</v>
      </c>
      <c r="J44" s="309"/>
      <c r="K44" s="297"/>
    </row>
    <row r="45" spans="2:11" s="288" customFormat="1" ht="33" customHeight="1" x14ac:dyDescent="0.25">
      <c r="B45" s="298"/>
      <c r="C45" s="297"/>
      <c r="D45" s="304" t="s">
        <v>62</v>
      </c>
      <c r="E45" s="300"/>
      <c r="F45" s="305"/>
      <c r="G45" s="302" t="s">
        <v>84</v>
      </c>
      <c r="H45" s="400">
        <f>[2]参数输入表!$H31*[2]参数输入表!$H87</f>
        <v>63594.141854433459</v>
      </c>
      <c r="I45" s="308" t="s">
        <v>52</v>
      </c>
      <c r="J45" s="309"/>
      <c r="K45" s="297"/>
    </row>
    <row r="46" spans="2:11" s="288" customFormat="1" ht="33" customHeight="1" x14ac:dyDescent="0.25">
      <c r="B46" s="298"/>
      <c r="C46" s="297"/>
      <c r="D46" s="304" t="s">
        <v>63</v>
      </c>
      <c r="E46" s="300"/>
      <c r="F46" s="305"/>
      <c r="G46" s="302" t="s">
        <v>84</v>
      </c>
      <c r="H46" s="400">
        <f>[2]参数输入表!$H32*[2]参数输入表!$H88</f>
        <v>63307.968216088528</v>
      </c>
      <c r="I46" s="308" t="s">
        <v>52</v>
      </c>
      <c r="J46" s="309"/>
      <c r="K46" s="297"/>
    </row>
    <row r="47" spans="2:11" s="288" customFormat="1" ht="33" customHeight="1" x14ac:dyDescent="0.25">
      <c r="B47" s="298"/>
      <c r="C47" s="297"/>
      <c r="D47" s="304" t="s">
        <v>64</v>
      </c>
      <c r="E47" s="300"/>
      <c r="F47" s="305"/>
      <c r="G47" s="302" t="s">
        <v>84</v>
      </c>
      <c r="H47" s="400">
        <f>[2]参数输入表!$H33*[2]参数输入表!$H89</f>
        <v>63023.082359116102</v>
      </c>
      <c r="I47" s="308" t="s">
        <v>52</v>
      </c>
      <c r="J47" s="309"/>
      <c r="K47" s="297"/>
    </row>
    <row r="48" spans="2:11" s="288" customFormat="1" ht="33" customHeight="1" x14ac:dyDescent="0.25">
      <c r="B48" s="298"/>
      <c r="C48" s="297"/>
      <c r="D48" s="304" t="s">
        <v>65</v>
      </c>
      <c r="E48" s="300"/>
      <c r="F48" s="305"/>
      <c r="G48" s="302" t="s">
        <v>84</v>
      </c>
      <c r="H48" s="400">
        <f>[2]参数输入表!$H34*[2]参数输入表!$H90</f>
        <v>62739.478488500092</v>
      </c>
      <c r="I48" s="308" t="s">
        <v>52</v>
      </c>
      <c r="J48" s="309"/>
      <c r="K48" s="297"/>
    </row>
    <row r="49" spans="2:11" s="288" customFormat="1" ht="33" customHeight="1" x14ac:dyDescent="0.25">
      <c r="B49" s="298"/>
      <c r="C49" s="297"/>
      <c r="D49" s="304" t="s">
        <v>66</v>
      </c>
      <c r="E49" s="300"/>
      <c r="F49" s="305"/>
      <c r="G49" s="302" t="s">
        <v>84</v>
      </c>
      <c r="H49" s="400">
        <f>[2]参数输入表!$H35*[2]参数输入表!$H91</f>
        <v>62457.150835301873</v>
      </c>
      <c r="I49" s="308" t="s">
        <v>52</v>
      </c>
      <c r="J49" s="309"/>
      <c r="K49" s="297"/>
    </row>
    <row r="50" spans="2:11" s="288" customFormat="1" ht="33" customHeight="1" x14ac:dyDescent="0.25">
      <c r="B50" s="298"/>
      <c r="C50" s="297"/>
      <c r="D50" s="304" t="s">
        <v>67</v>
      </c>
      <c r="E50" s="300"/>
      <c r="F50" s="305"/>
      <c r="G50" s="302" t="s">
        <v>84</v>
      </c>
      <c r="H50" s="400">
        <f>[2]参数输入表!$H36*[2]参数输入表!$H92</f>
        <v>62176.093656543017</v>
      </c>
      <c r="I50" s="308" t="s">
        <v>52</v>
      </c>
      <c r="J50" s="309"/>
      <c r="K50" s="297"/>
    </row>
    <row r="51" spans="2:11" s="288" customFormat="1" ht="33" customHeight="1" x14ac:dyDescent="0.25">
      <c r="B51" s="298"/>
      <c r="C51" s="297"/>
      <c r="D51" s="304" t="s">
        <v>68</v>
      </c>
      <c r="E51" s="300"/>
      <c r="F51" s="305"/>
      <c r="G51" s="302" t="s">
        <v>84</v>
      </c>
      <c r="H51" s="400">
        <f>[2]参数输入表!$H37*[2]参数输入表!$H93</f>
        <v>61896.301235088591</v>
      </c>
      <c r="I51" s="308" t="s">
        <v>52</v>
      </c>
      <c r="J51" s="309"/>
      <c r="K51" s="297"/>
    </row>
    <row r="52" spans="2:11" s="288" customFormat="1" ht="33" customHeight="1" x14ac:dyDescent="0.25">
      <c r="B52" s="298"/>
      <c r="C52" s="297"/>
      <c r="D52" s="304" t="s">
        <v>69</v>
      </c>
      <c r="E52" s="300"/>
      <c r="F52" s="305"/>
      <c r="G52" s="302" t="s">
        <v>84</v>
      </c>
      <c r="H52" s="400">
        <f>[2]参数输入表!$H38*[2]参数输入表!$H94</f>
        <v>61617.767879530657</v>
      </c>
      <c r="I52" s="308" t="s">
        <v>52</v>
      </c>
      <c r="J52" s="309"/>
      <c r="K52" s="297"/>
    </row>
    <row r="53" spans="2:11" s="288" customFormat="1" ht="33" customHeight="1" x14ac:dyDescent="0.25">
      <c r="B53" s="298"/>
      <c r="C53" s="297"/>
      <c r="D53" s="304" t="s">
        <v>70</v>
      </c>
      <c r="E53" s="300"/>
      <c r="F53" s="305"/>
      <c r="G53" s="302" t="s">
        <v>84</v>
      </c>
      <c r="H53" s="400">
        <f>[2]参数输入表!$H39*[2]参数输入表!$H95</f>
        <v>61340.487924072768</v>
      </c>
      <c r="I53" s="308" t="s">
        <v>52</v>
      </c>
      <c r="J53" s="309"/>
      <c r="K53" s="297"/>
    </row>
    <row r="54" spans="2:11" s="288" customFormat="1" ht="33" customHeight="1" x14ac:dyDescent="0.25">
      <c r="B54" s="298"/>
      <c r="C54" s="297"/>
      <c r="D54" s="304" t="s">
        <v>71</v>
      </c>
      <c r="E54" s="300"/>
      <c r="F54" s="305"/>
      <c r="G54" s="302" t="s">
        <v>84</v>
      </c>
      <c r="H54" s="400">
        <f>[2]参数输入表!$H40*[2]参数输入表!$H96</f>
        <v>61064.455728414454</v>
      </c>
      <c r="I54" s="308" t="s">
        <v>52</v>
      </c>
      <c r="J54" s="309"/>
      <c r="K54" s="297"/>
    </row>
    <row r="55" spans="2:11" s="288" customFormat="1" ht="33" customHeight="1" x14ac:dyDescent="0.25">
      <c r="B55" s="298"/>
      <c r="C55" s="297"/>
      <c r="D55" s="310" t="s">
        <v>85</v>
      </c>
      <c r="E55" s="300"/>
      <c r="F55" s="305"/>
      <c r="G55" s="302"/>
      <c r="H55" s="308"/>
      <c r="I55" s="308"/>
      <c r="J55" s="309"/>
      <c r="K55" s="297"/>
    </row>
    <row r="56" spans="2:11" s="288" customFormat="1" ht="33" customHeight="1" x14ac:dyDescent="0.25">
      <c r="B56" s="298"/>
      <c r="C56" s="297"/>
      <c r="D56" s="304" t="s">
        <v>51</v>
      </c>
      <c r="E56" s="300"/>
      <c r="F56" s="305"/>
      <c r="G56" s="302" t="s">
        <v>84</v>
      </c>
      <c r="H56" s="308">
        <f>[3]参数输入表!$H$17*[3]参数输入表!$H45</f>
        <v>53463.5</v>
      </c>
      <c r="I56" s="308" t="s">
        <v>52</v>
      </c>
      <c r="J56" s="309"/>
      <c r="K56" s="297"/>
    </row>
    <row r="57" spans="2:11" s="288" customFormat="1" ht="33" customHeight="1" x14ac:dyDescent="0.25">
      <c r="B57" s="298"/>
      <c r="C57" s="297"/>
      <c r="D57" s="304" t="s">
        <v>53</v>
      </c>
      <c r="E57" s="300"/>
      <c r="F57" s="305"/>
      <c r="G57" s="302" t="s">
        <v>84</v>
      </c>
      <c r="H57" s="308">
        <f>[3]参数输入表!$H$17*[3]参数输入表!$H46</f>
        <v>53463.5</v>
      </c>
      <c r="I57" s="308" t="s">
        <v>52</v>
      </c>
      <c r="J57" s="309"/>
      <c r="K57" s="297"/>
    </row>
    <row r="58" spans="2:11" s="288" customFormat="1" ht="33" customHeight="1" x14ac:dyDescent="0.25">
      <c r="B58" s="298"/>
      <c r="C58" s="297"/>
      <c r="D58" s="304" t="s">
        <v>54</v>
      </c>
      <c r="E58" s="300"/>
      <c r="F58" s="305"/>
      <c r="G58" s="302" t="s">
        <v>84</v>
      </c>
      <c r="H58" s="308">
        <f>[3]参数输入表!$H$17*[3]参数输入表!$H47</f>
        <v>53463.5</v>
      </c>
      <c r="I58" s="308" t="s">
        <v>52</v>
      </c>
      <c r="J58" s="309"/>
      <c r="K58" s="297"/>
    </row>
    <row r="59" spans="2:11" s="288" customFormat="1" ht="33" customHeight="1" x14ac:dyDescent="0.25">
      <c r="B59" s="298"/>
      <c r="C59" s="297"/>
      <c r="D59" s="304" t="s">
        <v>55</v>
      </c>
      <c r="E59" s="300"/>
      <c r="F59" s="305"/>
      <c r="G59" s="302" t="s">
        <v>84</v>
      </c>
      <c r="H59" s="308">
        <f>[3]参数输入表!$H$17*[3]参数输入表!$H48</f>
        <v>53463.5</v>
      </c>
      <c r="I59" s="308" t="s">
        <v>52</v>
      </c>
      <c r="J59" s="309"/>
      <c r="K59" s="297"/>
    </row>
    <row r="60" spans="2:11" s="288" customFormat="1" ht="33" customHeight="1" x14ac:dyDescent="0.25">
      <c r="B60" s="298"/>
      <c r="C60" s="297"/>
      <c r="D60" s="304" t="s">
        <v>56</v>
      </c>
      <c r="E60" s="300"/>
      <c r="F60" s="305"/>
      <c r="G60" s="302" t="s">
        <v>84</v>
      </c>
      <c r="H60" s="308">
        <f>[3]参数输入表!$H$17*[3]参数输入表!$H49</f>
        <v>53463.5</v>
      </c>
      <c r="I60" s="308" t="s">
        <v>52</v>
      </c>
      <c r="J60" s="309"/>
      <c r="K60" s="297"/>
    </row>
    <row r="61" spans="2:11" s="288" customFormat="1" ht="33" customHeight="1" x14ac:dyDescent="0.25">
      <c r="B61" s="298"/>
      <c r="C61" s="297"/>
      <c r="D61" s="304" t="s">
        <v>57</v>
      </c>
      <c r="E61" s="300"/>
      <c r="F61" s="305"/>
      <c r="G61" s="302" t="s">
        <v>84</v>
      </c>
      <c r="H61" s="308">
        <f>[3]参数输入表!$H$17*[3]参数输入表!$H50</f>
        <v>74848.899999999994</v>
      </c>
      <c r="I61" s="308" t="s">
        <v>52</v>
      </c>
      <c r="J61" s="309"/>
      <c r="K61" s="297"/>
    </row>
    <row r="62" spans="2:11" s="288" customFormat="1" ht="33" customHeight="1" x14ac:dyDescent="0.25">
      <c r="B62" s="298"/>
      <c r="C62" s="297"/>
      <c r="D62" s="304" t="s">
        <v>58</v>
      </c>
      <c r="E62" s="300"/>
      <c r="F62" s="305"/>
      <c r="G62" s="302" t="s">
        <v>84</v>
      </c>
      <c r="H62" s="308">
        <f>[3]参数输入表!$H$17*[3]参数输入表!$H51</f>
        <v>74848.899999999994</v>
      </c>
      <c r="I62" s="308" t="s">
        <v>52</v>
      </c>
      <c r="J62" s="309"/>
      <c r="K62" s="297"/>
    </row>
    <row r="63" spans="2:11" s="288" customFormat="1" ht="33" customHeight="1" x14ac:dyDescent="0.25">
      <c r="B63" s="298"/>
      <c r="C63" s="297"/>
      <c r="D63" s="304" t="s">
        <v>59</v>
      </c>
      <c r="E63" s="300"/>
      <c r="F63" s="305"/>
      <c r="G63" s="302" t="s">
        <v>84</v>
      </c>
      <c r="H63" s="308">
        <f>[3]参数输入表!$H$17*[3]参数输入表!$H52</f>
        <v>74848.899999999994</v>
      </c>
      <c r="I63" s="308" t="s">
        <v>52</v>
      </c>
      <c r="J63" s="309"/>
      <c r="K63" s="297"/>
    </row>
    <row r="64" spans="2:11" s="288" customFormat="1" ht="33" customHeight="1" x14ac:dyDescent="0.25">
      <c r="B64" s="298"/>
      <c r="C64" s="297"/>
      <c r="D64" s="304" t="s">
        <v>60</v>
      </c>
      <c r="E64" s="300"/>
      <c r="F64" s="305"/>
      <c r="G64" s="302" t="s">
        <v>84</v>
      </c>
      <c r="H64" s="308">
        <f>[3]参数输入表!$H$17*[3]参数输入表!$H53</f>
        <v>74848.899999999994</v>
      </c>
      <c r="I64" s="308" t="s">
        <v>52</v>
      </c>
      <c r="J64" s="309"/>
      <c r="K64" s="297"/>
    </row>
    <row r="65" spans="2:11" s="288" customFormat="1" ht="33" customHeight="1" x14ac:dyDescent="0.25">
      <c r="B65" s="298"/>
      <c r="C65" s="297"/>
      <c r="D65" s="304" t="s">
        <v>61</v>
      </c>
      <c r="E65" s="300"/>
      <c r="F65" s="305"/>
      <c r="G65" s="302" t="s">
        <v>84</v>
      </c>
      <c r="H65" s="308">
        <f>[3]参数输入表!$H$17*[3]参数输入表!$H54</f>
        <v>74848.899999999994</v>
      </c>
      <c r="I65" s="308" t="s">
        <v>52</v>
      </c>
      <c r="J65" s="309"/>
      <c r="K65" s="297"/>
    </row>
    <row r="66" spans="2:11" s="288" customFormat="1" ht="33" customHeight="1" x14ac:dyDescent="0.25">
      <c r="B66" s="298"/>
      <c r="C66" s="297"/>
      <c r="D66" s="304" t="s">
        <v>62</v>
      </c>
      <c r="E66" s="300"/>
      <c r="F66" s="305"/>
      <c r="G66" s="302" t="s">
        <v>84</v>
      </c>
      <c r="H66" s="308">
        <f>[3]参数输入表!$H$17*[3]参数输入表!$H55</f>
        <v>74848.899999999994</v>
      </c>
      <c r="I66" s="308" t="s">
        <v>52</v>
      </c>
      <c r="J66" s="309"/>
      <c r="K66" s="297"/>
    </row>
    <row r="67" spans="2:11" s="288" customFormat="1" ht="33" customHeight="1" x14ac:dyDescent="0.25">
      <c r="B67" s="298"/>
      <c r="C67" s="297"/>
      <c r="D67" s="304" t="s">
        <v>63</v>
      </c>
      <c r="E67" s="300"/>
      <c r="F67" s="305"/>
      <c r="G67" s="302" t="s">
        <v>84</v>
      </c>
      <c r="H67" s="308">
        <f>[3]参数输入表!$H$17*[3]参数输入表!$H56</f>
        <v>74848.899999999994</v>
      </c>
      <c r="I67" s="308" t="s">
        <v>52</v>
      </c>
      <c r="J67" s="309"/>
      <c r="K67" s="297"/>
    </row>
    <row r="68" spans="2:11" s="288" customFormat="1" ht="33" customHeight="1" x14ac:dyDescent="0.25">
      <c r="B68" s="298"/>
      <c r="C68" s="297"/>
      <c r="D68" s="304" t="s">
        <v>64</v>
      </c>
      <c r="E68" s="300"/>
      <c r="F68" s="305"/>
      <c r="G68" s="302" t="s">
        <v>84</v>
      </c>
      <c r="H68" s="308">
        <f>[3]参数输入表!$H$17*[3]参数输入表!$H57</f>
        <v>74848.899999999994</v>
      </c>
      <c r="I68" s="308" t="s">
        <v>52</v>
      </c>
      <c r="J68" s="309"/>
      <c r="K68" s="297"/>
    </row>
    <row r="69" spans="2:11" s="288" customFormat="1" ht="33" customHeight="1" x14ac:dyDescent="0.25">
      <c r="B69" s="298"/>
      <c r="C69" s="297"/>
      <c r="D69" s="304" t="s">
        <v>65</v>
      </c>
      <c r="E69" s="300"/>
      <c r="F69" s="305"/>
      <c r="G69" s="302" t="s">
        <v>84</v>
      </c>
      <c r="H69" s="308">
        <f>[3]参数输入表!$H$17*[3]参数输入表!$H58</f>
        <v>74848.899999999994</v>
      </c>
      <c r="I69" s="308" t="s">
        <v>52</v>
      </c>
      <c r="J69" s="309"/>
      <c r="K69" s="297"/>
    </row>
    <row r="70" spans="2:11" s="288" customFormat="1" ht="33" customHeight="1" x14ac:dyDescent="0.25">
      <c r="B70" s="298"/>
      <c r="C70" s="297"/>
      <c r="D70" s="304" t="s">
        <v>66</v>
      </c>
      <c r="E70" s="300"/>
      <c r="F70" s="305"/>
      <c r="G70" s="302" t="s">
        <v>84</v>
      </c>
      <c r="H70" s="308">
        <f>[3]参数输入表!$H$17*[3]参数输入表!$H59</f>
        <v>74848.899999999994</v>
      </c>
      <c r="I70" s="308" t="s">
        <v>52</v>
      </c>
      <c r="J70" s="309"/>
      <c r="K70" s="297"/>
    </row>
    <row r="71" spans="2:11" s="288" customFormat="1" ht="33" customHeight="1" x14ac:dyDescent="0.25">
      <c r="B71" s="298"/>
      <c r="C71" s="297"/>
      <c r="D71" s="304" t="s">
        <v>67</v>
      </c>
      <c r="E71" s="300"/>
      <c r="F71" s="305"/>
      <c r="G71" s="302" t="s">
        <v>84</v>
      </c>
      <c r="H71" s="308">
        <f>[3]参数输入表!$H$17*[3]参数输入表!$H60</f>
        <v>74848.899999999994</v>
      </c>
      <c r="I71" s="308" t="s">
        <v>52</v>
      </c>
      <c r="J71" s="309"/>
      <c r="K71" s="297"/>
    </row>
    <row r="72" spans="2:11" s="288" customFormat="1" ht="33" customHeight="1" x14ac:dyDescent="0.25">
      <c r="B72" s="298"/>
      <c r="C72" s="297"/>
      <c r="D72" s="304" t="s">
        <v>68</v>
      </c>
      <c r="E72" s="300"/>
      <c r="F72" s="305"/>
      <c r="G72" s="302" t="s">
        <v>84</v>
      </c>
      <c r="H72" s="308">
        <f>[3]参数输入表!$H$17*[3]参数输入表!$H61</f>
        <v>74848.899999999994</v>
      </c>
      <c r="I72" s="308" t="s">
        <v>52</v>
      </c>
      <c r="J72" s="309"/>
      <c r="K72" s="297"/>
    </row>
    <row r="73" spans="2:11" s="288" customFormat="1" ht="33" customHeight="1" x14ac:dyDescent="0.25">
      <c r="B73" s="298"/>
      <c r="C73" s="297"/>
      <c r="D73" s="304" t="s">
        <v>69</v>
      </c>
      <c r="E73" s="300"/>
      <c r="F73" s="305"/>
      <c r="G73" s="302" t="s">
        <v>84</v>
      </c>
      <c r="H73" s="308">
        <f>[3]参数输入表!$H$17*[3]参数输入表!$H62</f>
        <v>74848.899999999994</v>
      </c>
      <c r="I73" s="308" t="s">
        <v>52</v>
      </c>
      <c r="J73" s="309"/>
      <c r="K73" s="297"/>
    </row>
    <row r="74" spans="2:11" s="288" customFormat="1" ht="33" customHeight="1" x14ac:dyDescent="0.25">
      <c r="B74" s="298"/>
      <c r="C74" s="297"/>
      <c r="D74" s="304" t="s">
        <v>70</v>
      </c>
      <c r="E74" s="300"/>
      <c r="F74" s="305"/>
      <c r="G74" s="302" t="s">
        <v>84</v>
      </c>
      <c r="H74" s="308">
        <f>[3]参数输入表!$H$17*[3]参数输入表!$H63</f>
        <v>74848.899999999994</v>
      </c>
      <c r="I74" s="308" t="s">
        <v>52</v>
      </c>
      <c r="J74" s="309"/>
      <c r="K74" s="297"/>
    </row>
    <row r="75" spans="2:11" s="288" customFormat="1" ht="33" customHeight="1" x14ac:dyDescent="0.25">
      <c r="B75" s="298"/>
      <c r="C75" s="297"/>
      <c r="D75" s="304" t="s">
        <v>71</v>
      </c>
      <c r="E75" s="300"/>
      <c r="F75" s="305"/>
      <c r="G75" s="302" t="s">
        <v>84</v>
      </c>
      <c r="H75" s="308">
        <f>[3]参数输入表!$H$17*[3]参数输入表!$H64</f>
        <v>74848.899999999994</v>
      </c>
      <c r="I75" s="308" t="s">
        <v>52</v>
      </c>
      <c r="J75" s="309"/>
      <c r="K75" s="297"/>
    </row>
    <row r="76" spans="2:11" s="288" customFormat="1" ht="33" customHeight="1" x14ac:dyDescent="0.25">
      <c r="B76" s="399"/>
      <c r="C76" s="297"/>
      <c r="D76" s="310" t="s">
        <v>692</v>
      </c>
      <c r="E76" s="300"/>
      <c r="F76" s="305"/>
      <c r="G76" s="302"/>
      <c r="H76" s="308"/>
      <c r="I76" s="308"/>
      <c r="J76" s="309"/>
      <c r="K76" s="297"/>
    </row>
    <row r="77" spans="2:11" s="288" customFormat="1" ht="33" customHeight="1" x14ac:dyDescent="0.25">
      <c r="B77" s="399"/>
      <c r="C77" s="297"/>
      <c r="D77" s="304" t="s">
        <v>51</v>
      </c>
      <c r="E77" s="300"/>
      <c r="F77" s="305"/>
      <c r="G77" s="302" t="s">
        <v>84</v>
      </c>
      <c r="H77" s="400">
        <f>[4]参数输入表!$H295*[4]参数输入表!$H382</f>
        <v>2295</v>
      </c>
      <c r="I77" s="308" t="s">
        <v>52</v>
      </c>
      <c r="J77" s="309"/>
      <c r="K77" s="297"/>
    </row>
    <row r="78" spans="2:11" s="288" customFormat="1" ht="33" customHeight="1" x14ac:dyDescent="0.25">
      <c r="B78" s="399"/>
      <c r="C78" s="297"/>
      <c r="D78" s="304" t="s">
        <v>53</v>
      </c>
      <c r="E78" s="300"/>
      <c r="F78" s="305"/>
      <c r="G78" s="302" t="s">
        <v>84</v>
      </c>
      <c r="H78" s="400">
        <f>[4]参数输入表!$H296*[4]参数输入表!$H383</f>
        <v>2249.1</v>
      </c>
      <c r="I78" s="308" t="s">
        <v>52</v>
      </c>
      <c r="J78" s="309"/>
      <c r="K78" s="297"/>
    </row>
    <row r="79" spans="2:11" s="288" customFormat="1" ht="33" customHeight="1" x14ac:dyDescent="0.25">
      <c r="B79" s="399"/>
      <c r="C79" s="297"/>
      <c r="D79" s="304" t="s">
        <v>54</v>
      </c>
      <c r="E79" s="300"/>
      <c r="F79" s="305"/>
      <c r="G79" s="302" t="s">
        <v>84</v>
      </c>
      <c r="H79" s="400">
        <f>[4]参数输入表!$H297*[4]参数输入表!$H384</f>
        <v>2203.2000000000003</v>
      </c>
      <c r="I79" s="308" t="s">
        <v>52</v>
      </c>
      <c r="J79" s="309"/>
      <c r="K79" s="297"/>
    </row>
    <row r="80" spans="2:11" s="288" customFormat="1" ht="33" customHeight="1" x14ac:dyDescent="0.25">
      <c r="B80" s="399"/>
      <c r="C80" s="297"/>
      <c r="D80" s="304" t="s">
        <v>55</v>
      </c>
      <c r="E80" s="300"/>
      <c r="F80" s="305"/>
      <c r="G80" s="302" t="s">
        <v>84</v>
      </c>
      <c r="H80" s="400">
        <f>[4]参数输入表!$H298*[4]参数输入表!$H385</f>
        <v>2157.3000000000002</v>
      </c>
      <c r="I80" s="308" t="s">
        <v>52</v>
      </c>
      <c r="J80" s="309"/>
      <c r="K80" s="297"/>
    </row>
    <row r="81" spans="2:11" s="288" customFormat="1" ht="33" customHeight="1" x14ac:dyDescent="0.25">
      <c r="B81" s="399"/>
      <c r="C81" s="297"/>
      <c r="D81" s="304" t="s">
        <v>56</v>
      </c>
      <c r="E81" s="300"/>
      <c r="F81" s="305"/>
      <c r="G81" s="302" t="s">
        <v>84</v>
      </c>
      <c r="H81" s="400">
        <f>[4]参数输入表!$H299*[4]参数输入表!$H386</f>
        <v>2111.4</v>
      </c>
      <c r="I81" s="308" t="s">
        <v>52</v>
      </c>
      <c r="J81" s="309"/>
      <c r="K81" s="297"/>
    </row>
    <row r="82" spans="2:11" s="288" customFormat="1" ht="33" customHeight="1" x14ac:dyDescent="0.25">
      <c r="B82" s="399"/>
      <c r="C82" s="297"/>
      <c r="D82" s="304" t="s">
        <v>57</v>
      </c>
      <c r="E82" s="300"/>
      <c r="F82" s="305"/>
      <c r="G82" s="302" t="s">
        <v>84</v>
      </c>
      <c r="H82" s="400">
        <f>[4]参数输入表!$H300*[4]参数输入表!$H387</f>
        <v>2065.5</v>
      </c>
      <c r="I82" s="308" t="s">
        <v>52</v>
      </c>
      <c r="J82" s="309"/>
      <c r="K82" s="297"/>
    </row>
    <row r="83" spans="2:11" s="288" customFormat="1" ht="33" customHeight="1" x14ac:dyDescent="0.25">
      <c r="B83" s="399"/>
      <c r="C83" s="297"/>
      <c r="D83" s="304" t="s">
        <v>58</v>
      </c>
      <c r="E83" s="300"/>
      <c r="F83" s="305"/>
      <c r="G83" s="302" t="s">
        <v>84</v>
      </c>
      <c r="H83" s="400">
        <f>[4]参数输入表!$H301*[4]参数输入表!$H388</f>
        <v>2019.6000000000001</v>
      </c>
      <c r="I83" s="308" t="s">
        <v>52</v>
      </c>
      <c r="J83" s="309"/>
      <c r="K83" s="297"/>
    </row>
    <row r="84" spans="2:11" s="288" customFormat="1" ht="33" customHeight="1" x14ac:dyDescent="0.25">
      <c r="B84" s="399"/>
      <c r="C84" s="297"/>
      <c r="D84" s="304" t="s">
        <v>59</v>
      </c>
      <c r="E84" s="300"/>
      <c r="F84" s="305"/>
      <c r="G84" s="302" t="s">
        <v>84</v>
      </c>
      <c r="H84" s="400">
        <f>[4]参数输入表!$H302*[4]参数输入表!$H389</f>
        <v>1973.7</v>
      </c>
      <c r="I84" s="308" t="s">
        <v>52</v>
      </c>
      <c r="J84" s="309"/>
      <c r="K84" s="297"/>
    </row>
    <row r="85" spans="2:11" s="288" customFormat="1" ht="33" customHeight="1" x14ac:dyDescent="0.25">
      <c r="B85" s="399"/>
      <c r="C85" s="297"/>
      <c r="D85" s="304" t="s">
        <v>60</v>
      </c>
      <c r="E85" s="300"/>
      <c r="F85" s="305"/>
      <c r="G85" s="302" t="s">
        <v>84</v>
      </c>
      <c r="H85" s="400">
        <f>[4]参数输入表!$H303*[4]参数输入表!$H390</f>
        <v>1927.8000000000002</v>
      </c>
      <c r="I85" s="308" t="s">
        <v>52</v>
      </c>
      <c r="J85" s="309"/>
      <c r="K85" s="297"/>
    </row>
    <row r="86" spans="2:11" s="288" customFormat="1" ht="33" customHeight="1" x14ac:dyDescent="0.25">
      <c r="B86" s="399"/>
      <c r="C86" s="297"/>
      <c r="D86" s="304" t="s">
        <v>61</v>
      </c>
      <c r="E86" s="300"/>
      <c r="F86" s="305"/>
      <c r="G86" s="302" t="s">
        <v>84</v>
      </c>
      <c r="H86" s="400">
        <f>[4]参数输入表!$H304*[4]参数输入表!$H391</f>
        <v>1881.9</v>
      </c>
      <c r="I86" s="308" t="s">
        <v>52</v>
      </c>
      <c r="J86" s="309"/>
      <c r="K86" s="297"/>
    </row>
    <row r="87" spans="2:11" s="288" customFormat="1" ht="33" customHeight="1" x14ac:dyDescent="0.25">
      <c r="B87" s="399"/>
      <c r="C87" s="297"/>
      <c r="D87" s="304" t="s">
        <v>62</v>
      </c>
      <c r="E87" s="300"/>
      <c r="F87" s="305"/>
      <c r="G87" s="302" t="s">
        <v>84</v>
      </c>
      <c r="H87" s="400">
        <f>[4]参数输入表!$H305*[4]参数输入表!$H392</f>
        <v>2295</v>
      </c>
      <c r="I87" s="308" t="s">
        <v>52</v>
      </c>
      <c r="J87" s="309"/>
      <c r="K87" s="297"/>
    </row>
    <row r="88" spans="2:11" s="288" customFormat="1" ht="33" customHeight="1" x14ac:dyDescent="0.25">
      <c r="B88" s="399"/>
      <c r="C88" s="297"/>
      <c r="D88" s="304" t="s">
        <v>63</v>
      </c>
      <c r="E88" s="300"/>
      <c r="F88" s="305"/>
      <c r="G88" s="302" t="s">
        <v>84</v>
      </c>
      <c r="H88" s="400">
        <f>[4]参数输入表!$H306*[4]参数输入表!$H393</f>
        <v>2249.1</v>
      </c>
      <c r="I88" s="308" t="s">
        <v>52</v>
      </c>
      <c r="J88" s="309"/>
      <c r="K88" s="297"/>
    </row>
    <row r="89" spans="2:11" s="288" customFormat="1" ht="33" customHeight="1" x14ac:dyDescent="0.25">
      <c r="B89" s="399"/>
      <c r="C89" s="297"/>
      <c r="D89" s="304" t="s">
        <v>64</v>
      </c>
      <c r="E89" s="300"/>
      <c r="F89" s="305"/>
      <c r="G89" s="302" t="s">
        <v>84</v>
      </c>
      <c r="H89" s="400">
        <f>[4]参数输入表!$H307*[4]参数输入表!$H394</f>
        <v>2203.2000000000003</v>
      </c>
      <c r="I89" s="308" t="s">
        <v>52</v>
      </c>
      <c r="J89" s="309"/>
      <c r="K89" s="297"/>
    </row>
    <row r="90" spans="2:11" s="288" customFormat="1" ht="33" customHeight="1" x14ac:dyDescent="0.25">
      <c r="B90" s="399"/>
      <c r="C90" s="297"/>
      <c r="D90" s="304" t="s">
        <v>65</v>
      </c>
      <c r="E90" s="300"/>
      <c r="F90" s="305"/>
      <c r="G90" s="302" t="s">
        <v>84</v>
      </c>
      <c r="H90" s="400">
        <f>[4]参数输入表!$H308*[4]参数输入表!$H395</f>
        <v>2157.3000000000002</v>
      </c>
      <c r="I90" s="308" t="s">
        <v>52</v>
      </c>
      <c r="J90" s="309"/>
      <c r="K90" s="297"/>
    </row>
    <row r="91" spans="2:11" s="288" customFormat="1" ht="33" customHeight="1" x14ac:dyDescent="0.25">
      <c r="B91" s="399"/>
      <c r="C91" s="297"/>
      <c r="D91" s="304" t="s">
        <v>66</v>
      </c>
      <c r="E91" s="300"/>
      <c r="F91" s="305"/>
      <c r="G91" s="302" t="s">
        <v>84</v>
      </c>
      <c r="H91" s="400">
        <f>[4]参数输入表!$H309*[4]参数输入表!$H396</f>
        <v>2111.4</v>
      </c>
      <c r="I91" s="308" t="s">
        <v>52</v>
      </c>
      <c r="J91" s="309"/>
      <c r="K91" s="297"/>
    </row>
    <row r="92" spans="2:11" s="288" customFormat="1" ht="33" customHeight="1" x14ac:dyDescent="0.25">
      <c r="B92" s="399"/>
      <c r="C92" s="297"/>
      <c r="D92" s="304" t="s">
        <v>67</v>
      </c>
      <c r="E92" s="300"/>
      <c r="F92" s="305"/>
      <c r="G92" s="302" t="s">
        <v>84</v>
      </c>
      <c r="H92" s="400">
        <f>[4]参数输入表!$H310*[4]参数输入表!$H397</f>
        <v>2065.5</v>
      </c>
      <c r="I92" s="308" t="s">
        <v>52</v>
      </c>
      <c r="J92" s="309"/>
      <c r="K92" s="297"/>
    </row>
    <row r="93" spans="2:11" s="288" customFormat="1" ht="33" customHeight="1" x14ac:dyDescent="0.25">
      <c r="B93" s="399"/>
      <c r="C93" s="297"/>
      <c r="D93" s="304" t="s">
        <v>68</v>
      </c>
      <c r="E93" s="300"/>
      <c r="F93" s="305"/>
      <c r="G93" s="302" t="s">
        <v>84</v>
      </c>
      <c r="H93" s="400">
        <f>[4]参数输入表!$H311*[4]参数输入表!$H398</f>
        <v>2019.6000000000001</v>
      </c>
      <c r="I93" s="308" t="s">
        <v>52</v>
      </c>
      <c r="J93" s="309"/>
      <c r="K93" s="297"/>
    </row>
    <row r="94" spans="2:11" s="288" customFormat="1" ht="33" customHeight="1" x14ac:dyDescent="0.25">
      <c r="B94" s="399"/>
      <c r="C94" s="297"/>
      <c r="D94" s="304" t="s">
        <v>69</v>
      </c>
      <c r="E94" s="300"/>
      <c r="F94" s="305"/>
      <c r="G94" s="302" t="s">
        <v>84</v>
      </c>
      <c r="H94" s="400">
        <f>[4]参数输入表!$H312*[4]参数输入表!$H399</f>
        <v>1973.7</v>
      </c>
      <c r="I94" s="308" t="s">
        <v>52</v>
      </c>
      <c r="J94" s="309"/>
      <c r="K94" s="297"/>
    </row>
    <row r="95" spans="2:11" s="288" customFormat="1" ht="33" customHeight="1" x14ac:dyDescent="0.25">
      <c r="B95" s="399"/>
      <c r="C95" s="297"/>
      <c r="D95" s="304" t="s">
        <v>70</v>
      </c>
      <c r="E95" s="300"/>
      <c r="F95" s="305"/>
      <c r="G95" s="302" t="s">
        <v>84</v>
      </c>
      <c r="H95" s="400">
        <f>[4]参数输入表!$H313*[4]参数输入表!$H400</f>
        <v>1927.8000000000002</v>
      </c>
      <c r="I95" s="308" t="s">
        <v>52</v>
      </c>
      <c r="J95" s="309"/>
      <c r="K95" s="297"/>
    </row>
    <row r="96" spans="2:11" s="288" customFormat="1" ht="33" customHeight="1" x14ac:dyDescent="0.25">
      <c r="B96" s="399"/>
      <c r="C96" s="297"/>
      <c r="D96" s="304" t="s">
        <v>71</v>
      </c>
      <c r="E96" s="300"/>
      <c r="F96" s="305"/>
      <c r="G96" s="302" t="s">
        <v>84</v>
      </c>
      <c r="H96" s="400">
        <f>[4]参数输入表!$H314*[4]参数输入表!$H401</f>
        <v>1881.9</v>
      </c>
      <c r="I96" s="308" t="s">
        <v>52</v>
      </c>
      <c r="J96" s="309"/>
      <c r="K96" s="297"/>
    </row>
    <row r="97" spans="2:11" s="288" customFormat="1" ht="31" customHeight="1" x14ac:dyDescent="0.25">
      <c r="B97" s="298"/>
      <c r="C97" s="297">
        <v>8</v>
      </c>
      <c r="D97" s="306" t="s">
        <v>86</v>
      </c>
      <c r="E97" s="300" t="s">
        <v>42</v>
      </c>
      <c r="F97" s="305"/>
      <c r="G97" s="302" t="s">
        <v>87</v>
      </c>
      <c r="H97" s="300"/>
      <c r="I97" s="308" t="s">
        <v>88</v>
      </c>
      <c r="J97" s="297"/>
      <c r="K97" s="297"/>
    </row>
    <row r="98" spans="2:11" s="289" customFormat="1" ht="31" customHeight="1" x14ac:dyDescent="0.25">
      <c r="B98" s="311"/>
      <c r="C98" s="312">
        <v>9</v>
      </c>
      <c r="D98" s="313" t="s">
        <v>89</v>
      </c>
      <c r="E98" s="314" t="s">
        <v>42</v>
      </c>
      <c r="F98" s="315"/>
      <c r="G98" s="314">
        <v>0</v>
      </c>
      <c r="H98" s="316" t="s">
        <v>90</v>
      </c>
      <c r="I98" s="315" t="s">
        <v>91</v>
      </c>
      <c r="J98" s="312"/>
      <c r="K98" s="312"/>
    </row>
    <row r="99" spans="2:11" x14ac:dyDescent="0.25">
      <c r="B99" s="409" t="s">
        <v>92</v>
      </c>
      <c r="C99" s="297">
        <v>10</v>
      </c>
      <c r="D99" s="299" t="s">
        <v>93</v>
      </c>
      <c r="E99" s="308" t="s">
        <v>42</v>
      </c>
      <c r="F99" s="308"/>
      <c r="G99" s="318"/>
      <c r="H99" s="319">
        <v>2</v>
      </c>
      <c r="I99" s="320" t="s">
        <v>94</v>
      </c>
      <c r="J99" s="318"/>
      <c r="K99" s="321"/>
    </row>
    <row r="100" spans="2:11" x14ac:dyDescent="0.25">
      <c r="B100" s="409"/>
      <c r="C100" s="297">
        <v>11</v>
      </c>
      <c r="D100" s="299" t="s">
        <v>95</v>
      </c>
      <c r="E100" s="308" t="s">
        <v>96</v>
      </c>
      <c r="F100" s="308"/>
      <c r="G100" s="318"/>
      <c r="H100" s="319"/>
      <c r="I100" s="320" t="s">
        <v>97</v>
      </c>
      <c r="J100" s="318"/>
      <c r="K100" s="321"/>
    </row>
    <row r="101" spans="2:11" x14ac:dyDescent="0.25">
      <c r="B101" s="409"/>
      <c r="C101" s="297">
        <v>12</v>
      </c>
      <c r="D101" s="299" t="s">
        <v>98</v>
      </c>
      <c r="E101" s="308"/>
      <c r="F101" s="308"/>
      <c r="G101" s="318"/>
      <c r="H101" s="319"/>
      <c r="I101" s="320" t="s">
        <v>88</v>
      </c>
      <c r="J101" s="318"/>
      <c r="K101" s="321"/>
    </row>
    <row r="102" spans="2:11" x14ac:dyDescent="0.25">
      <c r="B102" s="409"/>
      <c r="C102" s="297"/>
      <c r="D102" s="306" t="s">
        <v>99</v>
      </c>
      <c r="E102" s="308" t="s">
        <v>42</v>
      </c>
      <c r="F102" s="308"/>
      <c r="G102" s="318"/>
      <c r="H102" s="322">
        <v>0.6</v>
      </c>
      <c r="I102" s="320"/>
      <c r="J102" s="318"/>
      <c r="K102" s="321"/>
    </row>
    <row r="103" spans="2:11" x14ac:dyDescent="0.25">
      <c r="B103" s="409"/>
      <c r="C103" s="297"/>
      <c r="D103" s="306" t="s">
        <v>100</v>
      </c>
      <c r="E103" s="308" t="s">
        <v>42</v>
      </c>
      <c r="F103" s="308"/>
      <c r="G103" s="318"/>
      <c r="H103" s="322">
        <v>0.4</v>
      </c>
      <c r="I103" s="320"/>
      <c r="J103" s="318"/>
      <c r="K103" s="321"/>
    </row>
    <row r="104" spans="2:11" x14ac:dyDescent="0.25">
      <c r="B104" s="409"/>
      <c r="C104" s="297"/>
      <c r="D104" s="306" t="s">
        <v>101</v>
      </c>
      <c r="E104" s="308" t="s">
        <v>42</v>
      </c>
      <c r="F104" s="308"/>
      <c r="G104" s="318"/>
      <c r="H104" s="322">
        <v>0</v>
      </c>
      <c r="I104" s="320"/>
      <c r="J104" s="318"/>
      <c r="K104" s="321"/>
    </row>
    <row r="105" spans="2:11" x14ac:dyDescent="0.25">
      <c r="B105" s="409"/>
      <c r="C105" s="297"/>
      <c r="D105" s="306" t="s">
        <v>102</v>
      </c>
      <c r="E105" s="308" t="s">
        <v>42</v>
      </c>
      <c r="F105" s="308"/>
      <c r="G105" s="318"/>
      <c r="H105" s="322">
        <v>0</v>
      </c>
      <c r="I105" s="320"/>
      <c r="J105" s="318"/>
      <c r="K105" s="321"/>
    </row>
    <row r="106" spans="2:11" ht="20.5" customHeight="1" x14ac:dyDescent="0.25">
      <c r="B106" s="409"/>
      <c r="C106" s="297">
        <v>13</v>
      </c>
      <c r="D106" s="299" t="s">
        <v>103</v>
      </c>
      <c r="E106" s="308" t="s">
        <v>42</v>
      </c>
      <c r="F106" s="308"/>
      <c r="G106" s="318"/>
      <c r="H106" s="319">
        <v>20</v>
      </c>
      <c r="I106" s="320" t="s">
        <v>94</v>
      </c>
      <c r="J106" s="321" t="s">
        <v>104</v>
      </c>
      <c r="K106" s="321"/>
    </row>
    <row r="107" spans="2:11" ht="20.5" customHeight="1" x14ac:dyDescent="0.25">
      <c r="B107" s="409"/>
      <c r="C107" s="297">
        <v>14</v>
      </c>
      <c r="D107" s="299" t="s">
        <v>105</v>
      </c>
      <c r="E107" s="308" t="s">
        <v>77</v>
      </c>
      <c r="F107" s="308"/>
      <c r="G107" s="318"/>
      <c r="H107" s="319"/>
      <c r="I107" s="320"/>
      <c r="J107" s="321" t="s">
        <v>106</v>
      </c>
      <c r="K107" s="321"/>
    </row>
    <row r="108" spans="2:11" ht="20.5" customHeight="1" x14ac:dyDescent="0.25">
      <c r="B108" s="409"/>
      <c r="C108" s="297">
        <v>15</v>
      </c>
      <c r="D108" s="306" t="s">
        <v>107</v>
      </c>
      <c r="E108" s="308" t="s">
        <v>77</v>
      </c>
      <c r="F108" s="308"/>
      <c r="G108" s="318"/>
      <c r="H108" s="319"/>
      <c r="I108" s="320"/>
      <c r="J108" s="321"/>
      <c r="K108" s="321"/>
    </row>
    <row r="109" spans="2:11" ht="20.5" customHeight="1" x14ac:dyDescent="0.25">
      <c r="B109" s="410"/>
      <c r="C109" s="297">
        <v>16</v>
      </c>
      <c r="D109" s="306" t="s">
        <v>108</v>
      </c>
      <c r="E109" s="308" t="s">
        <v>77</v>
      </c>
      <c r="F109" s="308"/>
      <c r="G109" s="318"/>
      <c r="H109" s="319"/>
      <c r="I109" s="320"/>
      <c r="J109" s="321"/>
      <c r="K109" s="321"/>
    </row>
    <row r="110" spans="2:11" ht="30" customHeight="1" x14ac:dyDescent="0.25">
      <c r="B110" s="409" t="s">
        <v>109</v>
      </c>
      <c r="C110" s="323">
        <v>1</v>
      </c>
      <c r="D110" s="299" t="s">
        <v>110</v>
      </c>
      <c r="E110" s="308" t="s">
        <v>42</v>
      </c>
      <c r="F110" s="308" t="s">
        <v>109</v>
      </c>
      <c r="G110" s="321"/>
      <c r="H110" s="319"/>
      <c r="I110" s="320"/>
      <c r="J110" s="321"/>
      <c r="K110" s="321"/>
    </row>
    <row r="111" spans="2:11" s="290" customFormat="1" x14ac:dyDescent="0.25">
      <c r="B111" s="411"/>
      <c r="C111" s="324"/>
      <c r="D111" s="325" t="s">
        <v>51</v>
      </c>
      <c r="E111" s="308" t="s">
        <v>42</v>
      </c>
      <c r="F111" s="326"/>
      <c r="G111" s="327"/>
      <c r="H111" s="328"/>
      <c r="I111" s="329"/>
      <c r="J111" s="330"/>
      <c r="K111" s="330"/>
    </row>
    <row r="112" spans="2:11" s="290" customFormat="1" x14ac:dyDescent="0.25">
      <c r="B112" s="411"/>
      <c r="C112" s="324"/>
      <c r="D112" s="300" t="s">
        <v>111</v>
      </c>
      <c r="E112" s="300"/>
      <c r="F112" s="326"/>
      <c r="G112" s="327"/>
      <c r="H112" s="328"/>
      <c r="I112" s="329"/>
      <c r="J112" s="330"/>
      <c r="K112" s="330"/>
    </row>
    <row r="113" spans="2:11" s="290" customFormat="1" ht="15" x14ac:dyDescent="0.25">
      <c r="B113" s="411"/>
      <c r="C113" s="324"/>
      <c r="D113" s="300" t="s">
        <v>112</v>
      </c>
      <c r="E113" s="300" t="s">
        <v>42</v>
      </c>
      <c r="F113" s="326"/>
      <c r="G113" s="327"/>
      <c r="H113" s="300">
        <v>292</v>
      </c>
      <c r="I113" s="301" t="s">
        <v>113</v>
      </c>
      <c r="J113" s="330"/>
      <c r="K113" s="330"/>
    </row>
    <row r="114" spans="2:11" s="290" customFormat="1" ht="15" x14ac:dyDescent="0.25">
      <c r="B114" s="411"/>
      <c r="C114" s="324"/>
      <c r="D114" s="300" t="s">
        <v>114</v>
      </c>
      <c r="E114" s="300" t="s">
        <v>42</v>
      </c>
      <c r="F114" s="326"/>
      <c r="G114" s="327"/>
      <c r="H114" s="300">
        <v>41.328000000000003</v>
      </c>
      <c r="I114" s="301" t="s">
        <v>115</v>
      </c>
      <c r="J114" s="330"/>
      <c r="K114" s="330"/>
    </row>
    <row r="115" spans="2:11" s="290" customFormat="1" ht="15" x14ac:dyDescent="0.25">
      <c r="B115" s="411"/>
      <c r="C115" s="324"/>
      <c r="D115" s="300" t="s">
        <v>116</v>
      </c>
      <c r="E115" s="300"/>
      <c r="F115" s="326"/>
      <c r="G115" s="327"/>
      <c r="H115" s="300"/>
      <c r="I115" s="301"/>
      <c r="J115" s="330"/>
      <c r="K115" s="330"/>
    </row>
    <row r="116" spans="2:11" s="290" customFormat="1" ht="15" x14ac:dyDescent="0.25">
      <c r="B116" s="411"/>
      <c r="C116" s="324"/>
      <c r="D116" s="300" t="s">
        <v>112</v>
      </c>
      <c r="E116" s="300" t="s">
        <v>42</v>
      </c>
      <c r="F116" s="326"/>
      <c r="G116" s="327"/>
      <c r="H116" s="300">
        <v>136</v>
      </c>
      <c r="I116" s="301" t="s">
        <v>113</v>
      </c>
      <c r="J116" s="330"/>
      <c r="K116" s="330"/>
    </row>
    <row r="117" spans="2:11" s="290" customFormat="1" ht="15" x14ac:dyDescent="0.25">
      <c r="B117" s="411"/>
      <c r="C117" s="324"/>
      <c r="D117" s="300" t="s">
        <v>114</v>
      </c>
      <c r="E117" s="300" t="s">
        <v>42</v>
      </c>
      <c r="F117" s="326"/>
      <c r="G117" s="327"/>
      <c r="H117" s="300">
        <v>41.328000000000003</v>
      </c>
      <c r="I117" s="301" t="s">
        <v>115</v>
      </c>
      <c r="J117" s="330"/>
      <c r="K117" s="330"/>
    </row>
    <row r="118" spans="2:11" s="290" customFormat="1" x14ac:dyDescent="0.25">
      <c r="B118" s="411"/>
      <c r="C118" s="324"/>
      <c r="D118" s="325" t="s">
        <v>53</v>
      </c>
      <c r="E118" s="308"/>
      <c r="F118" s="326"/>
      <c r="G118" s="327"/>
      <c r="H118" s="328"/>
      <c r="I118" s="329"/>
      <c r="J118" s="330"/>
      <c r="K118" s="330"/>
    </row>
    <row r="119" spans="2:11" s="290" customFormat="1" x14ac:dyDescent="0.25">
      <c r="B119" s="411"/>
      <c r="C119" s="324"/>
      <c r="D119" s="300" t="s">
        <v>111</v>
      </c>
      <c r="E119" s="308"/>
      <c r="F119" s="326"/>
      <c r="G119" s="327"/>
      <c r="H119" s="328"/>
      <c r="I119" s="329"/>
      <c r="J119" s="330"/>
      <c r="K119" s="330"/>
    </row>
    <row r="120" spans="2:11" s="290" customFormat="1" ht="15" x14ac:dyDescent="0.25">
      <c r="B120" s="411"/>
      <c r="C120" s="324"/>
      <c r="D120" s="300" t="s">
        <v>112</v>
      </c>
      <c r="E120" s="300" t="s">
        <v>42</v>
      </c>
      <c r="F120" s="326"/>
      <c r="G120" s="327"/>
      <c r="H120" s="300">
        <v>292</v>
      </c>
      <c r="I120" s="301" t="s">
        <v>113</v>
      </c>
      <c r="J120" s="330"/>
      <c r="K120" s="330"/>
    </row>
    <row r="121" spans="2:11" s="290" customFormat="1" ht="15" x14ac:dyDescent="0.25">
      <c r="B121" s="411"/>
      <c r="C121" s="324"/>
      <c r="D121" s="300" t="s">
        <v>114</v>
      </c>
      <c r="E121" s="300" t="s">
        <v>42</v>
      </c>
      <c r="F121" s="326"/>
      <c r="G121" s="327"/>
      <c r="H121" s="300">
        <v>41.328000000000003</v>
      </c>
      <c r="I121" s="301" t="s">
        <v>115</v>
      </c>
      <c r="J121" s="330"/>
      <c r="K121" s="330"/>
    </row>
    <row r="122" spans="2:11" s="290" customFormat="1" ht="15" x14ac:dyDescent="0.25">
      <c r="B122" s="411"/>
      <c r="C122" s="324"/>
      <c r="D122" s="300" t="s">
        <v>116</v>
      </c>
      <c r="E122" s="300"/>
      <c r="F122" s="326"/>
      <c r="G122" s="327"/>
      <c r="H122" s="300"/>
      <c r="I122" s="301"/>
      <c r="J122" s="330"/>
      <c r="K122" s="330"/>
    </row>
    <row r="123" spans="2:11" s="290" customFormat="1" ht="15" x14ac:dyDescent="0.25">
      <c r="B123" s="411"/>
      <c r="C123" s="324"/>
      <c r="D123" s="300" t="s">
        <v>112</v>
      </c>
      <c r="E123" s="300" t="s">
        <v>42</v>
      </c>
      <c r="F123" s="326"/>
      <c r="G123" s="327"/>
      <c r="H123" s="300">
        <v>136</v>
      </c>
      <c r="I123" s="301" t="s">
        <v>113</v>
      </c>
      <c r="J123" s="330"/>
      <c r="K123" s="330"/>
    </row>
    <row r="124" spans="2:11" s="290" customFormat="1" ht="15" x14ac:dyDescent="0.25">
      <c r="B124" s="411"/>
      <c r="C124" s="324"/>
      <c r="D124" s="300" t="s">
        <v>114</v>
      </c>
      <c r="E124" s="300" t="s">
        <v>42</v>
      </c>
      <c r="F124" s="326"/>
      <c r="G124" s="327"/>
      <c r="H124" s="300">
        <v>41.328000000000003</v>
      </c>
      <c r="I124" s="301" t="s">
        <v>115</v>
      </c>
      <c r="J124" s="330"/>
      <c r="K124" s="330"/>
    </row>
    <row r="125" spans="2:11" s="290" customFormat="1" x14ac:dyDescent="0.25">
      <c r="B125" s="411"/>
      <c r="C125" s="324"/>
      <c r="D125" s="325" t="s">
        <v>54</v>
      </c>
      <c r="E125" s="308"/>
      <c r="F125" s="326"/>
      <c r="G125" s="327"/>
      <c r="H125" s="328"/>
      <c r="I125" s="329"/>
      <c r="J125" s="330"/>
      <c r="K125" s="330"/>
    </row>
    <row r="126" spans="2:11" s="290" customFormat="1" x14ac:dyDescent="0.25">
      <c r="B126" s="411"/>
      <c r="C126" s="324"/>
      <c r="D126" s="300" t="s">
        <v>111</v>
      </c>
      <c r="E126" s="308"/>
      <c r="F126" s="326"/>
      <c r="G126" s="327"/>
      <c r="H126" s="328"/>
      <c r="I126" s="329"/>
      <c r="J126" s="330"/>
      <c r="K126" s="330"/>
    </row>
    <row r="127" spans="2:11" s="290" customFormat="1" ht="15" x14ac:dyDescent="0.25">
      <c r="B127" s="411"/>
      <c r="C127" s="324"/>
      <c r="D127" s="300" t="s">
        <v>112</v>
      </c>
      <c r="E127" s="300" t="s">
        <v>42</v>
      </c>
      <c r="F127" s="326"/>
      <c r="G127" s="327"/>
      <c r="H127" s="300">
        <v>292</v>
      </c>
      <c r="I127" s="301" t="s">
        <v>113</v>
      </c>
      <c r="J127" s="330"/>
      <c r="K127" s="330"/>
    </row>
    <row r="128" spans="2:11" s="290" customFormat="1" ht="15" x14ac:dyDescent="0.25">
      <c r="B128" s="411"/>
      <c r="C128" s="324"/>
      <c r="D128" s="300" t="s">
        <v>114</v>
      </c>
      <c r="E128" s="300" t="s">
        <v>42</v>
      </c>
      <c r="F128" s="326"/>
      <c r="G128" s="327"/>
      <c r="H128" s="300">
        <v>41.328000000000003</v>
      </c>
      <c r="I128" s="301" t="s">
        <v>115</v>
      </c>
      <c r="J128" s="330"/>
      <c r="K128" s="330"/>
    </row>
    <row r="129" spans="2:11" s="290" customFormat="1" ht="15" x14ac:dyDescent="0.25">
      <c r="B129" s="411"/>
      <c r="C129" s="324"/>
      <c r="D129" s="300" t="s">
        <v>116</v>
      </c>
      <c r="E129" s="300"/>
      <c r="F129" s="326"/>
      <c r="G129" s="327"/>
      <c r="H129" s="300"/>
      <c r="I129" s="301"/>
      <c r="J129" s="330"/>
      <c r="K129" s="330"/>
    </row>
    <row r="130" spans="2:11" s="290" customFormat="1" ht="15" x14ac:dyDescent="0.25">
      <c r="B130" s="411"/>
      <c r="C130" s="324"/>
      <c r="D130" s="300" t="s">
        <v>112</v>
      </c>
      <c r="E130" s="300" t="s">
        <v>42</v>
      </c>
      <c r="F130" s="326"/>
      <c r="G130" s="327"/>
      <c r="H130" s="300">
        <v>136</v>
      </c>
      <c r="I130" s="301" t="s">
        <v>113</v>
      </c>
      <c r="J130" s="330"/>
      <c r="K130" s="330"/>
    </row>
    <row r="131" spans="2:11" s="290" customFormat="1" ht="15" x14ac:dyDescent="0.25">
      <c r="B131" s="411"/>
      <c r="C131" s="324"/>
      <c r="D131" s="300" t="s">
        <v>114</v>
      </c>
      <c r="E131" s="300" t="s">
        <v>42</v>
      </c>
      <c r="F131" s="326"/>
      <c r="G131" s="327"/>
      <c r="H131" s="300">
        <v>41.328000000000003</v>
      </c>
      <c r="I131" s="301" t="s">
        <v>115</v>
      </c>
      <c r="J131" s="330"/>
      <c r="K131" s="330"/>
    </row>
    <row r="132" spans="2:11" s="290" customFormat="1" x14ac:dyDescent="0.25">
      <c r="B132" s="411"/>
      <c r="C132" s="324"/>
      <c r="D132" s="325" t="s">
        <v>55</v>
      </c>
      <c r="E132" s="308"/>
      <c r="F132" s="326"/>
      <c r="G132" s="327"/>
      <c r="H132" s="328"/>
      <c r="I132" s="329"/>
      <c r="J132" s="330"/>
      <c r="K132" s="330"/>
    </row>
    <row r="133" spans="2:11" s="290" customFormat="1" x14ac:dyDescent="0.25">
      <c r="B133" s="411"/>
      <c r="C133" s="324"/>
      <c r="D133" s="300" t="s">
        <v>111</v>
      </c>
      <c r="E133" s="308"/>
      <c r="F133" s="326"/>
      <c r="G133" s="327"/>
      <c r="H133" s="328"/>
      <c r="I133" s="329"/>
      <c r="J133" s="330"/>
      <c r="K133" s="330"/>
    </row>
    <row r="134" spans="2:11" s="290" customFormat="1" ht="15" x14ac:dyDescent="0.25">
      <c r="B134" s="411"/>
      <c r="C134" s="324"/>
      <c r="D134" s="300" t="s">
        <v>112</v>
      </c>
      <c r="E134" s="300" t="s">
        <v>42</v>
      </c>
      <c r="F134" s="326"/>
      <c r="G134" s="327"/>
      <c r="H134" s="300">
        <v>292</v>
      </c>
      <c r="I134" s="301" t="s">
        <v>113</v>
      </c>
      <c r="J134" s="330"/>
      <c r="K134" s="330"/>
    </row>
    <row r="135" spans="2:11" s="290" customFormat="1" ht="15" x14ac:dyDescent="0.25">
      <c r="B135" s="411"/>
      <c r="C135" s="324"/>
      <c r="D135" s="300" t="s">
        <v>114</v>
      </c>
      <c r="E135" s="300" t="s">
        <v>42</v>
      </c>
      <c r="F135" s="326"/>
      <c r="G135" s="327"/>
      <c r="H135" s="300">
        <v>41.328000000000003</v>
      </c>
      <c r="I135" s="301" t="s">
        <v>115</v>
      </c>
      <c r="J135" s="330"/>
      <c r="K135" s="330"/>
    </row>
    <row r="136" spans="2:11" s="290" customFormat="1" ht="15" x14ac:dyDescent="0.25">
      <c r="B136" s="411"/>
      <c r="C136" s="324"/>
      <c r="D136" s="300" t="s">
        <v>116</v>
      </c>
      <c r="E136" s="300"/>
      <c r="F136" s="326"/>
      <c r="G136" s="327"/>
      <c r="H136" s="300"/>
      <c r="I136" s="301"/>
      <c r="J136" s="330"/>
      <c r="K136" s="330"/>
    </row>
    <row r="137" spans="2:11" s="290" customFormat="1" ht="15" x14ac:dyDescent="0.25">
      <c r="B137" s="411"/>
      <c r="C137" s="324"/>
      <c r="D137" s="300" t="s">
        <v>112</v>
      </c>
      <c r="E137" s="300" t="s">
        <v>42</v>
      </c>
      <c r="F137" s="326"/>
      <c r="G137" s="327"/>
      <c r="H137" s="300">
        <v>136</v>
      </c>
      <c r="I137" s="301" t="s">
        <v>113</v>
      </c>
      <c r="J137" s="330"/>
      <c r="K137" s="330"/>
    </row>
    <row r="138" spans="2:11" s="290" customFormat="1" ht="15" x14ac:dyDescent="0.25">
      <c r="B138" s="411"/>
      <c r="C138" s="324"/>
      <c r="D138" s="300" t="s">
        <v>114</v>
      </c>
      <c r="E138" s="300" t="s">
        <v>42</v>
      </c>
      <c r="F138" s="326"/>
      <c r="G138" s="327"/>
      <c r="H138" s="300">
        <v>41.328000000000003</v>
      </c>
      <c r="I138" s="301" t="s">
        <v>115</v>
      </c>
      <c r="J138" s="330"/>
      <c r="K138" s="330"/>
    </row>
    <row r="139" spans="2:11" s="290" customFormat="1" x14ac:dyDescent="0.25">
      <c r="B139" s="411"/>
      <c r="C139" s="324"/>
      <c r="D139" s="325" t="s">
        <v>56</v>
      </c>
      <c r="E139" s="308"/>
      <c r="F139" s="326"/>
      <c r="G139" s="327"/>
      <c r="H139" s="328"/>
      <c r="I139" s="329"/>
      <c r="J139" s="330"/>
      <c r="K139" s="330"/>
    </row>
    <row r="140" spans="2:11" s="290" customFormat="1" x14ac:dyDescent="0.25">
      <c r="B140" s="411"/>
      <c r="C140" s="324"/>
      <c r="D140" s="300" t="s">
        <v>111</v>
      </c>
      <c r="E140" s="308"/>
      <c r="F140" s="326"/>
      <c r="G140" s="327"/>
      <c r="H140" s="328"/>
      <c r="I140" s="329"/>
      <c r="J140" s="330"/>
      <c r="K140" s="330"/>
    </row>
    <row r="141" spans="2:11" s="290" customFormat="1" ht="15" x14ac:dyDescent="0.25">
      <c r="B141" s="411"/>
      <c r="C141" s="324"/>
      <c r="D141" s="300" t="s">
        <v>112</v>
      </c>
      <c r="E141" s="300" t="s">
        <v>42</v>
      </c>
      <c r="F141" s="326"/>
      <c r="G141" s="327"/>
      <c r="H141" s="300">
        <v>292</v>
      </c>
      <c r="I141" s="301" t="s">
        <v>113</v>
      </c>
      <c r="J141" s="330"/>
      <c r="K141" s="330"/>
    </row>
    <row r="142" spans="2:11" s="290" customFormat="1" ht="15" x14ac:dyDescent="0.25">
      <c r="B142" s="411"/>
      <c r="C142" s="324"/>
      <c r="D142" s="300" t="s">
        <v>114</v>
      </c>
      <c r="E142" s="300" t="s">
        <v>42</v>
      </c>
      <c r="F142" s="326"/>
      <c r="G142" s="327"/>
      <c r="H142" s="300">
        <v>41.328000000000003</v>
      </c>
      <c r="I142" s="301" t="s">
        <v>115</v>
      </c>
      <c r="J142" s="330"/>
      <c r="K142" s="330"/>
    </row>
    <row r="143" spans="2:11" s="290" customFormat="1" ht="15" x14ac:dyDescent="0.25">
      <c r="B143" s="411"/>
      <c r="C143" s="324"/>
      <c r="D143" s="300" t="s">
        <v>116</v>
      </c>
      <c r="E143" s="300"/>
      <c r="F143" s="326"/>
      <c r="G143" s="327"/>
      <c r="H143" s="300"/>
      <c r="I143" s="301"/>
      <c r="J143" s="330"/>
      <c r="K143" s="330"/>
    </row>
    <row r="144" spans="2:11" s="290" customFormat="1" ht="15" x14ac:dyDescent="0.25">
      <c r="B144" s="411"/>
      <c r="C144" s="324"/>
      <c r="D144" s="300" t="s">
        <v>112</v>
      </c>
      <c r="E144" s="300" t="s">
        <v>42</v>
      </c>
      <c r="F144" s="326"/>
      <c r="G144" s="327"/>
      <c r="H144" s="300">
        <v>136</v>
      </c>
      <c r="I144" s="301" t="s">
        <v>113</v>
      </c>
      <c r="J144" s="330"/>
      <c r="K144" s="330"/>
    </row>
    <row r="145" spans="2:11" s="290" customFormat="1" ht="15" x14ac:dyDescent="0.25">
      <c r="B145" s="411"/>
      <c r="C145" s="324"/>
      <c r="D145" s="300" t="s">
        <v>114</v>
      </c>
      <c r="E145" s="300" t="s">
        <v>42</v>
      </c>
      <c r="F145" s="326"/>
      <c r="G145" s="327"/>
      <c r="H145" s="300">
        <v>41.328000000000003</v>
      </c>
      <c r="I145" s="301" t="s">
        <v>115</v>
      </c>
      <c r="J145" s="330"/>
      <c r="K145" s="330"/>
    </row>
    <row r="146" spans="2:11" s="290" customFormat="1" x14ac:dyDescent="0.25">
      <c r="B146" s="411"/>
      <c r="C146" s="324"/>
      <c r="D146" s="325" t="s">
        <v>57</v>
      </c>
      <c r="E146" s="308"/>
      <c r="F146" s="326"/>
      <c r="G146" s="327"/>
      <c r="H146" s="328"/>
      <c r="I146" s="329"/>
      <c r="J146" s="330"/>
      <c r="K146" s="330"/>
    </row>
    <row r="147" spans="2:11" s="290" customFormat="1" x14ac:dyDescent="0.25">
      <c r="B147" s="411"/>
      <c r="C147" s="324"/>
      <c r="D147" s="300" t="s">
        <v>111</v>
      </c>
      <c r="E147" s="308"/>
      <c r="F147" s="326"/>
      <c r="G147" s="327"/>
      <c r="H147" s="328"/>
      <c r="I147" s="329"/>
      <c r="J147" s="330"/>
      <c r="K147" s="330"/>
    </row>
    <row r="148" spans="2:11" s="290" customFormat="1" ht="15" x14ac:dyDescent="0.25">
      <c r="B148" s="411"/>
      <c r="C148" s="324"/>
      <c r="D148" s="300" t="s">
        <v>112</v>
      </c>
      <c r="E148" s="300" t="s">
        <v>42</v>
      </c>
      <c r="F148" s="326"/>
      <c r="G148" s="327"/>
      <c r="H148" s="300">
        <v>292</v>
      </c>
      <c r="I148" s="301" t="s">
        <v>113</v>
      </c>
      <c r="J148" s="330"/>
      <c r="K148" s="330"/>
    </row>
    <row r="149" spans="2:11" s="290" customFormat="1" ht="15" x14ac:dyDescent="0.25">
      <c r="B149" s="411"/>
      <c r="C149" s="324"/>
      <c r="D149" s="300" t="s">
        <v>114</v>
      </c>
      <c r="E149" s="300" t="s">
        <v>42</v>
      </c>
      <c r="F149" s="326"/>
      <c r="G149" s="327"/>
      <c r="H149" s="300">
        <v>41.328000000000003</v>
      </c>
      <c r="I149" s="301" t="s">
        <v>115</v>
      </c>
      <c r="J149" s="330"/>
      <c r="K149" s="330"/>
    </row>
    <row r="150" spans="2:11" s="290" customFormat="1" ht="15" x14ac:dyDescent="0.25">
      <c r="B150" s="411"/>
      <c r="C150" s="324"/>
      <c r="D150" s="300" t="s">
        <v>116</v>
      </c>
      <c r="E150" s="300"/>
      <c r="F150" s="326"/>
      <c r="G150" s="327"/>
      <c r="H150" s="300"/>
      <c r="I150" s="301"/>
      <c r="J150" s="330"/>
      <c r="K150" s="330"/>
    </row>
    <row r="151" spans="2:11" s="290" customFormat="1" ht="15" x14ac:dyDescent="0.25">
      <c r="B151" s="411"/>
      <c r="C151" s="324"/>
      <c r="D151" s="300" t="s">
        <v>112</v>
      </c>
      <c r="E151" s="300" t="s">
        <v>42</v>
      </c>
      <c r="F151" s="326"/>
      <c r="G151" s="327"/>
      <c r="H151" s="300">
        <v>136</v>
      </c>
      <c r="I151" s="301" t="s">
        <v>113</v>
      </c>
      <c r="J151" s="330"/>
      <c r="K151" s="330"/>
    </row>
    <row r="152" spans="2:11" s="290" customFormat="1" ht="15" x14ac:dyDescent="0.25">
      <c r="B152" s="411"/>
      <c r="C152" s="324"/>
      <c r="D152" s="300" t="s">
        <v>114</v>
      </c>
      <c r="E152" s="300" t="s">
        <v>42</v>
      </c>
      <c r="F152" s="326"/>
      <c r="G152" s="327"/>
      <c r="H152" s="300">
        <v>41.328000000000003</v>
      </c>
      <c r="I152" s="301" t="s">
        <v>115</v>
      </c>
      <c r="J152" s="330"/>
      <c r="K152" s="330"/>
    </row>
    <row r="153" spans="2:11" s="290" customFormat="1" x14ac:dyDescent="0.25">
      <c r="B153" s="411"/>
      <c r="C153" s="324"/>
      <c r="D153" s="325" t="s">
        <v>58</v>
      </c>
      <c r="E153" s="308"/>
      <c r="F153" s="326"/>
      <c r="G153" s="327"/>
      <c r="H153" s="328"/>
      <c r="I153" s="329"/>
      <c r="J153" s="330"/>
      <c r="K153" s="330"/>
    </row>
    <row r="154" spans="2:11" s="290" customFormat="1" x14ac:dyDescent="0.25">
      <c r="B154" s="411"/>
      <c r="C154" s="324"/>
      <c r="D154" s="300" t="s">
        <v>111</v>
      </c>
      <c r="E154" s="308"/>
      <c r="F154" s="326"/>
      <c r="G154" s="327"/>
      <c r="H154" s="328"/>
      <c r="I154" s="329"/>
      <c r="J154" s="330"/>
      <c r="K154" s="330"/>
    </row>
    <row r="155" spans="2:11" s="290" customFormat="1" ht="15" x14ac:dyDescent="0.25">
      <c r="B155" s="411"/>
      <c r="C155" s="324"/>
      <c r="D155" s="300" t="s">
        <v>112</v>
      </c>
      <c r="E155" s="300" t="s">
        <v>42</v>
      </c>
      <c r="F155" s="326"/>
      <c r="G155" s="327"/>
      <c r="H155" s="300">
        <v>292</v>
      </c>
      <c r="I155" s="301" t="s">
        <v>113</v>
      </c>
      <c r="J155" s="330"/>
      <c r="K155" s="330"/>
    </row>
    <row r="156" spans="2:11" s="290" customFormat="1" ht="15" x14ac:dyDescent="0.25">
      <c r="B156" s="411"/>
      <c r="C156" s="324"/>
      <c r="D156" s="300" t="s">
        <v>114</v>
      </c>
      <c r="E156" s="300" t="s">
        <v>42</v>
      </c>
      <c r="F156" s="326"/>
      <c r="G156" s="327"/>
      <c r="H156" s="300">
        <v>41.328000000000003</v>
      </c>
      <c r="I156" s="301" t="s">
        <v>115</v>
      </c>
      <c r="J156" s="330"/>
      <c r="K156" s="330"/>
    </row>
    <row r="157" spans="2:11" s="290" customFormat="1" ht="15" x14ac:dyDescent="0.25">
      <c r="B157" s="411"/>
      <c r="C157" s="324"/>
      <c r="D157" s="300" t="s">
        <v>116</v>
      </c>
      <c r="E157" s="300"/>
      <c r="F157" s="326"/>
      <c r="G157" s="327"/>
      <c r="H157" s="300"/>
      <c r="I157" s="301"/>
      <c r="J157" s="330"/>
      <c r="K157" s="330"/>
    </row>
    <row r="158" spans="2:11" s="290" customFormat="1" ht="15" x14ac:dyDescent="0.25">
      <c r="B158" s="411"/>
      <c r="C158" s="324"/>
      <c r="D158" s="300" t="s">
        <v>112</v>
      </c>
      <c r="E158" s="300" t="s">
        <v>42</v>
      </c>
      <c r="F158" s="326"/>
      <c r="G158" s="327"/>
      <c r="H158" s="300">
        <v>136</v>
      </c>
      <c r="I158" s="301" t="s">
        <v>113</v>
      </c>
      <c r="J158" s="330"/>
      <c r="K158" s="330"/>
    </row>
    <row r="159" spans="2:11" s="290" customFormat="1" ht="15" x14ac:dyDescent="0.25">
      <c r="B159" s="411"/>
      <c r="C159" s="324"/>
      <c r="D159" s="300" t="s">
        <v>114</v>
      </c>
      <c r="E159" s="300" t="s">
        <v>42</v>
      </c>
      <c r="F159" s="326"/>
      <c r="G159" s="327"/>
      <c r="H159" s="300">
        <v>41.328000000000003</v>
      </c>
      <c r="I159" s="301" t="s">
        <v>115</v>
      </c>
      <c r="J159" s="330"/>
      <c r="K159" s="330"/>
    </row>
    <row r="160" spans="2:11" s="290" customFormat="1" x14ac:dyDescent="0.25">
      <c r="B160" s="411"/>
      <c r="C160" s="324"/>
      <c r="D160" s="325" t="s">
        <v>59</v>
      </c>
      <c r="E160" s="308"/>
      <c r="F160" s="326"/>
      <c r="G160" s="327"/>
      <c r="H160" s="328"/>
      <c r="I160" s="329"/>
      <c r="J160" s="330"/>
      <c r="K160" s="330"/>
    </row>
    <row r="161" spans="2:11" s="290" customFormat="1" x14ac:dyDescent="0.25">
      <c r="B161" s="411"/>
      <c r="C161" s="324"/>
      <c r="D161" s="300" t="s">
        <v>111</v>
      </c>
      <c r="E161" s="308"/>
      <c r="F161" s="326"/>
      <c r="G161" s="327"/>
      <c r="H161" s="328"/>
      <c r="I161" s="329"/>
      <c r="J161" s="330"/>
      <c r="K161" s="330"/>
    </row>
    <row r="162" spans="2:11" s="290" customFormat="1" ht="15" x14ac:dyDescent="0.25">
      <c r="B162" s="411"/>
      <c r="C162" s="324"/>
      <c r="D162" s="300" t="s">
        <v>112</v>
      </c>
      <c r="E162" s="300" t="s">
        <v>42</v>
      </c>
      <c r="F162" s="326"/>
      <c r="G162" s="327"/>
      <c r="H162" s="300">
        <v>292</v>
      </c>
      <c r="I162" s="301" t="s">
        <v>113</v>
      </c>
      <c r="J162" s="330"/>
      <c r="K162" s="330"/>
    </row>
    <row r="163" spans="2:11" s="290" customFormat="1" ht="15" x14ac:dyDescent="0.25">
      <c r="B163" s="411"/>
      <c r="C163" s="324"/>
      <c r="D163" s="300" t="s">
        <v>114</v>
      </c>
      <c r="E163" s="300" t="s">
        <v>42</v>
      </c>
      <c r="F163" s="326"/>
      <c r="G163" s="327"/>
      <c r="H163" s="300">
        <v>41.328000000000003</v>
      </c>
      <c r="I163" s="301" t="s">
        <v>115</v>
      </c>
      <c r="J163" s="330"/>
      <c r="K163" s="330"/>
    </row>
    <row r="164" spans="2:11" s="290" customFormat="1" ht="15" x14ac:dyDescent="0.25">
      <c r="B164" s="411"/>
      <c r="C164" s="324"/>
      <c r="D164" s="300" t="s">
        <v>116</v>
      </c>
      <c r="E164" s="300"/>
      <c r="F164" s="326"/>
      <c r="G164" s="327"/>
      <c r="H164" s="300"/>
      <c r="I164" s="301"/>
      <c r="J164" s="330"/>
      <c r="K164" s="330"/>
    </row>
    <row r="165" spans="2:11" s="290" customFormat="1" ht="15" x14ac:dyDescent="0.25">
      <c r="B165" s="411"/>
      <c r="C165" s="324"/>
      <c r="D165" s="300" t="s">
        <v>112</v>
      </c>
      <c r="E165" s="300" t="s">
        <v>42</v>
      </c>
      <c r="F165" s="326"/>
      <c r="G165" s="327"/>
      <c r="H165" s="300">
        <v>136</v>
      </c>
      <c r="I165" s="301" t="s">
        <v>113</v>
      </c>
      <c r="J165" s="330"/>
      <c r="K165" s="330"/>
    </row>
    <row r="166" spans="2:11" s="290" customFormat="1" ht="15" x14ac:dyDescent="0.25">
      <c r="B166" s="411"/>
      <c r="C166" s="324"/>
      <c r="D166" s="300" t="s">
        <v>114</v>
      </c>
      <c r="E166" s="300" t="s">
        <v>42</v>
      </c>
      <c r="F166" s="326"/>
      <c r="G166" s="327"/>
      <c r="H166" s="300">
        <v>41.328000000000003</v>
      </c>
      <c r="I166" s="301" t="s">
        <v>115</v>
      </c>
      <c r="J166" s="330"/>
      <c r="K166" s="330"/>
    </row>
    <row r="167" spans="2:11" s="290" customFormat="1" x14ac:dyDescent="0.25">
      <c r="B167" s="411"/>
      <c r="C167" s="324"/>
      <c r="D167" s="325" t="s">
        <v>60</v>
      </c>
      <c r="E167" s="308"/>
      <c r="F167" s="326"/>
      <c r="G167" s="327"/>
      <c r="H167" s="328"/>
      <c r="I167" s="329"/>
      <c r="J167" s="330"/>
      <c r="K167" s="330"/>
    </row>
    <row r="168" spans="2:11" s="290" customFormat="1" x14ac:dyDescent="0.25">
      <c r="B168" s="411"/>
      <c r="C168" s="324"/>
      <c r="D168" s="300" t="s">
        <v>111</v>
      </c>
      <c r="E168" s="308"/>
      <c r="F168" s="326"/>
      <c r="G168" s="327"/>
      <c r="H168" s="328"/>
      <c r="I168" s="329"/>
      <c r="J168" s="330"/>
      <c r="K168" s="330"/>
    </row>
    <row r="169" spans="2:11" s="290" customFormat="1" ht="15" x14ac:dyDescent="0.25">
      <c r="B169" s="411"/>
      <c r="C169" s="324"/>
      <c r="D169" s="300" t="s">
        <v>112</v>
      </c>
      <c r="E169" s="300" t="s">
        <v>42</v>
      </c>
      <c r="F169" s="326"/>
      <c r="G169" s="327"/>
      <c r="H169" s="300">
        <v>292</v>
      </c>
      <c r="I169" s="301" t="s">
        <v>113</v>
      </c>
      <c r="J169" s="330"/>
      <c r="K169" s="330"/>
    </row>
    <row r="170" spans="2:11" s="290" customFormat="1" ht="15" x14ac:dyDescent="0.25">
      <c r="B170" s="411"/>
      <c r="C170" s="324"/>
      <c r="D170" s="300" t="s">
        <v>114</v>
      </c>
      <c r="E170" s="300" t="s">
        <v>42</v>
      </c>
      <c r="F170" s="326"/>
      <c r="G170" s="327"/>
      <c r="H170" s="300">
        <v>41.328000000000003</v>
      </c>
      <c r="I170" s="301" t="s">
        <v>115</v>
      </c>
      <c r="J170" s="330"/>
      <c r="K170" s="330"/>
    </row>
    <row r="171" spans="2:11" s="290" customFormat="1" ht="15" x14ac:dyDescent="0.25">
      <c r="B171" s="411"/>
      <c r="C171" s="324"/>
      <c r="D171" s="300" t="s">
        <v>116</v>
      </c>
      <c r="E171" s="300"/>
      <c r="F171" s="326"/>
      <c r="G171" s="327"/>
      <c r="H171" s="300"/>
      <c r="I171" s="301"/>
      <c r="J171" s="330"/>
      <c r="K171" s="330"/>
    </row>
    <row r="172" spans="2:11" s="290" customFormat="1" ht="15" x14ac:dyDescent="0.25">
      <c r="B172" s="411"/>
      <c r="C172" s="324"/>
      <c r="D172" s="300" t="s">
        <v>112</v>
      </c>
      <c r="E172" s="300" t="s">
        <v>42</v>
      </c>
      <c r="F172" s="326"/>
      <c r="G172" s="327"/>
      <c r="H172" s="300">
        <v>136</v>
      </c>
      <c r="I172" s="301" t="s">
        <v>113</v>
      </c>
      <c r="J172" s="330"/>
      <c r="K172" s="330"/>
    </row>
    <row r="173" spans="2:11" s="290" customFormat="1" ht="15" x14ac:dyDescent="0.25">
      <c r="B173" s="411"/>
      <c r="C173" s="324"/>
      <c r="D173" s="300" t="s">
        <v>114</v>
      </c>
      <c r="E173" s="300" t="s">
        <v>42</v>
      </c>
      <c r="F173" s="326"/>
      <c r="G173" s="327"/>
      <c r="H173" s="300">
        <v>41.328000000000003</v>
      </c>
      <c r="I173" s="301" t="s">
        <v>115</v>
      </c>
      <c r="J173" s="330"/>
      <c r="K173" s="330"/>
    </row>
    <row r="174" spans="2:11" s="290" customFormat="1" x14ac:dyDescent="0.25">
      <c r="B174" s="411"/>
      <c r="C174" s="324"/>
      <c r="D174" s="325" t="s">
        <v>61</v>
      </c>
      <c r="E174" s="308"/>
      <c r="F174" s="326"/>
      <c r="G174" s="327"/>
      <c r="H174" s="328"/>
      <c r="I174" s="329"/>
      <c r="J174" s="330"/>
      <c r="K174" s="330"/>
    </row>
    <row r="175" spans="2:11" s="290" customFormat="1" x14ac:dyDescent="0.25">
      <c r="B175" s="411"/>
      <c r="C175" s="324"/>
      <c r="D175" s="300" t="s">
        <v>111</v>
      </c>
      <c r="E175" s="308"/>
      <c r="F175" s="326"/>
      <c r="G175" s="327"/>
      <c r="H175" s="328"/>
      <c r="I175" s="329"/>
      <c r="J175" s="330"/>
      <c r="K175" s="330"/>
    </row>
    <row r="176" spans="2:11" s="290" customFormat="1" ht="15" x14ac:dyDescent="0.25">
      <c r="B176" s="411"/>
      <c r="C176" s="324"/>
      <c r="D176" s="300" t="s">
        <v>112</v>
      </c>
      <c r="E176" s="300" t="s">
        <v>42</v>
      </c>
      <c r="F176" s="326"/>
      <c r="G176" s="327"/>
      <c r="H176" s="300">
        <v>292</v>
      </c>
      <c r="I176" s="301" t="s">
        <v>113</v>
      </c>
      <c r="J176" s="330"/>
      <c r="K176" s="330"/>
    </row>
    <row r="177" spans="2:11" s="290" customFormat="1" ht="15" x14ac:dyDescent="0.25">
      <c r="B177" s="411"/>
      <c r="C177" s="324"/>
      <c r="D177" s="300" t="s">
        <v>114</v>
      </c>
      <c r="E177" s="300" t="s">
        <v>42</v>
      </c>
      <c r="F177" s="326"/>
      <c r="G177" s="327"/>
      <c r="H177" s="300">
        <v>41.328000000000003</v>
      </c>
      <c r="I177" s="301" t="s">
        <v>115</v>
      </c>
      <c r="J177" s="330"/>
      <c r="K177" s="330"/>
    </row>
    <row r="178" spans="2:11" s="290" customFormat="1" ht="15" x14ac:dyDescent="0.25">
      <c r="B178" s="411"/>
      <c r="C178" s="324"/>
      <c r="D178" s="300" t="s">
        <v>116</v>
      </c>
      <c r="E178" s="300"/>
      <c r="F178" s="326"/>
      <c r="G178" s="327"/>
      <c r="H178" s="300"/>
      <c r="I178" s="301"/>
      <c r="J178" s="330"/>
      <c r="K178" s="330"/>
    </row>
    <row r="179" spans="2:11" s="290" customFormat="1" ht="15" x14ac:dyDescent="0.25">
      <c r="B179" s="411"/>
      <c r="C179" s="324"/>
      <c r="D179" s="300" t="s">
        <v>112</v>
      </c>
      <c r="E179" s="300" t="s">
        <v>42</v>
      </c>
      <c r="F179" s="326"/>
      <c r="G179" s="327"/>
      <c r="H179" s="300">
        <v>136</v>
      </c>
      <c r="I179" s="301" t="s">
        <v>113</v>
      </c>
      <c r="J179" s="330"/>
      <c r="K179" s="330"/>
    </row>
    <row r="180" spans="2:11" s="290" customFormat="1" ht="15" x14ac:dyDescent="0.25">
      <c r="B180" s="411"/>
      <c r="C180" s="324"/>
      <c r="D180" s="300" t="s">
        <v>114</v>
      </c>
      <c r="E180" s="300" t="s">
        <v>42</v>
      </c>
      <c r="F180" s="326"/>
      <c r="G180" s="327"/>
      <c r="H180" s="300">
        <v>41.328000000000003</v>
      </c>
      <c r="I180" s="301" t="s">
        <v>115</v>
      </c>
      <c r="J180" s="330"/>
      <c r="K180" s="330"/>
    </row>
    <row r="181" spans="2:11" s="290" customFormat="1" x14ac:dyDescent="0.25">
      <c r="B181" s="411"/>
      <c r="C181" s="324"/>
      <c r="D181" s="325" t="s">
        <v>62</v>
      </c>
      <c r="E181" s="308"/>
      <c r="F181" s="326"/>
      <c r="G181" s="327"/>
      <c r="H181" s="328"/>
      <c r="I181" s="329"/>
      <c r="J181" s="330"/>
      <c r="K181" s="330"/>
    </row>
    <row r="182" spans="2:11" s="290" customFormat="1" x14ac:dyDescent="0.25">
      <c r="B182" s="411"/>
      <c r="C182" s="324"/>
      <c r="D182" s="300" t="s">
        <v>111</v>
      </c>
      <c r="E182" s="308"/>
      <c r="F182" s="326"/>
      <c r="G182" s="327"/>
      <c r="H182" s="328"/>
      <c r="I182" s="329"/>
      <c r="J182" s="330"/>
      <c r="K182" s="330"/>
    </row>
    <row r="183" spans="2:11" s="290" customFormat="1" ht="15" x14ac:dyDescent="0.25">
      <c r="B183" s="411"/>
      <c r="C183" s="324"/>
      <c r="D183" s="300" t="s">
        <v>112</v>
      </c>
      <c r="E183" s="300" t="s">
        <v>42</v>
      </c>
      <c r="F183" s="326"/>
      <c r="G183" s="327"/>
      <c r="H183" s="300">
        <v>292</v>
      </c>
      <c r="I183" s="301" t="s">
        <v>113</v>
      </c>
      <c r="J183" s="330"/>
      <c r="K183" s="330"/>
    </row>
    <row r="184" spans="2:11" s="290" customFormat="1" ht="15" x14ac:dyDescent="0.25">
      <c r="B184" s="411"/>
      <c r="C184" s="324"/>
      <c r="D184" s="300" t="s">
        <v>114</v>
      </c>
      <c r="E184" s="300" t="s">
        <v>42</v>
      </c>
      <c r="F184" s="326"/>
      <c r="G184" s="327"/>
      <c r="H184" s="300">
        <v>41.328000000000003</v>
      </c>
      <c r="I184" s="301" t="s">
        <v>115</v>
      </c>
      <c r="J184" s="330"/>
      <c r="K184" s="330"/>
    </row>
    <row r="185" spans="2:11" s="290" customFormat="1" ht="15" x14ac:dyDescent="0.25">
      <c r="B185" s="411"/>
      <c r="C185" s="324"/>
      <c r="D185" s="300" t="s">
        <v>116</v>
      </c>
      <c r="E185" s="300"/>
      <c r="F185" s="326"/>
      <c r="G185" s="327"/>
      <c r="H185" s="300"/>
      <c r="I185" s="301"/>
      <c r="J185" s="330"/>
      <c r="K185" s="330"/>
    </row>
    <row r="186" spans="2:11" s="290" customFormat="1" ht="15" x14ac:dyDescent="0.25">
      <c r="B186" s="411"/>
      <c r="C186" s="324"/>
      <c r="D186" s="300" t="s">
        <v>112</v>
      </c>
      <c r="E186" s="300" t="s">
        <v>42</v>
      </c>
      <c r="F186" s="326"/>
      <c r="G186" s="327"/>
      <c r="H186" s="300">
        <v>136</v>
      </c>
      <c r="I186" s="301" t="s">
        <v>113</v>
      </c>
      <c r="J186" s="330"/>
      <c r="K186" s="330"/>
    </row>
    <row r="187" spans="2:11" s="290" customFormat="1" ht="15" x14ac:dyDescent="0.25">
      <c r="B187" s="411"/>
      <c r="C187" s="324"/>
      <c r="D187" s="300" t="s">
        <v>114</v>
      </c>
      <c r="E187" s="300" t="s">
        <v>42</v>
      </c>
      <c r="F187" s="326"/>
      <c r="G187" s="327"/>
      <c r="H187" s="300">
        <v>41.328000000000003</v>
      </c>
      <c r="I187" s="301" t="s">
        <v>115</v>
      </c>
      <c r="J187" s="330"/>
      <c r="K187" s="330"/>
    </row>
    <row r="188" spans="2:11" s="290" customFormat="1" x14ac:dyDescent="0.25">
      <c r="B188" s="411"/>
      <c r="C188" s="324"/>
      <c r="D188" s="325" t="s">
        <v>63</v>
      </c>
      <c r="E188" s="308"/>
      <c r="F188" s="326"/>
      <c r="G188" s="327"/>
      <c r="H188" s="328"/>
      <c r="I188" s="329"/>
      <c r="J188" s="330"/>
      <c r="K188" s="330"/>
    </row>
    <row r="189" spans="2:11" s="290" customFormat="1" x14ac:dyDescent="0.25">
      <c r="B189" s="411"/>
      <c r="C189" s="324"/>
      <c r="D189" s="300" t="s">
        <v>111</v>
      </c>
      <c r="E189" s="308"/>
      <c r="F189" s="326"/>
      <c r="G189" s="327"/>
      <c r="H189" s="328"/>
      <c r="I189" s="329"/>
      <c r="J189" s="330"/>
      <c r="K189" s="330"/>
    </row>
    <row r="190" spans="2:11" s="290" customFormat="1" ht="15" x14ac:dyDescent="0.25">
      <c r="B190" s="411"/>
      <c r="C190" s="324"/>
      <c r="D190" s="300" t="s">
        <v>112</v>
      </c>
      <c r="E190" s="300" t="s">
        <v>42</v>
      </c>
      <c r="F190" s="326"/>
      <c r="G190" s="327"/>
      <c r="H190" s="300">
        <v>292</v>
      </c>
      <c r="I190" s="301" t="s">
        <v>113</v>
      </c>
      <c r="J190" s="330"/>
      <c r="K190" s="330"/>
    </row>
    <row r="191" spans="2:11" s="290" customFormat="1" ht="15" x14ac:dyDescent="0.25">
      <c r="B191" s="411"/>
      <c r="C191" s="324"/>
      <c r="D191" s="300" t="s">
        <v>114</v>
      </c>
      <c r="E191" s="300" t="s">
        <v>42</v>
      </c>
      <c r="F191" s="326"/>
      <c r="G191" s="327"/>
      <c r="H191" s="300">
        <v>41.328000000000003</v>
      </c>
      <c r="I191" s="301" t="s">
        <v>115</v>
      </c>
      <c r="J191" s="330"/>
      <c r="K191" s="330"/>
    </row>
    <row r="192" spans="2:11" s="290" customFormat="1" ht="15" x14ac:dyDescent="0.25">
      <c r="B192" s="411"/>
      <c r="C192" s="324"/>
      <c r="D192" s="300" t="s">
        <v>116</v>
      </c>
      <c r="E192" s="300"/>
      <c r="F192" s="326"/>
      <c r="G192" s="327"/>
      <c r="H192" s="300"/>
      <c r="I192" s="301"/>
      <c r="J192" s="330"/>
      <c r="K192" s="330"/>
    </row>
    <row r="193" spans="2:11" s="290" customFormat="1" ht="15" x14ac:dyDescent="0.25">
      <c r="B193" s="411"/>
      <c r="C193" s="324"/>
      <c r="D193" s="300" t="s">
        <v>112</v>
      </c>
      <c r="E193" s="300" t="s">
        <v>42</v>
      </c>
      <c r="F193" s="326"/>
      <c r="G193" s="327"/>
      <c r="H193" s="300">
        <v>136</v>
      </c>
      <c r="I193" s="301" t="s">
        <v>113</v>
      </c>
      <c r="J193" s="330"/>
      <c r="K193" s="330"/>
    </row>
    <row r="194" spans="2:11" s="290" customFormat="1" ht="15" x14ac:dyDescent="0.25">
      <c r="B194" s="411"/>
      <c r="C194" s="324"/>
      <c r="D194" s="300" t="s">
        <v>114</v>
      </c>
      <c r="E194" s="300" t="s">
        <v>42</v>
      </c>
      <c r="F194" s="326"/>
      <c r="G194" s="327"/>
      <c r="H194" s="300">
        <v>41.328000000000003</v>
      </c>
      <c r="I194" s="301" t="s">
        <v>115</v>
      </c>
      <c r="J194" s="330"/>
      <c r="K194" s="330"/>
    </row>
    <row r="195" spans="2:11" s="290" customFormat="1" x14ac:dyDescent="0.25">
      <c r="B195" s="411"/>
      <c r="C195" s="324"/>
      <c r="D195" s="325" t="s">
        <v>64</v>
      </c>
      <c r="E195" s="308"/>
      <c r="F195" s="326"/>
      <c r="G195" s="327"/>
      <c r="H195" s="328"/>
      <c r="I195" s="329"/>
      <c r="J195" s="330"/>
      <c r="K195" s="330"/>
    </row>
    <row r="196" spans="2:11" s="290" customFormat="1" x14ac:dyDescent="0.25">
      <c r="B196" s="411"/>
      <c r="C196" s="324"/>
      <c r="D196" s="300" t="s">
        <v>111</v>
      </c>
      <c r="E196" s="308"/>
      <c r="F196" s="326"/>
      <c r="G196" s="327"/>
      <c r="H196" s="328"/>
      <c r="I196" s="329"/>
      <c r="J196" s="330"/>
      <c r="K196" s="330"/>
    </row>
    <row r="197" spans="2:11" s="290" customFormat="1" ht="15" x14ac:dyDescent="0.25">
      <c r="B197" s="411"/>
      <c r="C197" s="324"/>
      <c r="D197" s="300" t="s">
        <v>112</v>
      </c>
      <c r="E197" s="300" t="s">
        <v>42</v>
      </c>
      <c r="F197" s="326"/>
      <c r="G197" s="327"/>
      <c r="H197" s="300">
        <v>292</v>
      </c>
      <c r="I197" s="301" t="s">
        <v>113</v>
      </c>
      <c r="J197" s="330"/>
      <c r="K197" s="330"/>
    </row>
    <row r="198" spans="2:11" s="290" customFormat="1" ht="15" x14ac:dyDescent="0.25">
      <c r="B198" s="411"/>
      <c r="C198" s="324"/>
      <c r="D198" s="300" t="s">
        <v>114</v>
      </c>
      <c r="E198" s="300" t="s">
        <v>42</v>
      </c>
      <c r="F198" s="326"/>
      <c r="G198" s="327"/>
      <c r="H198" s="300">
        <v>41.328000000000003</v>
      </c>
      <c r="I198" s="301" t="s">
        <v>115</v>
      </c>
      <c r="J198" s="330"/>
      <c r="K198" s="330"/>
    </row>
    <row r="199" spans="2:11" s="290" customFormat="1" ht="15" x14ac:dyDescent="0.25">
      <c r="B199" s="411"/>
      <c r="C199" s="324"/>
      <c r="D199" s="300" t="s">
        <v>116</v>
      </c>
      <c r="E199" s="300"/>
      <c r="F199" s="326"/>
      <c r="G199" s="327"/>
      <c r="H199" s="300"/>
      <c r="I199" s="301"/>
      <c r="J199" s="330"/>
      <c r="K199" s="330"/>
    </row>
    <row r="200" spans="2:11" s="290" customFormat="1" ht="15" x14ac:dyDescent="0.25">
      <c r="B200" s="411"/>
      <c r="C200" s="324"/>
      <c r="D200" s="300" t="s">
        <v>112</v>
      </c>
      <c r="E200" s="300" t="s">
        <v>42</v>
      </c>
      <c r="F200" s="326"/>
      <c r="G200" s="327"/>
      <c r="H200" s="300">
        <v>136</v>
      </c>
      <c r="I200" s="301" t="s">
        <v>113</v>
      </c>
      <c r="J200" s="330"/>
      <c r="K200" s="330"/>
    </row>
    <row r="201" spans="2:11" s="290" customFormat="1" ht="15" x14ac:dyDescent="0.25">
      <c r="B201" s="411"/>
      <c r="C201" s="324"/>
      <c r="D201" s="300" t="s">
        <v>114</v>
      </c>
      <c r="E201" s="300" t="s">
        <v>42</v>
      </c>
      <c r="F201" s="326"/>
      <c r="G201" s="327"/>
      <c r="H201" s="300">
        <v>41.328000000000003</v>
      </c>
      <c r="I201" s="301" t="s">
        <v>115</v>
      </c>
      <c r="J201" s="330"/>
      <c r="K201" s="330"/>
    </row>
    <row r="202" spans="2:11" s="290" customFormat="1" x14ac:dyDescent="0.25">
      <c r="B202" s="411"/>
      <c r="C202" s="324"/>
      <c r="D202" s="325" t="s">
        <v>65</v>
      </c>
      <c r="E202" s="308"/>
      <c r="F202" s="326"/>
      <c r="G202" s="327"/>
      <c r="H202" s="328"/>
      <c r="I202" s="329"/>
      <c r="J202" s="330"/>
      <c r="K202" s="330"/>
    </row>
    <row r="203" spans="2:11" s="290" customFormat="1" x14ac:dyDescent="0.25">
      <c r="B203" s="411"/>
      <c r="C203" s="324"/>
      <c r="D203" s="300" t="s">
        <v>111</v>
      </c>
      <c r="E203" s="308"/>
      <c r="F203" s="326"/>
      <c r="G203" s="327"/>
      <c r="H203" s="328"/>
      <c r="I203" s="329"/>
      <c r="J203" s="330"/>
      <c r="K203" s="330"/>
    </row>
    <row r="204" spans="2:11" s="290" customFormat="1" ht="15" x14ac:dyDescent="0.25">
      <c r="B204" s="411"/>
      <c r="C204" s="324"/>
      <c r="D204" s="300" t="s">
        <v>112</v>
      </c>
      <c r="E204" s="300" t="s">
        <v>42</v>
      </c>
      <c r="F204" s="326"/>
      <c r="G204" s="327"/>
      <c r="H204" s="300">
        <v>292</v>
      </c>
      <c r="I204" s="301" t="s">
        <v>113</v>
      </c>
      <c r="J204" s="330"/>
      <c r="K204" s="330"/>
    </row>
    <row r="205" spans="2:11" s="290" customFormat="1" ht="15" x14ac:dyDescent="0.25">
      <c r="B205" s="411"/>
      <c r="C205" s="324"/>
      <c r="D205" s="300" t="s">
        <v>114</v>
      </c>
      <c r="E205" s="300" t="s">
        <v>42</v>
      </c>
      <c r="F205" s="326"/>
      <c r="G205" s="327"/>
      <c r="H205" s="300">
        <v>41.328000000000003</v>
      </c>
      <c r="I205" s="301" t="s">
        <v>115</v>
      </c>
      <c r="J205" s="330"/>
      <c r="K205" s="330"/>
    </row>
    <row r="206" spans="2:11" s="290" customFormat="1" ht="15" x14ac:dyDescent="0.25">
      <c r="B206" s="411"/>
      <c r="C206" s="324"/>
      <c r="D206" s="300" t="s">
        <v>116</v>
      </c>
      <c r="E206" s="300"/>
      <c r="F206" s="326"/>
      <c r="G206" s="327"/>
      <c r="H206" s="300"/>
      <c r="I206" s="301"/>
      <c r="J206" s="330"/>
      <c r="K206" s="330"/>
    </row>
    <row r="207" spans="2:11" s="290" customFormat="1" ht="15" x14ac:dyDescent="0.25">
      <c r="B207" s="411"/>
      <c r="C207" s="324"/>
      <c r="D207" s="300" t="s">
        <v>112</v>
      </c>
      <c r="E207" s="300" t="s">
        <v>42</v>
      </c>
      <c r="F207" s="326"/>
      <c r="G207" s="327"/>
      <c r="H207" s="300">
        <v>136</v>
      </c>
      <c r="I207" s="301" t="s">
        <v>113</v>
      </c>
      <c r="J207" s="330"/>
      <c r="K207" s="330"/>
    </row>
    <row r="208" spans="2:11" s="290" customFormat="1" ht="15" x14ac:dyDescent="0.25">
      <c r="B208" s="411"/>
      <c r="C208" s="324"/>
      <c r="D208" s="300" t="s">
        <v>114</v>
      </c>
      <c r="E208" s="300" t="s">
        <v>42</v>
      </c>
      <c r="F208" s="326"/>
      <c r="G208" s="327"/>
      <c r="H208" s="300">
        <v>41.328000000000003</v>
      </c>
      <c r="I208" s="301" t="s">
        <v>115</v>
      </c>
      <c r="J208" s="330"/>
      <c r="K208" s="330"/>
    </row>
    <row r="209" spans="2:11" s="290" customFormat="1" x14ac:dyDescent="0.25">
      <c r="B209" s="411"/>
      <c r="C209" s="324"/>
      <c r="D209" s="325" t="s">
        <v>66</v>
      </c>
      <c r="E209" s="308"/>
      <c r="F209" s="326"/>
      <c r="G209" s="327"/>
      <c r="H209" s="328"/>
      <c r="I209" s="329"/>
      <c r="J209" s="330"/>
      <c r="K209" s="330"/>
    </row>
    <row r="210" spans="2:11" s="290" customFormat="1" x14ac:dyDescent="0.25">
      <c r="B210" s="411"/>
      <c r="C210" s="324"/>
      <c r="D210" s="300" t="s">
        <v>111</v>
      </c>
      <c r="E210" s="308"/>
      <c r="F210" s="326"/>
      <c r="G210" s="327"/>
      <c r="H210" s="328"/>
      <c r="I210" s="329"/>
      <c r="J210" s="330"/>
      <c r="K210" s="330"/>
    </row>
    <row r="211" spans="2:11" s="290" customFormat="1" ht="15" x14ac:dyDescent="0.25">
      <c r="B211" s="411"/>
      <c r="C211" s="324"/>
      <c r="D211" s="300" t="s">
        <v>112</v>
      </c>
      <c r="E211" s="300" t="s">
        <v>42</v>
      </c>
      <c r="F211" s="326"/>
      <c r="G211" s="327"/>
      <c r="H211" s="300">
        <v>292</v>
      </c>
      <c r="I211" s="301" t="s">
        <v>113</v>
      </c>
      <c r="J211" s="330"/>
      <c r="K211" s="330"/>
    </row>
    <row r="212" spans="2:11" s="290" customFormat="1" ht="15" x14ac:dyDescent="0.25">
      <c r="B212" s="411"/>
      <c r="C212" s="324"/>
      <c r="D212" s="300" t="s">
        <v>114</v>
      </c>
      <c r="E212" s="300" t="s">
        <v>42</v>
      </c>
      <c r="F212" s="326"/>
      <c r="G212" s="327"/>
      <c r="H212" s="300">
        <v>41.328000000000003</v>
      </c>
      <c r="I212" s="301" t="s">
        <v>115</v>
      </c>
      <c r="J212" s="330"/>
      <c r="K212" s="330"/>
    </row>
    <row r="213" spans="2:11" s="290" customFormat="1" ht="15" x14ac:dyDescent="0.25">
      <c r="B213" s="411"/>
      <c r="C213" s="324"/>
      <c r="D213" s="300" t="s">
        <v>116</v>
      </c>
      <c r="E213" s="300"/>
      <c r="F213" s="326"/>
      <c r="G213" s="327"/>
      <c r="H213" s="300"/>
      <c r="I213" s="301"/>
      <c r="J213" s="330"/>
      <c r="K213" s="330"/>
    </row>
    <row r="214" spans="2:11" s="290" customFormat="1" ht="15" x14ac:dyDescent="0.25">
      <c r="B214" s="411"/>
      <c r="C214" s="324"/>
      <c r="D214" s="300" t="s">
        <v>112</v>
      </c>
      <c r="E214" s="300" t="s">
        <v>42</v>
      </c>
      <c r="F214" s="326"/>
      <c r="G214" s="327"/>
      <c r="H214" s="300">
        <v>136</v>
      </c>
      <c r="I214" s="301" t="s">
        <v>113</v>
      </c>
      <c r="J214" s="330"/>
      <c r="K214" s="330"/>
    </row>
    <row r="215" spans="2:11" s="290" customFormat="1" ht="15" x14ac:dyDescent="0.25">
      <c r="B215" s="411"/>
      <c r="C215" s="324"/>
      <c r="D215" s="300" t="s">
        <v>114</v>
      </c>
      <c r="E215" s="300" t="s">
        <v>42</v>
      </c>
      <c r="F215" s="326"/>
      <c r="G215" s="327"/>
      <c r="H215" s="300">
        <v>41.328000000000003</v>
      </c>
      <c r="I215" s="301" t="s">
        <v>115</v>
      </c>
      <c r="J215" s="330"/>
      <c r="K215" s="330"/>
    </row>
    <row r="216" spans="2:11" s="290" customFormat="1" x14ac:dyDescent="0.25">
      <c r="B216" s="411"/>
      <c r="C216" s="324"/>
      <c r="D216" s="325" t="s">
        <v>67</v>
      </c>
      <c r="E216" s="308"/>
      <c r="F216" s="326"/>
      <c r="G216" s="327"/>
      <c r="H216" s="328"/>
      <c r="I216" s="329"/>
      <c r="J216" s="330"/>
      <c r="K216" s="330"/>
    </row>
    <row r="217" spans="2:11" s="290" customFormat="1" x14ac:dyDescent="0.25">
      <c r="B217" s="411"/>
      <c r="C217" s="324"/>
      <c r="D217" s="300" t="s">
        <v>111</v>
      </c>
      <c r="E217" s="308"/>
      <c r="F217" s="326"/>
      <c r="G217" s="327"/>
      <c r="H217" s="328"/>
      <c r="I217" s="329"/>
      <c r="J217" s="330"/>
      <c r="K217" s="330"/>
    </row>
    <row r="218" spans="2:11" s="290" customFormat="1" ht="15" x14ac:dyDescent="0.25">
      <c r="B218" s="411"/>
      <c r="C218" s="324"/>
      <c r="D218" s="300" t="s">
        <v>112</v>
      </c>
      <c r="E218" s="300" t="s">
        <v>42</v>
      </c>
      <c r="F218" s="326"/>
      <c r="G218" s="327"/>
      <c r="H218" s="300">
        <v>292</v>
      </c>
      <c r="I218" s="301" t="s">
        <v>113</v>
      </c>
      <c r="J218" s="330"/>
      <c r="K218" s="330"/>
    </row>
    <row r="219" spans="2:11" s="290" customFormat="1" ht="15" x14ac:dyDescent="0.25">
      <c r="B219" s="411"/>
      <c r="C219" s="324"/>
      <c r="D219" s="300" t="s">
        <v>114</v>
      </c>
      <c r="E219" s="300" t="s">
        <v>42</v>
      </c>
      <c r="F219" s="326"/>
      <c r="G219" s="327"/>
      <c r="H219" s="300">
        <v>41.328000000000003</v>
      </c>
      <c r="I219" s="301" t="s">
        <v>115</v>
      </c>
      <c r="J219" s="330"/>
      <c r="K219" s="330"/>
    </row>
    <row r="220" spans="2:11" s="290" customFormat="1" ht="15" x14ac:dyDescent="0.25">
      <c r="B220" s="411"/>
      <c r="C220" s="324"/>
      <c r="D220" s="300" t="s">
        <v>116</v>
      </c>
      <c r="E220" s="300"/>
      <c r="F220" s="326"/>
      <c r="G220" s="327"/>
      <c r="H220" s="300"/>
      <c r="I220" s="301"/>
      <c r="J220" s="330"/>
      <c r="K220" s="330"/>
    </row>
    <row r="221" spans="2:11" s="290" customFormat="1" ht="15" x14ac:dyDescent="0.25">
      <c r="B221" s="411"/>
      <c r="C221" s="324"/>
      <c r="D221" s="300" t="s">
        <v>112</v>
      </c>
      <c r="E221" s="300" t="s">
        <v>42</v>
      </c>
      <c r="F221" s="326"/>
      <c r="G221" s="327"/>
      <c r="H221" s="300">
        <v>136</v>
      </c>
      <c r="I221" s="301" t="s">
        <v>113</v>
      </c>
      <c r="J221" s="330"/>
      <c r="K221" s="330"/>
    </row>
    <row r="222" spans="2:11" s="290" customFormat="1" ht="15" x14ac:dyDescent="0.25">
      <c r="B222" s="411"/>
      <c r="C222" s="324"/>
      <c r="D222" s="300" t="s">
        <v>114</v>
      </c>
      <c r="E222" s="300" t="s">
        <v>42</v>
      </c>
      <c r="F222" s="326"/>
      <c r="G222" s="327"/>
      <c r="H222" s="300">
        <v>41.328000000000003</v>
      </c>
      <c r="I222" s="301" t="s">
        <v>115</v>
      </c>
      <c r="J222" s="330"/>
      <c r="K222" s="330"/>
    </row>
    <row r="223" spans="2:11" s="290" customFormat="1" x14ac:dyDescent="0.25">
      <c r="B223" s="411"/>
      <c r="C223" s="324"/>
      <c r="D223" s="325" t="s">
        <v>68</v>
      </c>
      <c r="E223" s="308"/>
      <c r="F223" s="326"/>
      <c r="G223" s="327"/>
      <c r="H223" s="328"/>
      <c r="I223" s="329"/>
      <c r="J223" s="330"/>
      <c r="K223" s="330"/>
    </row>
    <row r="224" spans="2:11" s="290" customFormat="1" x14ac:dyDescent="0.25">
      <c r="B224" s="411"/>
      <c r="C224" s="324"/>
      <c r="D224" s="300" t="s">
        <v>111</v>
      </c>
      <c r="E224" s="308"/>
      <c r="F224" s="326"/>
      <c r="G224" s="327"/>
      <c r="H224" s="328"/>
      <c r="I224" s="329"/>
      <c r="J224" s="330"/>
      <c r="K224" s="330"/>
    </row>
    <row r="225" spans="2:11" s="290" customFormat="1" ht="15" x14ac:dyDescent="0.25">
      <c r="B225" s="411"/>
      <c r="C225" s="324"/>
      <c r="D225" s="300" t="s">
        <v>112</v>
      </c>
      <c r="E225" s="300" t="s">
        <v>42</v>
      </c>
      <c r="F225" s="326"/>
      <c r="G225" s="327"/>
      <c r="H225" s="300">
        <v>292</v>
      </c>
      <c r="I225" s="301" t="s">
        <v>113</v>
      </c>
      <c r="J225" s="330"/>
      <c r="K225" s="330"/>
    </row>
    <row r="226" spans="2:11" s="290" customFormat="1" ht="15" x14ac:dyDescent="0.25">
      <c r="B226" s="411"/>
      <c r="C226" s="324"/>
      <c r="D226" s="300" t="s">
        <v>114</v>
      </c>
      <c r="E226" s="300" t="s">
        <v>42</v>
      </c>
      <c r="F226" s="326"/>
      <c r="G226" s="327"/>
      <c r="H226" s="300">
        <v>41.328000000000003</v>
      </c>
      <c r="I226" s="301" t="s">
        <v>115</v>
      </c>
      <c r="J226" s="330"/>
      <c r="K226" s="330"/>
    </row>
    <row r="227" spans="2:11" s="290" customFormat="1" ht="15" x14ac:dyDescent="0.25">
      <c r="B227" s="411"/>
      <c r="C227" s="324"/>
      <c r="D227" s="300" t="s">
        <v>116</v>
      </c>
      <c r="E227" s="300"/>
      <c r="F227" s="326"/>
      <c r="G227" s="327"/>
      <c r="H227" s="300"/>
      <c r="I227" s="301"/>
      <c r="J227" s="330"/>
      <c r="K227" s="330"/>
    </row>
    <row r="228" spans="2:11" s="290" customFormat="1" ht="15" x14ac:dyDescent="0.25">
      <c r="B228" s="411"/>
      <c r="C228" s="324"/>
      <c r="D228" s="300" t="s">
        <v>112</v>
      </c>
      <c r="E228" s="300" t="s">
        <v>42</v>
      </c>
      <c r="F228" s="326"/>
      <c r="G228" s="327"/>
      <c r="H228" s="300">
        <v>136</v>
      </c>
      <c r="I228" s="301" t="s">
        <v>113</v>
      </c>
      <c r="J228" s="330"/>
      <c r="K228" s="330"/>
    </row>
    <row r="229" spans="2:11" s="290" customFormat="1" ht="15" x14ac:dyDescent="0.25">
      <c r="B229" s="411"/>
      <c r="C229" s="324"/>
      <c r="D229" s="300" t="s">
        <v>114</v>
      </c>
      <c r="E229" s="300" t="s">
        <v>42</v>
      </c>
      <c r="F229" s="326"/>
      <c r="G229" s="327"/>
      <c r="H229" s="300">
        <v>41.328000000000003</v>
      </c>
      <c r="I229" s="301" t="s">
        <v>115</v>
      </c>
      <c r="J229" s="330"/>
      <c r="K229" s="330"/>
    </row>
    <row r="230" spans="2:11" s="290" customFormat="1" x14ac:dyDescent="0.25">
      <c r="B230" s="411"/>
      <c r="C230" s="324"/>
      <c r="D230" s="325" t="s">
        <v>69</v>
      </c>
      <c r="E230" s="308"/>
      <c r="F230" s="326"/>
      <c r="G230" s="327"/>
      <c r="H230" s="328"/>
      <c r="I230" s="329"/>
      <c r="J230" s="330"/>
      <c r="K230" s="330"/>
    </row>
    <row r="231" spans="2:11" s="290" customFormat="1" x14ac:dyDescent="0.25">
      <c r="B231" s="411"/>
      <c r="C231" s="324"/>
      <c r="D231" s="300" t="s">
        <v>111</v>
      </c>
      <c r="E231" s="308"/>
      <c r="F231" s="326"/>
      <c r="G231" s="327"/>
      <c r="H231" s="328"/>
      <c r="I231" s="329"/>
      <c r="J231" s="330"/>
      <c r="K231" s="330"/>
    </row>
    <row r="232" spans="2:11" s="290" customFormat="1" ht="15" x14ac:dyDescent="0.25">
      <c r="B232" s="411"/>
      <c r="C232" s="324"/>
      <c r="D232" s="300" t="s">
        <v>112</v>
      </c>
      <c r="E232" s="300" t="s">
        <v>42</v>
      </c>
      <c r="F232" s="326"/>
      <c r="G232" s="327"/>
      <c r="H232" s="300">
        <v>292</v>
      </c>
      <c r="I232" s="301" t="s">
        <v>113</v>
      </c>
      <c r="J232" s="330"/>
      <c r="K232" s="330"/>
    </row>
    <row r="233" spans="2:11" s="290" customFormat="1" ht="15" x14ac:dyDescent="0.25">
      <c r="B233" s="411"/>
      <c r="C233" s="324"/>
      <c r="D233" s="300" t="s">
        <v>114</v>
      </c>
      <c r="E233" s="300" t="s">
        <v>42</v>
      </c>
      <c r="F233" s="326"/>
      <c r="G233" s="327"/>
      <c r="H233" s="300">
        <v>41.328000000000003</v>
      </c>
      <c r="I233" s="301" t="s">
        <v>115</v>
      </c>
      <c r="J233" s="330"/>
      <c r="K233" s="330"/>
    </row>
    <row r="234" spans="2:11" s="290" customFormat="1" ht="15" x14ac:dyDescent="0.25">
      <c r="B234" s="411"/>
      <c r="C234" s="324"/>
      <c r="D234" s="300" t="s">
        <v>116</v>
      </c>
      <c r="E234" s="300"/>
      <c r="F234" s="326"/>
      <c r="G234" s="327"/>
      <c r="H234" s="300"/>
      <c r="I234" s="301"/>
      <c r="J234" s="330"/>
      <c r="K234" s="330"/>
    </row>
    <row r="235" spans="2:11" s="290" customFormat="1" ht="15" x14ac:dyDescent="0.25">
      <c r="B235" s="411"/>
      <c r="C235" s="324"/>
      <c r="D235" s="300" t="s">
        <v>112</v>
      </c>
      <c r="E235" s="300" t="s">
        <v>42</v>
      </c>
      <c r="F235" s="326"/>
      <c r="G235" s="327"/>
      <c r="H235" s="300">
        <v>136</v>
      </c>
      <c r="I235" s="301" t="s">
        <v>113</v>
      </c>
      <c r="J235" s="330"/>
      <c r="K235" s="330"/>
    </row>
    <row r="236" spans="2:11" s="290" customFormat="1" ht="15" x14ac:dyDescent="0.25">
      <c r="B236" s="411"/>
      <c r="C236" s="324"/>
      <c r="D236" s="300" t="s">
        <v>114</v>
      </c>
      <c r="E236" s="300" t="s">
        <v>42</v>
      </c>
      <c r="F236" s="326"/>
      <c r="G236" s="327"/>
      <c r="H236" s="300">
        <v>41.328000000000003</v>
      </c>
      <c r="I236" s="301" t="s">
        <v>115</v>
      </c>
      <c r="J236" s="330"/>
      <c r="K236" s="330"/>
    </row>
    <row r="237" spans="2:11" s="290" customFormat="1" x14ac:dyDescent="0.25">
      <c r="B237" s="411"/>
      <c r="C237" s="324"/>
      <c r="D237" s="325" t="s">
        <v>70</v>
      </c>
      <c r="E237" s="308"/>
      <c r="F237" s="326"/>
      <c r="G237" s="327"/>
      <c r="H237" s="328"/>
      <c r="I237" s="329"/>
      <c r="J237" s="330"/>
      <c r="K237" s="330"/>
    </row>
    <row r="238" spans="2:11" s="290" customFormat="1" x14ac:dyDescent="0.25">
      <c r="B238" s="411"/>
      <c r="C238" s="324"/>
      <c r="D238" s="300" t="s">
        <v>111</v>
      </c>
      <c r="E238" s="308"/>
      <c r="F238" s="326"/>
      <c r="G238" s="327"/>
      <c r="H238" s="328"/>
      <c r="I238" s="329"/>
      <c r="J238" s="330"/>
      <c r="K238" s="330"/>
    </row>
    <row r="239" spans="2:11" s="290" customFormat="1" ht="15" x14ac:dyDescent="0.25">
      <c r="B239" s="411"/>
      <c r="C239" s="324"/>
      <c r="D239" s="300" t="s">
        <v>112</v>
      </c>
      <c r="E239" s="300" t="s">
        <v>42</v>
      </c>
      <c r="F239" s="326"/>
      <c r="G239" s="327"/>
      <c r="H239" s="300">
        <v>292</v>
      </c>
      <c r="I239" s="301" t="s">
        <v>113</v>
      </c>
      <c r="J239" s="330"/>
      <c r="K239" s="330"/>
    </row>
    <row r="240" spans="2:11" s="290" customFormat="1" ht="15" x14ac:dyDescent="0.25">
      <c r="B240" s="411"/>
      <c r="C240" s="324"/>
      <c r="D240" s="300" t="s">
        <v>114</v>
      </c>
      <c r="E240" s="300" t="s">
        <v>42</v>
      </c>
      <c r="F240" s="326"/>
      <c r="G240" s="327"/>
      <c r="H240" s="300">
        <v>41.328000000000003</v>
      </c>
      <c r="I240" s="301" t="s">
        <v>115</v>
      </c>
      <c r="J240" s="330"/>
      <c r="K240" s="330"/>
    </row>
    <row r="241" spans="2:11" s="290" customFormat="1" ht="15" x14ac:dyDescent="0.25">
      <c r="B241" s="411"/>
      <c r="C241" s="324"/>
      <c r="D241" s="300" t="s">
        <v>116</v>
      </c>
      <c r="E241" s="300"/>
      <c r="F241" s="326"/>
      <c r="G241" s="327"/>
      <c r="H241" s="300"/>
      <c r="I241" s="301"/>
      <c r="J241" s="330"/>
      <c r="K241" s="330"/>
    </row>
    <row r="242" spans="2:11" s="290" customFormat="1" ht="15" x14ac:dyDescent="0.25">
      <c r="B242" s="411"/>
      <c r="C242" s="324"/>
      <c r="D242" s="300" t="s">
        <v>112</v>
      </c>
      <c r="E242" s="300" t="s">
        <v>42</v>
      </c>
      <c r="F242" s="326"/>
      <c r="G242" s="327"/>
      <c r="H242" s="300">
        <v>136</v>
      </c>
      <c r="I242" s="301" t="s">
        <v>113</v>
      </c>
      <c r="J242" s="330"/>
      <c r="K242" s="330"/>
    </row>
    <row r="243" spans="2:11" s="290" customFormat="1" ht="15" x14ac:dyDescent="0.25">
      <c r="B243" s="411"/>
      <c r="C243" s="324"/>
      <c r="D243" s="300" t="s">
        <v>114</v>
      </c>
      <c r="E243" s="300" t="s">
        <v>42</v>
      </c>
      <c r="F243" s="326"/>
      <c r="G243" s="327"/>
      <c r="H243" s="300">
        <v>41.328000000000003</v>
      </c>
      <c r="I243" s="301" t="s">
        <v>115</v>
      </c>
      <c r="J243" s="330"/>
      <c r="K243" s="330"/>
    </row>
    <row r="244" spans="2:11" s="290" customFormat="1" x14ac:dyDescent="0.25">
      <c r="B244" s="411"/>
      <c r="C244" s="324"/>
      <c r="D244" s="325" t="s">
        <v>71</v>
      </c>
      <c r="E244" s="308"/>
      <c r="F244" s="326"/>
      <c r="G244" s="327"/>
      <c r="H244" s="328"/>
      <c r="I244" s="329"/>
      <c r="J244" s="330"/>
      <c r="K244" s="330"/>
    </row>
    <row r="245" spans="2:11" s="290" customFormat="1" x14ac:dyDescent="0.25">
      <c r="B245" s="411"/>
      <c r="C245" s="324"/>
      <c r="D245" s="300" t="s">
        <v>111</v>
      </c>
      <c r="E245" s="308"/>
      <c r="F245" s="326"/>
      <c r="G245" s="327"/>
      <c r="H245" s="328"/>
      <c r="I245" s="329"/>
      <c r="J245" s="330"/>
      <c r="K245" s="330"/>
    </row>
    <row r="246" spans="2:11" s="290" customFormat="1" ht="15" x14ac:dyDescent="0.25">
      <c r="B246" s="411"/>
      <c r="C246" s="324"/>
      <c r="D246" s="300" t="s">
        <v>112</v>
      </c>
      <c r="E246" s="300" t="s">
        <v>42</v>
      </c>
      <c r="F246" s="326"/>
      <c r="G246" s="327"/>
      <c r="H246" s="300">
        <v>292</v>
      </c>
      <c r="I246" s="301" t="s">
        <v>113</v>
      </c>
      <c r="J246" s="330"/>
      <c r="K246" s="330"/>
    </row>
    <row r="247" spans="2:11" s="290" customFormat="1" ht="15" x14ac:dyDescent="0.25">
      <c r="B247" s="411"/>
      <c r="C247" s="324"/>
      <c r="D247" s="300" t="s">
        <v>114</v>
      </c>
      <c r="E247" s="300" t="s">
        <v>42</v>
      </c>
      <c r="F247" s="326"/>
      <c r="G247" s="327"/>
      <c r="H247" s="300">
        <v>41.328000000000003</v>
      </c>
      <c r="I247" s="301" t="s">
        <v>115</v>
      </c>
      <c r="K247" s="330"/>
    </row>
    <row r="248" spans="2:11" s="290" customFormat="1" ht="15" x14ac:dyDescent="0.25">
      <c r="B248" s="411"/>
      <c r="C248" s="324"/>
      <c r="D248" s="300" t="s">
        <v>116</v>
      </c>
      <c r="E248" s="300"/>
      <c r="F248" s="326"/>
      <c r="G248" s="327"/>
      <c r="H248" s="300"/>
      <c r="I248" s="301"/>
      <c r="J248" s="330"/>
      <c r="K248" s="330"/>
    </row>
    <row r="249" spans="2:11" s="290" customFormat="1" ht="15" x14ac:dyDescent="0.25">
      <c r="B249" s="411"/>
      <c r="C249" s="324"/>
      <c r="D249" s="300" t="s">
        <v>112</v>
      </c>
      <c r="E249" s="300" t="s">
        <v>42</v>
      </c>
      <c r="F249" s="326"/>
      <c r="G249" s="327"/>
      <c r="H249" s="300">
        <v>136</v>
      </c>
      <c r="I249" s="301" t="s">
        <v>113</v>
      </c>
      <c r="J249" s="330"/>
      <c r="K249" s="330"/>
    </row>
    <row r="250" spans="2:11" s="290" customFormat="1" ht="23" customHeight="1" x14ac:dyDescent="0.25">
      <c r="B250" s="411"/>
      <c r="C250" s="324"/>
      <c r="D250" s="300" t="s">
        <v>114</v>
      </c>
      <c r="E250" s="300" t="s">
        <v>42</v>
      </c>
      <c r="F250" s="326"/>
      <c r="G250" s="327"/>
      <c r="H250" s="300">
        <v>41.328000000000003</v>
      </c>
      <c r="I250" s="301" t="s">
        <v>115</v>
      </c>
      <c r="J250" s="330"/>
      <c r="K250" s="330"/>
    </row>
    <row r="251" spans="2:11" s="290" customFormat="1" ht="20" customHeight="1" x14ac:dyDescent="0.25">
      <c r="B251" s="411"/>
      <c r="C251" s="324"/>
      <c r="D251" s="300" t="s">
        <v>117</v>
      </c>
      <c r="E251" s="300"/>
      <c r="F251" s="326"/>
      <c r="G251" s="327"/>
      <c r="H251" s="307">
        <v>0.06</v>
      </c>
      <c r="I251" s="301" t="s">
        <v>88</v>
      </c>
      <c r="J251" s="330"/>
      <c r="K251" s="330"/>
    </row>
    <row r="252" spans="2:11" ht="30" customHeight="1" x14ac:dyDescent="0.25">
      <c r="B252" s="409"/>
      <c r="C252" s="323">
        <v>2</v>
      </c>
      <c r="D252" s="299" t="s">
        <v>118</v>
      </c>
      <c r="E252" s="308"/>
      <c r="F252" s="308"/>
      <c r="G252" s="321"/>
      <c r="H252" s="319"/>
      <c r="I252" s="320"/>
      <c r="J252" s="321"/>
      <c r="K252" s="321"/>
    </row>
    <row r="253" spans="2:11" s="290" customFormat="1" x14ac:dyDescent="0.25">
      <c r="B253" s="411"/>
      <c r="C253" s="324"/>
      <c r="D253" s="325" t="s">
        <v>51</v>
      </c>
      <c r="E253" s="308"/>
      <c r="F253" s="326"/>
      <c r="G253" s="327"/>
      <c r="H253" s="328"/>
      <c r="I253" s="329"/>
      <c r="J253" s="330"/>
      <c r="K253" s="330"/>
    </row>
    <row r="254" spans="2:11" s="290" customFormat="1" x14ac:dyDescent="0.25">
      <c r="B254" s="411"/>
      <c r="C254" s="324"/>
      <c r="D254" s="325" t="s">
        <v>119</v>
      </c>
      <c r="E254" s="308" t="s">
        <v>42</v>
      </c>
      <c r="F254" s="326"/>
      <c r="G254" s="327"/>
      <c r="H254" s="328">
        <v>9000</v>
      </c>
      <c r="I254" s="329" t="s">
        <v>120</v>
      </c>
      <c r="J254" s="330"/>
      <c r="K254" s="330"/>
    </row>
    <row r="255" spans="2:11" s="290" customFormat="1" x14ac:dyDescent="0.25">
      <c r="B255" s="411"/>
      <c r="C255" s="324"/>
      <c r="D255" s="325" t="s">
        <v>53</v>
      </c>
      <c r="E255" s="308"/>
      <c r="F255" s="326"/>
      <c r="G255" s="327"/>
      <c r="H255" s="328"/>
      <c r="I255" s="329"/>
      <c r="J255" s="330"/>
      <c r="K255" s="330"/>
    </row>
    <row r="256" spans="2:11" s="290" customFormat="1" x14ac:dyDescent="0.25">
      <c r="B256" s="411"/>
      <c r="C256" s="324"/>
      <c r="D256" s="325" t="s">
        <v>119</v>
      </c>
      <c r="E256" s="308" t="s">
        <v>42</v>
      </c>
      <c r="F256" s="326"/>
      <c r="G256" s="327"/>
      <c r="H256" s="328">
        <v>1000</v>
      </c>
      <c r="I256" s="329" t="s">
        <v>120</v>
      </c>
      <c r="J256" s="330"/>
      <c r="K256" s="330"/>
    </row>
    <row r="257" spans="2:11" s="290" customFormat="1" x14ac:dyDescent="0.25">
      <c r="B257" s="411"/>
      <c r="C257" s="324"/>
      <c r="D257" s="325" t="s">
        <v>54</v>
      </c>
      <c r="E257" s="308"/>
      <c r="F257" s="326"/>
      <c r="G257" s="327"/>
      <c r="H257" s="328"/>
      <c r="I257" s="329"/>
      <c r="J257" s="330"/>
      <c r="K257" s="330"/>
    </row>
    <row r="258" spans="2:11" s="290" customFormat="1" x14ac:dyDescent="0.25">
      <c r="B258" s="411"/>
      <c r="C258" s="324"/>
      <c r="D258" s="325" t="s">
        <v>119</v>
      </c>
      <c r="E258" s="308" t="s">
        <v>42</v>
      </c>
      <c r="F258" s="326"/>
      <c r="G258" s="327"/>
      <c r="H258" s="328">
        <v>1000</v>
      </c>
      <c r="I258" s="329" t="s">
        <v>120</v>
      </c>
      <c r="J258" s="330"/>
      <c r="K258" s="330"/>
    </row>
    <row r="259" spans="2:11" s="290" customFormat="1" x14ac:dyDescent="0.25">
      <c r="B259" s="411"/>
      <c r="C259" s="324"/>
      <c r="D259" s="325" t="s">
        <v>55</v>
      </c>
      <c r="E259" s="308"/>
      <c r="F259" s="326"/>
      <c r="G259" s="327"/>
      <c r="H259" s="328"/>
      <c r="I259" s="329"/>
      <c r="J259" s="330"/>
      <c r="K259" s="330"/>
    </row>
    <row r="260" spans="2:11" s="290" customFormat="1" x14ac:dyDescent="0.25">
      <c r="B260" s="411"/>
      <c r="C260" s="324"/>
      <c r="D260" s="325" t="s">
        <v>119</v>
      </c>
      <c r="E260" s="308" t="s">
        <v>42</v>
      </c>
      <c r="F260" s="326"/>
      <c r="G260" s="327"/>
      <c r="H260" s="328">
        <v>1000</v>
      </c>
      <c r="I260" s="329" t="s">
        <v>120</v>
      </c>
      <c r="J260" s="330"/>
      <c r="K260" s="330"/>
    </row>
    <row r="261" spans="2:11" s="290" customFormat="1" x14ac:dyDescent="0.25">
      <c r="B261" s="411"/>
      <c r="C261" s="324"/>
      <c r="D261" s="325" t="s">
        <v>56</v>
      </c>
      <c r="E261" s="308"/>
      <c r="F261" s="326"/>
      <c r="G261" s="327"/>
      <c r="H261" s="328"/>
      <c r="I261" s="329"/>
      <c r="J261" s="330"/>
      <c r="K261" s="330"/>
    </row>
    <row r="262" spans="2:11" s="290" customFormat="1" x14ac:dyDescent="0.25">
      <c r="B262" s="411"/>
      <c r="C262" s="324"/>
      <c r="D262" s="325" t="s">
        <v>119</v>
      </c>
      <c r="E262" s="308" t="s">
        <v>42</v>
      </c>
      <c r="F262" s="326"/>
      <c r="G262" s="327"/>
      <c r="H262" s="328">
        <v>1000</v>
      </c>
      <c r="I262" s="329" t="s">
        <v>120</v>
      </c>
      <c r="J262" s="330"/>
      <c r="K262" s="330"/>
    </row>
    <row r="263" spans="2:11" s="290" customFormat="1" x14ac:dyDescent="0.25">
      <c r="B263" s="411"/>
      <c r="C263" s="324"/>
      <c r="D263" s="325" t="s">
        <v>57</v>
      </c>
      <c r="E263" s="308"/>
      <c r="F263" s="326"/>
      <c r="G263" s="327"/>
      <c r="H263" s="328"/>
      <c r="I263" s="329"/>
      <c r="J263" s="330"/>
      <c r="K263" s="330"/>
    </row>
    <row r="264" spans="2:11" s="290" customFormat="1" x14ac:dyDescent="0.25">
      <c r="B264" s="411"/>
      <c r="C264" s="324"/>
      <c r="D264" s="325" t="s">
        <v>119</v>
      </c>
      <c r="E264" s="308" t="s">
        <v>42</v>
      </c>
      <c r="F264" s="326"/>
      <c r="G264" s="327"/>
      <c r="H264" s="328">
        <v>1000</v>
      </c>
      <c r="I264" s="329" t="s">
        <v>120</v>
      </c>
      <c r="J264" s="330"/>
      <c r="K264" s="330"/>
    </row>
    <row r="265" spans="2:11" s="290" customFormat="1" x14ac:dyDescent="0.25">
      <c r="B265" s="411"/>
      <c r="C265" s="324"/>
      <c r="D265" s="325" t="s">
        <v>58</v>
      </c>
      <c r="E265" s="308"/>
      <c r="F265" s="326"/>
      <c r="G265" s="327"/>
      <c r="H265" s="328"/>
      <c r="I265" s="329"/>
      <c r="J265" s="330"/>
      <c r="K265" s="330"/>
    </row>
    <row r="266" spans="2:11" s="290" customFormat="1" x14ac:dyDescent="0.25">
      <c r="B266" s="411"/>
      <c r="C266" s="324"/>
      <c r="D266" s="325" t="s">
        <v>119</v>
      </c>
      <c r="E266" s="308" t="s">
        <v>42</v>
      </c>
      <c r="F266" s="326"/>
      <c r="G266" s="327"/>
      <c r="H266" s="328">
        <v>2000</v>
      </c>
      <c r="I266" s="329" t="s">
        <v>120</v>
      </c>
      <c r="J266" s="330"/>
      <c r="K266" s="330"/>
    </row>
    <row r="267" spans="2:11" s="290" customFormat="1" x14ac:dyDescent="0.25">
      <c r="B267" s="411"/>
      <c r="C267" s="324"/>
      <c r="D267" s="325" t="s">
        <v>59</v>
      </c>
      <c r="E267" s="308"/>
      <c r="F267" s="326"/>
      <c r="G267" s="327"/>
      <c r="H267" s="328"/>
      <c r="I267" s="329"/>
      <c r="J267" s="330"/>
      <c r="K267" s="330"/>
    </row>
    <row r="268" spans="2:11" s="290" customFormat="1" x14ac:dyDescent="0.25">
      <c r="B268" s="411"/>
      <c r="C268" s="324"/>
      <c r="D268" s="325" t="s">
        <v>119</v>
      </c>
      <c r="E268" s="308" t="s">
        <v>42</v>
      </c>
      <c r="F268" s="326"/>
      <c r="G268" s="327"/>
      <c r="H268" s="328">
        <v>2000</v>
      </c>
      <c r="I268" s="329" t="s">
        <v>120</v>
      </c>
      <c r="J268" s="330"/>
      <c r="K268" s="330"/>
    </row>
    <row r="269" spans="2:11" s="290" customFormat="1" x14ac:dyDescent="0.25">
      <c r="B269" s="411"/>
      <c r="C269" s="324"/>
      <c r="D269" s="325" t="s">
        <v>60</v>
      </c>
      <c r="E269" s="308"/>
      <c r="F269" s="326"/>
      <c r="G269" s="327"/>
      <c r="H269" s="328"/>
      <c r="I269" s="329"/>
      <c r="J269" s="330"/>
      <c r="K269" s="330"/>
    </row>
    <row r="270" spans="2:11" s="290" customFormat="1" x14ac:dyDescent="0.25">
      <c r="B270" s="411"/>
      <c r="C270" s="324"/>
      <c r="D270" s="325" t="s">
        <v>119</v>
      </c>
      <c r="E270" s="308" t="s">
        <v>42</v>
      </c>
      <c r="F270" s="326"/>
      <c r="G270" s="327"/>
      <c r="H270" s="328">
        <v>2000</v>
      </c>
      <c r="I270" s="329" t="s">
        <v>120</v>
      </c>
      <c r="J270" s="330"/>
      <c r="K270" s="330"/>
    </row>
    <row r="271" spans="2:11" s="290" customFormat="1" x14ac:dyDescent="0.25">
      <c r="B271" s="411"/>
      <c r="C271" s="324"/>
      <c r="D271" s="325" t="s">
        <v>61</v>
      </c>
      <c r="E271" s="308"/>
      <c r="F271" s="326"/>
      <c r="G271" s="327"/>
      <c r="H271" s="328"/>
      <c r="I271" s="329"/>
      <c r="J271" s="330"/>
      <c r="K271" s="330"/>
    </row>
    <row r="272" spans="2:11" s="290" customFormat="1" x14ac:dyDescent="0.25">
      <c r="B272" s="411"/>
      <c r="C272" s="324"/>
      <c r="D272" s="325" t="s">
        <v>119</v>
      </c>
      <c r="E272" s="308" t="s">
        <v>42</v>
      </c>
      <c r="F272" s="326"/>
      <c r="G272" s="327"/>
      <c r="H272" s="328">
        <v>2000</v>
      </c>
      <c r="I272" s="329" t="s">
        <v>120</v>
      </c>
      <c r="J272" s="330"/>
      <c r="K272" s="330"/>
    </row>
    <row r="273" spans="2:11" s="290" customFormat="1" x14ac:dyDescent="0.25">
      <c r="B273" s="411"/>
      <c r="C273" s="324"/>
      <c r="D273" s="325" t="s">
        <v>62</v>
      </c>
      <c r="E273" s="308"/>
      <c r="F273" s="326"/>
      <c r="G273" s="327"/>
      <c r="H273" s="328"/>
      <c r="I273" s="329"/>
      <c r="J273" s="330"/>
      <c r="K273" s="330"/>
    </row>
    <row r="274" spans="2:11" s="290" customFormat="1" x14ac:dyDescent="0.25">
      <c r="B274" s="411"/>
      <c r="C274" s="324"/>
      <c r="D274" s="325" t="s">
        <v>119</v>
      </c>
      <c r="E274" s="308" t="s">
        <v>42</v>
      </c>
      <c r="F274" s="326"/>
      <c r="G274" s="327"/>
      <c r="H274" s="328">
        <v>2000</v>
      </c>
      <c r="I274" s="329" t="s">
        <v>120</v>
      </c>
      <c r="J274" s="330"/>
      <c r="K274" s="330"/>
    </row>
    <row r="275" spans="2:11" s="290" customFormat="1" x14ac:dyDescent="0.25">
      <c r="B275" s="411"/>
      <c r="C275" s="324"/>
      <c r="D275" s="325" t="s">
        <v>63</v>
      </c>
      <c r="E275" s="308"/>
      <c r="F275" s="326"/>
      <c r="G275" s="327"/>
      <c r="H275" s="328"/>
      <c r="I275" s="329"/>
      <c r="J275" s="330"/>
      <c r="K275" s="330"/>
    </row>
    <row r="276" spans="2:11" s="290" customFormat="1" x14ac:dyDescent="0.25">
      <c r="B276" s="411"/>
      <c r="C276" s="324"/>
      <c r="D276" s="325" t="s">
        <v>119</v>
      </c>
      <c r="E276" s="308" t="s">
        <v>42</v>
      </c>
      <c r="F276" s="326"/>
      <c r="G276" s="327"/>
      <c r="H276" s="328">
        <v>2000</v>
      </c>
      <c r="I276" s="329" t="s">
        <v>120</v>
      </c>
      <c r="J276" s="330"/>
      <c r="K276" s="330"/>
    </row>
    <row r="277" spans="2:11" s="290" customFormat="1" x14ac:dyDescent="0.25">
      <c r="B277" s="411"/>
      <c r="C277" s="324"/>
      <c r="D277" s="325" t="s">
        <v>64</v>
      </c>
      <c r="E277" s="308"/>
      <c r="F277" s="326"/>
      <c r="G277" s="327"/>
      <c r="H277" s="328"/>
      <c r="I277" s="329"/>
      <c r="J277" s="330"/>
      <c r="K277" s="330"/>
    </row>
    <row r="278" spans="2:11" s="290" customFormat="1" x14ac:dyDescent="0.25">
      <c r="B278" s="411"/>
      <c r="C278" s="324"/>
      <c r="D278" s="325" t="s">
        <v>119</v>
      </c>
      <c r="E278" s="308" t="s">
        <v>42</v>
      </c>
      <c r="F278" s="326"/>
      <c r="G278" s="327"/>
      <c r="H278" s="328">
        <v>2000</v>
      </c>
      <c r="I278" s="329" t="s">
        <v>120</v>
      </c>
      <c r="J278" s="330"/>
      <c r="K278" s="330"/>
    </row>
    <row r="279" spans="2:11" s="290" customFormat="1" x14ac:dyDescent="0.25">
      <c r="B279" s="411"/>
      <c r="C279" s="324"/>
      <c r="D279" s="325" t="s">
        <v>65</v>
      </c>
      <c r="E279" s="308"/>
      <c r="F279" s="326"/>
      <c r="G279" s="327"/>
      <c r="H279" s="328"/>
      <c r="I279" s="329"/>
      <c r="J279" s="330"/>
      <c r="K279" s="330"/>
    </row>
    <row r="280" spans="2:11" s="290" customFormat="1" x14ac:dyDescent="0.25">
      <c r="B280" s="411"/>
      <c r="C280" s="324"/>
      <c r="D280" s="325" t="s">
        <v>119</v>
      </c>
      <c r="E280" s="308" t="s">
        <v>42</v>
      </c>
      <c r="F280" s="326"/>
      <c r="G280" s="327"/>
      <c r="H280" s="328">
        <v>2000</v>
      </c>
      <c r="I280" s="329" t="s">
        <v>120</v>
      </c>
      <c r="J280" s="330"/>
      <c r="K280" s="330"/>
    </row>
    <row r="281" spans="2:11" s="290" customFormat="1" x14ac:dyDescent="0.25">
      <c r="B281" s="411"/>
      <c r="C281" s="324"/>
      <c r="D281" s="325" t="s">
        <v>66</v>
      </c>
      <c r="E281" s="308"/>
      <c r="F281" s="326"/>
      <c r="G281" s="327"/>
      <c r="H281" s="328"/>
      <c r="I281" s="329"/>
      <c r="J281" s="330"/>
      <c r="K281" s="330"/>
    </row>
    <row r="282" spans="2:11" s="290" customFormat="1" x14ac:dyDescent="0.25">
      <c r="B282" s="411"/>
      <c r="C282" s="324"/>
      <c r="D282" s="325" t="s">
        <v>119</v>
      </c>
      <c r="E282" s="308" t="s">
        <v>42</v>
      </c>
      <c r="F282" s="326"/>
      <c r="G282" s="327"/>
      <c r="H282" s="328">
        <v>2000</v>
      </c>
      <c r="I282" s="329" t="s">
        <v>120</v>
      </c>
      <c r="J282" s="330"/>
      <c r="K282" s="330"/>
    </row>
    <row r="283" spans="2:11" s="290" customFormat="1" x14ac:dyDescent="0.25">
      <c r="B283" s="411"/>
      <c r="C283" s="324"/>
      <c r="D283" s="325" t="s">
        <v>67</v>
      </c>
      <c r="E283" s="308"/>
      <c r="F283" s="326"/>
      <c r="G283" s="327"/>
      <c r="H283" s="328"/>
      <c r="I283" s="329"/>
      <c r="J283" s="330"/>
      <c r="K283" s="330"/>
    </row>
    <row r="284" spans="2:11" s="290" customFormat="1" x14ac:dyDescent="0.25">
      <c r="B284" s="411"/>
      <c r="C284" s="324"/>
      <c r="D284" s="325" t="s">
        <v>119</v>
      </c>
      <c r="E284" s="308" t="s">
        <v>42</v>
      </c>
      <c r="F284" s="326"/>
      <c r="G284" s="327"/>
      <c r="H284" s="328">
        <v>2000</v>
      </c>
      <c r="I284" s="329" t="s">
        <v>120</v>
      </c>
      <c r="J284" s="330"/>
      <c r="K284" s="330"/>
    </row>
    <row r="285" spans="2:11" s="290" customFormat="1" x14ac:dyDescent="0.25">
      <c r="B285" s="411"/>
      <c r="C285" s="324"/>
      <c r="D285" s="325" t="s">
        <v>68</v>
      </c>
      <c r="E285" s="308"/>
      <c r="F285" s="326"/>
      <c r="G285" s="327"/>
      <c r="H285" s="328"/>
      <c r="I285" s="329"/>
      <c r="J285" s="330"/>
      <c r="K285" s="330"/>
    </row>
    <row r="286" spans="2:11" s="290" customFormat="1" x14ac:dyDescent="0.25">
      <c r="B286" s="411"/>
      <c r="C286" s="324"/>
      <c r="D286" s="325" t="s">
        <v>119</v>
      </c>
      <c r="E286" s="308" t="s">
        <v>42</v>
      </c>
      <c r="F286" s="326"/>
      <c r="G286" s="327"/>
      <c r="H286" s="328">
        <v>2000</v>
      </c>
      <c r="I286" s="329" t="s">
        <v>120</v>
      </c>
      <c r="J286" s="330"/>
      <c r="K286" s="330"/>
    </row>
    <row r="287" spans="2:11" s="290" customFormat="1" x14ac:dyDescent="0.25">
      <c r="B287" s="411"/>
      <c r="C287" s="324"/>
      <c r="D287" s="325" t="s">
        <v>69</v>
      </c>
      <c r="E287" s="308"/>
      <c r="F287" s="326"/>
      <c r="G287" s="327"/>
      <c r="H287" s="328"/>
      <c r="I287" s="329"/>
      <c r="J287" s="330"/>
      <c r="K287" s="330"/>
    </row>
    <row r="288" spans="2:11" s="290" customFormat="1" x14ac:dyDescent="0.25">
      <c r="B288" s="411"/>
      <c r="C288" s="324"/>
      <c r="D288" s="325" t="s">
        <v>119</v>
      </c>
      <c r="E288" s="308" t="s">
        <v>42</v>
      </c>
      <c r="F288" s="326"/>
      <c r="G288" s="327"/>
      <c r="H288" s="328">
        <v>2000</v>
      </c>
      <c r="I288" s="329" t="s">
        <v>120</v>
      </c>
      <c r="J288" s="330"/>
      <c r="K288" s="330"/>
    </row>
    <row r="289" spans="2:11" s="290" customFormat="1" x14ac:dyDescent="0.25">
      <c r="B289" s="411"/>
      <c r="C289" s="324"/>
      <c r="D289" s="325" t="s">
        <v>70</v>
      </c>
      <c r="E289" s="308"/>
      <c r="F289" s="326"/>
      <c r="G289" s="327"/>
      <c r="H289" s="328"/>
      <c r="I289" s="329"/>
      <c r="J289" s="330"/>
      <c r="K289" s="330"/>
    </row>
    <row r="290" spans="2:11" s="290" customFormat="1" x14ac:dyDescent="0.25">
      <c r="B290" s="411"/>
      <c r="C290" s="324"/>
      <c r="D290" s="325" t="s">
        <v>119</v>
      </c>
      <c r="E290" s="308" t="s">
        <v>42</v>
      </c>
      <c r="F290" s="326"/>
      <c r="G290" s="327"/>
      <c r="H290" s="328">
        <v>2000</v>
      </c>
      <c r="I290" s="329" t="s">
        <v>120</v>
      </c>
      <c r="J290" s="330"/>
      <c r="K290" s="330"/>
    </row>
    <row r="291" spans="2:11" s="290" customFormat="1" x14ac:dyDescent="0.25">
      <c r="B291" s="411"/>
      <c r="C291" s="324"/>
      <c r="D291" s="325" t="s">
        <v>71</v>
      </c>
      <c r="E291" s="308"/>
      <c r="F291" s="326"/>
      <c r="G291" s="327"/>
      <c r="H291" s="328"/>
      <c r="I291" s="329"/>
      <c r="J291" s="330"/>
      <c r="K291" s="330"/>
    </row>
    <row r="292" spans="2:11" s="290" customFormat="1" x14ac:dyDescent="0.25">
      <c r="B292" s="411"/>
      <c r="C292" s="324"/>
      <c r="D292" s="325" t="s">
        <v>119</v>
      </c>
      <c r="E292" s="308" t="s">
        <v>42</v>
      </c>
      <c r="F292" s="326"/>
      <c r="G292" s="327"/>
      <c r="H292" s="328">
        <v>2000</v>
      </c>
      <c r="I292" s="329" t="s">
        <v>120</v>
      </c>
      <c r="J292" s="330"/>
      <c r="K292" s="330"/>
    </row>
    <row r="293" spans="2:11" s="290" customFormat="1" x14ac:dyDescent="0.25">
      <c r="B293" s="411"/>
      <c r="C293" s="324"/>
      <c r="D293" s="325" t="s">
        <v>121</v>
      </c>
      <c r="E293" s="308"/>
      <c r="F293" s="326"/>
      <c r="G293" s="327"/>
      <c r="H293" s="331">
        <v>0.06</v>
      </c>
      <c r="I293" s="329" t="s">
        <v>88</v>
      </c>
      <c r="J293" s="330"/>
      <c r="K293" s="330"/>
    </row>
    <row r="294" spans="2:11" customFormat="1" ht="30" customHeight="1" x14ac:dyDescent="0.25">
      <c r="B294" s="409"/>
      <c r="C294" s="323">
        <v>3</v>
      </c>
      <c r="D294" s="299" t="s">
        <v>122</v>
      </c>
      <c r="E294" s="308"/>
      <c r="F294" s="308"/>
      <c r="G294" s="321"/>
      <c r="H294" s="319"/>
      <c r="I294" s="320"/>
      <c r="J294" s="321"/>
      <c r="K294" s="321"/>
    </row>
    <row r="295" spans="2:11" s="290" customFormat="1" x14ac:dyDescent="0.25">
      <c r="B295" s="411"/>
      <c r="C295" s="324"/>
      <c r="D295" s="325" t="s">
        <v>51</v>
      </c>
      <c r="E295" s="308" t="s">
        <v>42</v>
      </c>
      <c r="F295" s="326"/>
      <c r="G295" s="327"/>
      <c r="H295" s="328"/>
      <c r="I295" s="329" t="s">
        <v>120</v>
      </c>
      <c r="J295" s="330"/>
      <c r="K295" s="330"/>
    </row>
    <row r="296" spans="2:11" s="290" customFormat="1" x14ac:dyDescent="0.25">
      <c r="B296" s="411"/>
      <c r="C296" s="324"/>
      <c r="D296" s="325" t="s">
        <v>53</v>
      </c>
      <c r="E296" s="308" t="s">
        <v>42</v>
      </c>
      <c r="F296" s="326"/>
      <c r="G296" s="327"/>
      <c r="H296" s="328"/>
      <c r="I296" s="329" t="s">
        <v>120</v>
      </c>
      <c r="J296" s="330"/>
      <c r="K296" s="330"/>
    </row>
    <row r="297" spans="2:11" s="290" customFormat="1" x14ac:dyDescent="0.25">
      <c r="B297" s="411"/>
      <c r="C297" s="324"/>
      <c r="D297" s="325" t="s">
        <v>54</v>
      </c>
      <c r="E297" s="308" t="s">
        <v>42</v>
      </c>
      <c r="F297" s="326"/>
      <c r="G297" s="327"/>
      <c r="H297" s="328"/>
      <c r="I297" s="329" t="s">
        <v>120</v>
      </c>
      <c r="J297" s="330"/>
      <c r="K297" s="330"/>
    </row>
    <row r="298" spans="2:11" s="290" customFormat="1" x14ac:dyDescent="0.25">
      <c r="B298" s="411"/>
      <c r="C298" s="324"/>
      <c r="D298" s="325" t="s">
        <v>55</v>
      </c>
      <c r="E298" s="308" t="s">
        <v>42</v>
      </c>
      <c r="F298" s="326"/>
      <c r="G298" s="327"/>
      <c r="H298" s="328"/>
      <c r="I298" s="329" t="s">
        <v>120</v>
      </c>
      <c r="J298" s="330"/>
      <c r="K298" s="330"/>
    </row>
    <row r="299" spans="2:11" s="290" customFormat="1" x14ac:dyDescent="0.25">
      <c r="B299" s="411"/>
      <c r="C299" s="324"/>
      <c r="D299" s="325" t="s">
        <v>56</v>
      </c>
      <c r="E299" s="308" t="s">
        <v>42</v>
      </c>
      <c r="F299" s="326"/>
      <c r="G299" s="327"/>
      <c r="H299" s="328"/>
      <c r="I299" s="329" t="s">
        <v>120</v>
      </c>
      <c r="J299" s="330"/>
      <c r="K299" s="330"/>
    </row>
    <row r="300" spans="2:11" s="290" customFormat="1" x14ac:dyDescent="0.25">
      <c r="B300" s="411"/>
      <c r="C300" s="324"/>
      <c r="D300" s="325" t="s">
        <v>57</v>
      </c>
      <c r="E300" s="308" t="s">
        <v>42</v>
      </c>
      <c r="F300" s="326"/>
      <c r="G300" s="327"/>
      <c r="H300" s="328"/>
      <c r="I300" s="329" t="s">
        <v>120</v>
      </c>
      <c r="J300" s="330"/>
      <c r="K300" s="330"/>
    </row>
    <row r="301" spans="2:11" s="290" customFormat="1" x14ac:dyDescent="0.25">
      <c r="B301" s="411"/>
      <c r="C301" s="324"/>
      <c r="D301" s="325" t="s">
        <v>58</v>
      </c>
      <c r="E301" s="308" t="s">
        <v>42</v>
      </c>
      <c r="F301" s="326"/>
      <c r="G301" s="327"/>
      <c r="H301" s="328"/>
      <c r="I301" s="329" t="s">
        <v>120</v>
      </c>
      <c r="J301" s="330"/>
      <c r="K301" s="330"/>
    </row>
    <row r="302" spans="2:11" s="290" customFormat="1" x14ac:dyDescent="0.25">
      <c r="B302" s="411"/>
      <c r="C302" s="324"/>
      <c r="D302" s="325" t="s">
        <v>59</v>
      </c>
      <c r="E302" s="308" t="s">
        <v>42</v>
      </c>
      <c r="F302" s="326"/>
      <c r="G302" s="327"/>
      <c r="H302" s="328"/>
      <c r="I302" s="329" t="s">
        <v>120</v>
      </c>
      <c r="J302" s="330"/>
      <c r="K302" s="330"/>
    </row>
    <row r="303" spans="2:11" s="290" customFormat="1" x14ac:dyDescent="0.25">
      <c r="B303" s="411"/>
      <c r="C303" s="324"/>
      <c r="D303" s="325" t="s">
        <v>60</v>
      </c>
      <c r="E303" s="308" t="s">
        <v>42</v>
      </c>
      <c r="F303" s="326"/>
      <c r="G303" s="327"/>
      <c r="H303" s="328"/>
      <c r="I303" s="329" t="s">
        <v>120</v>
      </c>
      <c r="J303" s="330"/>
      <c r="K303" s="330"/>
    </row>
    <row r="304" spans="2:11" s="290" customFormat="1" x14ac:dyDescent="0.25">
      <c r="B304" s="411"/>
      <c r="C304" s="324"/>
      <c r="D304" s="325" t="s">
        <v>61</v>
      </c>
      <c r="E304" s="308" t="s">
        <v>42</v>
      </c>
      <c r="F304" s="326"/>
      <c r="G304" s="327"/>
      <c r="H304" s="328"/>
      <c r="I304" s="329" t="s">
        <v>120</v>
      </c>
      <c r="J304" s="330"/>
      <c r="K304" s="330"/>
    </row>
    <row r="305" spans="2:11" s="290" customFormat="1" x14ac:dyDescent="0.25">
      <c r="B305" s="411"/>
      <c r="C305" s="324"/>
      <c r="D305" s="325" t="s">
        <v>62</v>
      </c>
      <c r="E305" s="308" t="s">
        <v>42</v>
      </c>
      <c r="F305" s="326"/>
      <c r="G305" s="327"/>
      <c r="H305" s="328"/>
      <c r="I305" s="329" t="s">
        <v>120</v>
      </c>
      <c r="J305" s="330"/>
      <c r="K305" s="330"/>
    </row>
    <row r="306" spans="2:11" s="290" customFormat="1" x14ac:dyDescent="0.25">
      <c r="B306" s="411"/>
      <c r="C306" s="324"/>
      <c r="D306" s="325" t="s">
        <v>63</v>
      </c>
      <c r="E306" s="308" t="s">
        <v>42</v>
      </c>
      <c r="F306" s="326"/>
      <c r="G306" s="327"/>
      <c r="H306" s="328"/>
      <c r="I306" s="329" t="s">
        <v>120</v>
      </c>
      <c r="J306" s="330"/>
      <c r="K306" s="330"/>
    </row>
    <row r="307" spans="2:11" s="290" customFormat="1" x14ac:dyDescent="0.25">
      <c r="B307" s="411"/>
      <c r="C307" s="324"/>
      <c r="D307" s="325" t="s">
        <v>64</v>
      </c>
      <c r="E307" s="308" t="s">
        <v>42</v>
      </c>
      <c r="F307" s="326"/>
      <c r="G307" s="327"/>
      <c r="H307" s="328"/>
      <c r="I307" s="329" t="s">
        <v>120</v>
      </c>
      <c r="J307" s="330"/>
      <c r="K307" s="330"/>
    </row>
    <row r="308" spans="2:11" s="290" customFormat="1" x14ac:dyDescent="0.25">
      <c r="B308" s="411"/>
      <c r="C308" s="324"/>
      <c r="D308" s="325" t="s">
        <v>65</v>
      </c>
      <c r="E308" s="308" t="s">
        <v>42</v>
      </c>
      <c r="F308" s="326"/>
      <c r="G308" s="327"/>
      <c r="H308" s="328"/>
      <c r="I308" s="329" t="s">
        <v>120</v>
      </c>
      <c r="J308" s="330"/>
      <c r="K308" s="330"/>
    </row>
    <row r="309" spans="2:11" s="290" customFormat="1" x14ac:dyDescent="0.25">
      <c r="B309" s="411"/>
      <c r="C309" s="324"/>
      <c r="D309" s="325" t="s">
        <v>66</v>
      </c>
      <c r="E309" s="308" t="s">
        <v>42</v>
      </c>
      <c r="F309" s="326"/>
      <c r="G309" s="327"/>
      <c r="H309" s="328"/>
      <c r="I309" s="329" t="s">
        <v>120</v>
      </c>
      <c r="J309" s="330"/>
      <c r="K309" s="330"/>
    </row>
    <row r="310" spans="2:11" s="290" customFormat="1" x14ac:dyDescent="0.25">
      <c r="B310" s="411"/>
      <c r="C310" s="324"/>
      <c r="D310" s="325" t="s">
        <v>67</v>
      </c>
      <c r="E310" s="308" t="s">
        <v>42</v>
      </c>
      <c r="F310" s="326"/>
      <c r="G310" s="327"/>
      <c r="H310" s="328"/>
      <c r="I310" s="329" t="s">
        <v>120</v>
      </c>
      <c r="J310" s="330"/>
      <c r="K310" s="330"/>
    </row>
    <row r="311" spans="2:11" s="290" customFormat="1" x14ac:dyDescent="0.25">
      <c r="B311" s="411"/>
      <c r="C311" s="324"/>
      <c r="D311" s="325" t="s">
        <v>68</v>
      </c>
      <c r="E311" s="308" t="s">
        <v>42</v>
      </c>
      <c r="F311" s="326"/>
      <c r="G311" s="327"/>
      <c r="H311" s="328"/>
      <c r="I311" s="329" t="s">
        <v>120</v>
      </c>
      <c r="J311" s="330"/>
      <c r="K311" s="330"/>
    </row>
    <row r="312" spans="2:11" s="290" customFormat="1" x14ac:dyDescent="0.25">
      <c r="B312" s="411"/>
      <c r="C312" s="324"/>
      <c r="D312" s="325" t="s">
        <v>69</v>
      </c>
      <c r="E312" s="308" t="s">
        <v>42</v>
      </c>
      <c r="F312" s="326"/>
      <c r="G312" s="327"/>
      <c r="H312" s="328"/>
      <c r="I312" s="329" t="s">
        <v>120</v>
      </c>
      <c r="J312" s="330"/>
      <c r="K312" s="330"/>
    </row>
    <row r="313" spans="2:11" s="290" customFormat="1" x14ac:dyDescent="0.25">
      <c r="B313" s="411"/>
      <c r="C313" s="324"/>
      <c r="D313" s="325" t="s">
        <v>70</v>
      </c>
      <c r="E313" s="308" t="s">
        <v>42</v>
      </c>
      <c r="F313" s="326"/>
      <c r="G313" s="327"/>
      <c r="H313" s="328"/>
      <c r="I313" s="329" t="s">
        <v>120</v>
      </c>
      <c r="J313" s="330"/>
      <c r="K313" s="330"/>
    </row>
    <row r="314" spans="2:11" s="290" customFormat="1" x14ac:dyDescent="0.25">
      <c r="B314" s="412"/>
      <c r="C314" s="324"/>
      <c r="D314" s="325" t="s">
        <v>71</v>
      </c>
      <c r="E314" s="308" t="s">
        <v>42</v>
      </c>
      <c r="F314" s="326"/>
      <c r="G314" s="327"/>
      <c r="H314" s="328"/>
      <c r="I314" s="329" t="s">
        <v>120</v>
      </c>
      <c r="J314" s="330"/>
      <c r="K314" s="330"/>
    </row>
    <row r="315" spans="2:11" s="290" customFormat="1" x14ac:dyDescent="0.25">
      <c r="B315" s="411"/>
      <c r="C315" s="324"/>
      <c r="D315" s="325" t="s">
        <v>121</v>
      </c>
      <c r="E315" s="308"/>
      <c r="F315" s="326"/>
      <c r="G315" s="327"/>
      <c r="H315" s="328">
        <v>13</v>
      </c>
      <c r="I315" s="329" t="s">
        <v>88</v>
      </c>
      <c r="J315" s="330"/>
      <c r="K315" s="330"/>
    </row>
    <row r="316" spans="2:11" s="290" customFormat="1" ht="18.5" customHeight="1" x14ac:dyDescent="0.25">
      <c r="B316" s="409"/>
      <c r="C316" s="323">
        <v>4</v>
      </c>
      <c r="D316" s="332" t="s">
        <v>123</v>
      </c>
      <c r="E316" s="308"/>
      <c r="F316" s="333"/>
      <c r="G316" s="318"/>
      <c r="H316" s="322"/>
      <c r="I316" s="320"/>
      <c r="J316" s="318"/>
      <c r="K316" s="321"/>
    </row>
    <row r="317" spans="2:11" s="290" customFormat="1" ht="32" customHeight="1" x14ac:dyDescent="0.25">
      <c r="B317" s="409"/>
      <c r="C317" s="323">
        <v>4.0999999999999996</v>
      </c>
      <c r="D317" s="332" t="s">
        <v>124</v>
      </c>
      <c r="E317" s="308" t="s">
        <v>42</v>
      </c>
      <c r="F317" s="334" t="s">
        <v>123</v>
      </c>
      <c r="G317" s="318"/>
      <c r="H317" s="322"/>
      <c r="I317" s="320"/>
      <c r="J317" s="318"/>
      <c r="K317" s="321"/>
    </row>
    <row r="318" spans="2:11" s="290" customFormat="1" ht="18.5" customHeight="1" x14ac:dyDescent="0.25">
      <c r="B318" s="409"/>
      <c r="C318" s="335" t="s">
        <v>125</v>
      </c>
      <c r="D318" s="306" t="s">
        <v>126</v>
      </c>
      <c r="E318" s="308" t="s">
        <v>42</v>
      </c>
      <c r="F318" s="308"/>
      <c r="G318" s="318"/>
      <c r="H318" s="319">
        <v>0</v>
      </c>
      <c r="I318" s="320" t="s">
        <v>120</v>
      </c>
      <c r="J318" s="318"/>
      <c r="K318" s="321"/>
    </row>
    <row r="319" spans="2:11" s="290" customFormat="1" ht="18.5" customHeight="1" x14ac:dyDescent="0.25">
      <c r="B319" s="409"/>
      <c r="C319" s="335" t="s">
        <v>127</v>
      </c>
      <c r="D319" s="306" t="s">
        <v>128</v>
      </c>
      <c r="E319" s="308"/>
      <c r="F319" s="308"/>
      <c r="G319" s="318"/>
      <c r="H319" s="322"/>
      <c r="I319" s="320"/>
      <c r="J319" s="318"/>
      <c r="K319" s="321"/>
    </row>
    <row r="320" spans="2:11" s="290" customFormat="1" ht="18.5" customHeight="1" x14ac:dyDescent="0.25">
      <c r="B320" s="409"/>
      <c r="C320" s="335"/>
      <c r="D320" s="336" t="s">
        <v>51</v>
      </c>
      <c r="E320" s="308" t="s">
        <v>42</v>
      </c>
      <c r="F320" s="308"/>
      <c r="G320" s="318"/>
      <c r="H320" s="319">
        <v>0</v>
      </c>
      <c r="I320" s="320" t="s">
        <v>120</v>
      </c>
      <c r="J320" s="318"/>
      <c r="K320" s="321"/>
    </row>
    <row r="321" spans="2:11" s="290" customFormat="1" ht="18.5" customHeight="1" x14ac:dyDescent="0.25">
      <c r="B321" s="409"/>
      <c r="C321" s="335"/>
      <c r="D321" s="336" t="s">
        <v>53</v>
      </c>
      <c r="E321" s="308" t="s">
        <v>42</v>
      </c>
      <c r="F321" s="308"/>
      <c r="G321" s="318"/>
      <c r="H321" s="319">
        <v>0</v>
      </c>
      <c r="I321" s="320" t="s">
        <v>120</v>
      </c>
      <c r="J321" s="318"/>
      <c r="K321" s="321"/>
    </row>
    <row r="322" spans="2:11" s="290" customFormat="1" ht="18.5" customHeight="1" x14ac:dyDescent="0.25">
      <c r="B322" s="409"/>
      <c r="C322" s="335"/>
      <c r="D322" s="336" t="s">
        <v>54</v>
      </c>
      <c r="E322" s="308" t="s">
        <v>42</v>
      </c>
      <c r="F322" s="308"/>
      <c r="G322" s="318"/>
      <c r="H322" s="319">
        <v>0</v>
      </c>
      <c r="I322" s="320" t="s">
        <v>120</v>
      </c>
      <c r="J322" s="318"/>
      <c r="K322" s="321"/>
    </row>
    <row r="323" spans="2:11" s="290" customFormat="1" ht="18.5" customHeight="1" x14ac:dyDescent="0.25">
      <c r="B323" s="409"/>
      <c r="C323" s="335"/>
      <c r="D323" s="336" t="s">
        <v>55</v>
      </c>
      <c r="E323" s="308" t="s">
        <v>42</v>
      </c>
      <c r="F323" s="308"/>
      <c r="G323" s="318"/>
      <c r="H323" s="319">
        <v>0</v>
      </c>
      <c r="I323" s="320" t="s">
        <v>120</v>
      </c>
      <c r="J323" s="318"/>
      <c r="K323" s="321"/>
    </row>
    <row r="324" spans="2:11" s="290" customFormat="1" ht="18.5" customHeight="1" x14ac:dyDescent="0.25">
      <c r="B324" s="409"/>
      <c r="C324" s="335"/>
      <c r="D324" s="336" t="s">
        <v>56</v>
      </c>
      <c r="E324" s="308" t="s">
        <v>42</v>
      </c>
      <c r="F324" s="308"/>
      <c r="G324" s="318"/>
      <c r="H324" s="319">
        <v>0</v>
      </c>
      <c r="I324" s="320" t="s">
        <v>120</v>
      </c>
      <c r="J324" s="318"/>
      <c r="K324" s="321"/>
    </row>
    <row r="325" spans="2:11" s="290" customFormat="1" ht="18.5" customHeight="1" x14ac:dyDescent="0.25">
      <c r="B325" s="409"/>
      <c r="C325" s="335"/>
      <c r="D325" s="336" t="s">
        <v>57</v>
      </c>
      <c r="E325" s="308" t="s">
        <v>42</v>
      </c>
      <c r="F325" s="308"/>
      <c r="G325" s="318"/>
      <c r="H325" s="319">
        <v>0</v>
      </c>
      <c r="I325" s="320" t="s">
        <v>120</v>
      </c>
      <c r="J325" s="318"/>
      <c r="K325" s="321"/>
    </row>
    <row r="326" spans="2:11" s="290" customFormat="1" ht="18.5" customHeight="1" x14ac:dyDescent="0.25">
      <c r="B326" s="409"/>
      <c r="C326" s="335"/>
      <c r="D326" s="336" t="s">
        <v>58</v>
      </c>
      <c r="E326" s="308" t="s">
        <v>42</v>
      </c>
      <c r="F326" s="308"/>
      <c r="G326" s="318"/>
      <c r="H326" s="319">
        <v>0</v>
      </c>
      <c r="I326" s="320" t="s">
        <v>120</v>
      </c>
      <c r="J326" s="318"/>
      <c r="K326" s="321"/>
    </row>
    <row r="327" spans="2:11" s="290" customFormat="1" ht="18.5" customHeight="1" x14ac:dyDescent="0.25">
      <c r="B327" s="409"/>
      <c r="C327" s="335"/>
      <c r="D327" s="336" t="s">
        <v>59</v>
      </c>
      <c r="E327" s="308" t="s">
        <v>42</v>
      </c>
      <c r="F327" s="308"/>
      <c r="G327" s="318"/>
      <c r="H327" s="319">
        <v>0</v>
      </c>
      <c r="I327" s="320" t="s">
        <v>120</v>
      </c>
      <c r="J327" s="318"/>
      <c r="K327" s="321"/>
    </row>
    <row r="328" spans="2:11" s="290" customFormat="1" ht="18.5" customHeight="1" x14ac:dyDescent="0.25">
      <c r="B328" s="409"/>
      <c r="C328" s="335"/>
      <c r="D328" s="336" t="s">
        <v>60</v>
      </c>
      <c r="E328" s="308" t="s">
        <v>42</v>
      </c>
      <c r="F328" s="308"/>
      <c r="G328" s="318"/>
      <c r="H328" s="319">
        <v>0</v>
      </c>
      <c r="I328" s="320" t="s">
        <v>120</v>
      </c>
      <c r="J328" s="318"/>
      <c r="K328" s="321"/>
    </row>
    <row r="329" spans="2:11" s="290" customFormat="1" ht="18.5" customHeight="1" x14ac:dyDescent="0.25">
      <c r="B329" s="409"/>
      <c r="C329" s="335"/>
      <c r="D329" s="336" t="s">
        <v>61</v>
      </c>
      <c r="E329" s="308" t="s">
        <v>42</v>
      </c>
      <c r="F329" s="308"/>
      <c r="G329" s="318"/>
      <c r="H329" s="319">
        <v>0</v>
      </c>
      <c r="I329" s="320" t="s">
        <v>120</v>
      </c>
      <c r="J329" s="318"/>
      <c r="K329" s="321"/>
    </row>
    <row r="330" spans="2:11" s="290" customFormat="1" ht="18.5" customHeight="1" x14ac:dyDescent="0.25">
      <c r="B330" s="409"/>
      <c r="C330" s="335"/>
      <c r="D330" s="336" t="s">
        <v>62</v>
      </c>
      <c r="E330" s="308" t="s">
        <v>42</v>
      </c>
      <c r="F330" s="308"/>
      <c r="G330" s="318"/>
      <c r="H330" s="319">
        <v>0</v>
      </c>
      <c r="I330" s="320" t="s">
        <v>120</v>
      </c>
      <c r="J330" s="318"/>
      <c r="K330" s="321"/>
    </row>
    <row r="331" spans="2:11" s="290" customFormat="1" ht="18.5" customHeight="1" x14ac:dyDescent="0.25">
      <c r="B331" s="409"/>
      <c r="C331" s="335"/>
      <c r="D331" s="336" t="s">
        <v>63</v>
      </c>
      <c r="E331" s="308" t="s">
        <v>42</v>
      </c>
      <c r="F331" s="308"/>
      <c r="G331" s="318"/>
      <c r="H331" s="319">
        <v>0</v>
      </c>
      <c r="I331" s="320" t="s">
        <v>120</v>
      </c>
      <c r="J331" s="318"/>
      <c r="K331" s="321"/>
    </row>
    <row r="332" spans="2:11" s="290" customFormat="1" ht="18.5" customHeight="1" x14ac:dyDescent="0.25">
      <c r="B332" s="409"/>
      <c r="C332" s="335"/>
      <c r="D332" s="336" t="s">
        <v>64</v>
      </c>
      <c r="E332" s="308" t="s">
        <v>42</v>
      </c>
      <c r="F332" s="308"/>
      <c r="G332" s="318"/>
      <c r="H332" s="319">
        <v>0</v>
      </c>
      <c r="I332" s="320" t="s">
        <v>120</v>
      </c>
      <c r="J332" s="318"/>
      <c r="K332" s="321"/>
    </row>
    <row r="333" spans="2:11" s="290" customFormat="1" ht="18.5" customHeight="1" x14ac:dyDescent="0.25">
      <c r="B333" s="409"/>
      <c r="C333" s="335"/>
      <c r="D333" s="336" t="s">
        <v>65</v>
      </c>
      <c r="E333" s="308" t="s">
        <v>42</v>
      </c>
      <c r="F333" s="308"/>
      <c r="G333" s="318"/>
      <c r="H333" s="319">
        <v>0</v>
      </c>
      <c r="I333" s="320" t="s">
        <v>120</v>
      </c>
      <c r="J333" s="318"/>
      <c r="K333" s="321"/>
    </row>
    <row r="334" spans="2:11" s="290" customFormat="1" ht="18.5" customHeight="1" x14ac:dyDescent="0.25">
      <c r="B334" s="409"/>
      <c r="C334" s="335"/>
      <c r="D334" s="336" t="s">
        <v>66</v>
      </c>
      <c r="E334" s="308" t="s">
        <v>42</v>
      </c>
      <c r="F334" s="308"/>
      <c r="G334" s="318"/>
      <c r="H334" s="319">
        <v>0</v>
      </c>
      <c r="I334" s="320" t="s">
        <v>120</v>
      </c>
      <c r="J334" s="318"/>
      <c r="K334" s="321"/>
    </row>
    <row r="335" spans="2:11" s="290" customFormat="1" ht="18.5" customHeight="1" x14ac:dyDescent="0.25">
      <c r="B335" s="409"/>
      <c r="C335" s="335"/>
      <c r="D335" s="336" t="s">
        <v>67</v>
      </c>
      <c r="E335" s="308" t="s">
        <v>42</v>
      </c>
      <c r="F335" s="308"/>
      <c r="G335" s="318"/>
      <c r="H335" s="319">
        <v>0</v>
      </c>
      <c r="I335" s="320" t="s">
        <v>120</v>
      </c>
      <c r="J335" s="318"/>
      <c r="K335" s="321"/>
    </row>
    <row r="336" spans="2:11" s="290" customFormat="1" ht="18.5" customHeight="1" x14ac:dyDescent="0.25">
      <c r="B336" s="409"/>
      <c r="C336" s="335"/>
      <c r="D336" s="336" t="s">
        <v>68</v>
      </c>
      <c r="E336" s="308" t="s">
        <v>42</v>
      </c>
      <c r="F336" s="308"/>
      <c r="G336" s="318"/>
      <c r="H336" s="319">
        <v>0</v>
      </c>
      <c r="I336" s="320" t="s">
        <v>120</v>
      </c>
      <c r="J336" s="318"/>
      <c r="K336" s="321"/>
    </row>
    <row r="337" spans="2:11" s="290" customFormat="1" ht="18.5" customHeight="1" x14ac:dyDescent="0.25">
      <c r="B337" s="409"/>
      <c r="C337" s="335"/>
      <c r="D337" s="336" t="s">
        <v>69</v>
      </c>
      <c r="E337" s="308" t="s">
        <v>42</v>
      </c>
      <c r="F337" s="308"/>
      <c r="G337" s="318"/>
      <c r="H337" s="319">
        <v>0</v>
      </c>
      <c r="I337" s="320" t="s">
        <v>120</v>
      </c>
      <c r="J337" s="318"/>
      <c r="K337" s="321"/>
    </row>
    <row r="338" spans="2:11" s="290" customFormat="1" ht="18.5" customHeight="1" x14ac:dyDescent="0.25">
      <c r="B338" s="409"/>
      <c r="C338" s="335"/>
      <c r="D338" s="336" t="s">
        <v>70</v>
      </c>
      <c r="E338" s="308" t="s">
        <v>42</v>
      </c>
      <c r="F338" s="308"/>
      <c r="G338" s="318"/>
      <c r="H338" s="319">
        <v>0</v>
      </c>
      <c r="I338" s="320" t="s">
        <v>120</v>
      </c>
      <c r="J338" s="318"/>
      <c r="K338" s="321"/>
    </row>
    <row r="339" spans="2:11" s="290" customFormat="1" ht="18.5" customHeight="1" x14ac:dyDescent="0.25">
      <c r="B339" s="409"/>
      <c r="C339" s="335"/>
      <c r="D339" s="336" t="s">
        <v>71</v>
      </c>
      <c r="E339" s="308" t="s">
        <v>42</v>
      </c>
      <c r="F339" s="308"/>
      <c r="G339" s="318"/>
      <c r="H339" s="319">
        <v>0</v>
      </c>
      <c r="I339" s="320" t="s">
        <v>120</v>
      </c>
      <c r="J339" s="318"/>
      <c r="K339" s="321"/>
    </row>
    <row r="340" spans="2:11" ht="28" x14ac:dyDescent="0.25">
      <c r="B340" s="413" t="s">
        <v>13</v>
      </c>
      <c r="C340" s="323">
        <v>1</v>
      </c>
      <c r="D340" s="299" t="s">
        <v>19</v>
      </c>
      <c r="E340" s="308" t="s">
        <v>129</v>
      </c>
      <c r="F340" s="308"/>
      <c r="G340" s="318" t="s">
        <v>130</v>
      </c>
      <c r="H340" s="337">
        <v>24833.200000000001</v>
      </c>
      <c r="I340" s="320" t="s">
        <v>120</v>
      </c>
      <c r="J340" s="321"/>
      <c r="K340" s="321"/>
    </row>
    <row r="341" spans="2:11" ht="38" customHeight="1" x14ac:dyDescent="0.25">
      <c r="B341" s="409"/>
      <c r="C341" s="323"/>
      <c r="D341" s="299" t="s">
        <v>131</v>
      </c>
      <c r="E341" s="308" t="s">
        <v>129</v>
      </c>
      <c r="F341" s="308"/>
      <c r="G341" s="318" t="s">
        <v>130</v>
      </c>
      <c r="H341" s="337">
        <v>13100</v>
      </c>
      <c r="I341" s="320" t="s">
        <v>120</v>
      </c>
      <c r="J341" s="321"/>
      <c r="K341" s="321"/>
    </row>
    <row r="342" spans="2:11" ht="28" x14ac:dyDescent="0.25">
      <c r="B342" s="409"/>
      <c r="C342" s="323">
        <v>2</v>
      </c>
      <c r="D342" s="299" t="s">
        <v>132</v>
      </c>
      <c r="E342" s="308" t="s">
        <v>129</v>
      </c>
      <c r="F342" s="308"/>
      <c r="G342" s="318" t="s">
        <v>130</v>
      </c>
      <c r="H342" s="337">
        <v>13170.58</v>
      </c>
      <c r="I342" s="320" t="s">
        <v>120</v>
      </c>
      <c r="J342" s="321"/>
      <c r="K342" s="321"/>
    </row>
    <row r="343" spans="2:11" ht="28" x14ac:dyDescent="0.25">
      <c r="B343" s="409"/>
      <c r="C343" s="323">
        <v>3</v>
      </c>
      <c r="D343" s="299" t="s">
        <v>133</v>
      </c>
      <c r="E343" s="308" t="s">
        <v>129</v>
      </c>
      <c r="F343" s="308"/>
      <c r="G343" s="318" t="s">
        <v>130</v>
      </c>
      <c r="H343" s="337">
        <v>6208.29</v>
      </c>
      <c r="I343" s="320" t="s">
        <v>120</v>
      </c>
      <c r="J343" s="321"/>
      <c r="K343" s="321"/>
    </row>
    <row r="344" spans="2:11" ht="28" x14ac:dyDescent="0.25">
      <c r="B344" s="409"/>
      <c r="C344" s="323">
        <v>4</v>
      </c>
      <c r="D344" s="299" t="s">
        <v>134</v>
      </c>
      <c r="E344" s="308" t="s">
        <v>129</v>
      </c>
      <c r="F344" s="308"/>
      <c r="G344" s="318" t="s">
        <v>130</v>
      </c>
      <c r="H344" s="337">
        <v>3206.51</v>
      </c>
      <c r="I344" s="320" t="s">
        <v>120</v>
      </c>
      <c r="J344" s="321"/>
      <c r="K344" s="321"/>
    </row>
    <row r="345" spans="2:11" ht="28" x14ac:dyDescent="0.25">
      <c r="B345" s="409"/>
      <c r="C345" s="323">
        <v>6</v>
      </c>
      <c r="D345" s="299" t="s">
        <v>135</v>
      </c>
      <c r="E345" s="308" t="s">
        <v>129</v>
      </c>
      <c r="F345" s="308"/>
      <c r="G345" s="318" t="s">
        <v>130</v>
      </c>
      <c r="H345" s="337">
        <v>16474</v>
      </c>
      <c r="I345" s="320" t="s">
        <v>120</v>
      </c>
      <c r="J345" s="321" t="s">
        <v>136</v>
      </c>
      <c r="K345" s="321"/>
    </row>
    <row r="346" spans="2:11" ht="28" x14ac:dyDescent="0.25">
      <c r="B346" s="409"/>
      <c r="C346" s="323">
        <v>7</v>
      </c>
      <c r="D346" s="299" t="s">
        <v>137</v>
      </c>
      <c r="E346" s="308" t="s">
        <v>129</v>
      </c>
      <c r="F346" s="308"/>
      <c r="G346" s="318" t="s">
        <v>130</v>
      </c>
      <c r="H346" s="337">
        <v>12.5</v>
      </c>
      <c r="I346" s="320" t="s">
        <v>120</v>
      </c>
      <c r="J346" s="321"/>
      <c r="K346" s="321"/>
    </row>
    <row r="347" spans="2:11" ht="34" customHeight="1" x14ac:dyDescent="0.25">
      <c r="B347" s="409"/>
      <c r="C347" s="323">
        <v>8</v>
      </c>
      <c r="D347" s="299" t="s">
        <v>22</v>
      </c>
      <c r="E347" s="308" t="s">
        <v>138</v>
      </c>
      <c r="F347" s="326"/>
      <c r="G347" s="318"/>
      <c r="H347" s="337">
        <v>1373.31</v>
      </c>
      <c r="I347" s="320" t="s">
        <v>120</v>
      </c>
      <c r="J347" s="318"/>
      <c r="K347" s="321"/>
    </row>
    <row r="348" spans="2:11" ht="23" customHeight="1" x14ac:dyDescent="0.25">
      <c r="B348" s="409"/>
      <c r="C348" s="323">
        <v>9</v>
      </c>
      <c r="D348" s="299" t="s">
        <v>139</v>
      </c>
      <c r="E348" s="308" t="s">
        <v>138</v>
      </c>
      <c r="F348" s="326"/>
      <c r="G348" s="318" t="s">
        <v>140</v>
      </c>
      <c r="H348" s="338">
        <f>SUM(H340:H347)-H341</f>
        <v>65278.39</v>
      </c>
      <c r="I348" s="320" t="s">
        <v>120</v>
      </c>
      <c r="J348" s="318"/>
      <c r="K348" s="321"/>
    </row>
    <row r="349" spans="2:11" ht="28" x14ac:dyDescent="0.25">
      <c r="B349" s="409"/>
      <c r="C349" s="323">
        <v>10</v>
      </c>
      <c r="D349" s="299" t="s">
        <v>26</v>
      </c>
      <c r="E349" s="308" t="s">
        <v>138</v>
      </c>
      <c r="F349" s="326"/>
      <c r="G349" s="318" t="s">
        <v>141</v>
      </c>
      <c r="H349" s="338">
        <f ca="1">'表1-资金筹措及还本付息表'!D17</f>
        <v>2011.7923276094061</v>
      </c>
      <c r="I349" s="320" t="s">
        <v>120</v>
      </c>
      <c r="J349" s="318"/>
      <c r="K349" s="321"/>
    </row>
    <row r="350" spans="2:11" ht="28" x14ac:dyDescent="0.25">
      <c r="B350" s="409"/>
      <c r="C350" s="323">
        <v>11</v>
      </c>
      <c r="D350" s="299" t="s">
        <v>142</v>
      </c>
      <c r="E350" s="308" t="s">
        <v>138</v>
      </c>
      <c r="F350" s="326"/>
      <c r="G350" s="318" t="s">
        <v>143</v>
      </c>
      <c r="H350" s="338">
        <f ca="1">H348+H349</f>
        <v>67290.182327609407</v>
      </c>
      <c r="I350" s="320" t="s">
        <v>120</v>
      </c>
      <c r="J350" s="318"/>
      <c r="K350" s="321"/>
    </row>
    <row r="351" spans="2:11" ht="42" x14ac:dyDescent="0.25">
      <c r="B351" s="409"/>
      <c r="C351" s="323">
        <v>12</v>
      </c>
      <c r="D351" s="299" t="s">
        <v>28</v>
      </c>
      <c r="E351" s="308" t="s">
        <v>138</v>
      </c>
      <c r="F351" s="326"/>
      <c r="G351" s="318" t="s">
        <v>144</v>
      </c>
      <c r="H351" s="337">
        <v>381</v>
      </c>
      <c r="I351" s="320" t="s">
        <v>120</v>
      </c>
      <c r="J351" s="339">
        <f>J352-H353</f>
        <v>-1782.8040000000001</v>
      </c>
      <c r="K351" s="321"/>
    </row>
    <row r="352" spans="2:11" ht="42" x14ac:dyDescent="0.25">
      <c r="B352" s="409"/>
      <c r="C352" s="323">
        <v>13</v>
      </c>
      <c r="D352" s="299" t="s">
        <v>145</v>
      </c>
      <c r="E352" s="308" t="s">
        <v>138</v>
      </c>
      <c r="F352" s="326"/>
      <c r="G352" s="318" t="s">
        <v>146</v>
      </c>
      <c r="H352" s="340">
        <f ca="1">H351+H350</f>
        <v>67671.182327609407</v>
      </c>
      <c r="I352" s="320" t="s">
        <v>120</v>
      </c>
      <c r="J352" s="339">
        <f>H353*0.6</f>
        <v>2674.2060000000001</v>
      </c>
      <c r="K352" s="321"/>
    </row>
    <row r="353" spans="2:11" ht="32" customHeight="1" x14ac:dyDescent="0.25">
      <c r="B353" s="409"/>
      <c r="C353" s="323">
        <v>14</v>
      </c>
      <c r="D353" s="299" t="s">
        <v>29</v>
      </c>
      <c r="E353" s="308" t="s">
        <v>138</v>
      </c>
      <c r="F353" s="326"/>
      <c r="G353" s="318"/>
      <c r="H353" s="337">
        <v>4457.01</v>
      </c>
      <c r="I353" s="320" t="s">
        <v>120</v>
      </c>
      <c r="J353" s="318" t="s">
        <v>147</v>
      </c>
      <c r="K353" s="321"/>
    </row>
    <row r="354" spans="2:11" ht="24" customHeight="1" x14ac:dyDescent="0.25">
      <c r="B354" s="410"/>
      <c r="C354" s="323">
        <v>15</v>
      </c>
      <c r="D354" s="299" t="s">
        <v>148</v>
      </c>
      <c r="E354" s="308" t="s">
        <v>42</v>
      </c>
      <c r="F354" s="308"/>
      <c r="G354" s="318"/>
      <c r="H354" s="341">
        <v>0</v>
      </c>
      <c r="I354" s="320" t="s">
        <v>120</v>
      </c>
      <c r="J354" s="318"/>
      <c r="K354" s="321"/>
    </row>
    <row r="355" spans="2:11" x14ac:dyDescent="0.25">
      <c r="B355" s="414" t="s">
        <v>149</v>
      </c>
      <c r="C355" s="323">
        <v>1</v>
      </c>
      <c r="D355" s="299" t="s">
        <v>150</v>
      </c>
      <c r="E355" s="308" t="s">
        <v>42</v>
      </c>
      <c r="F355" s="308"/>
      <c r="G355" s="318"/>
      <c r="H355" s="322">
        <v>0.2</v>
      </c>
      <c r="I355" s="320" t="s">
        <v>88</v>
      </c>
      <c r="J355" s="318" t="s">
        <v>151</v>
      </c>
      <c r="K355" s="321"/>
    </row>
    <row r="356" spans="2:11" s="154" customFormat="1" ht="27" customHeight="1" x14ac:dyDescent="0.25">
      <c r="B356" s="415"/>
      <c r="C356" s="342"/>
      <c r="D356" s="343" t="s">
        <v>152</v>
      </c>
      <c r="E356" s="344" t="s">
        <v>138</v>
      </c>
      <c r="F356" s="344"/>
      <c r="G356" s="345" t="s">
        <v>153</v>
      </c>
      <c r="H356" s="346">
        <f ca="1">'表1-资金筹措及还本付息表'!D11</f>
        <v>13705.209949361466</v>
      </c>
      <c r="I356" s="347" t="s">
        <v>120</v>
      </c>
      <c r="J356" s="345"/>
      <c r="K356" s="348"/>
    </row>
    <row r="357" spans="2:11" x14ac:dyDescent="0.25">
      <c r="B357" s="414"/>
      <c r="C357" s="349">
        <v>2</v>
      </c>
      <c r="D357" s="299" t="s">
        <v>154</v>
      </c>
      <c r="E357" s="308" t="s">
        <v>42</v>
      </c>
      <c r="F357" s="308"/>
      <c r="G357" s="318"/>
      <c r="H357" s="319">
        <f>H99</f>
        <v>2</v>
      </c>
      <c r="I357" s="320" t="s">
        <v>97</v>
      </c>
      <c r="J357" s="318" t="s">
        <v>155</v>
      </c>
      <c r="K357" s="321"/>
    </row>
    <row r="358" spans="2:11" ht="27" customHeight="1" x14ac:dyDescent="0.25">
      <c r="B358" s="414"/>
      <c r="C358" s="349">
        <v>3</v>
      </c>
      <c r="D358" s="299" t="s">
        <v>156</v>
      </c>
      <c r="E358" s="308" t="s">
        <v>42</v>
      </c>
      <c r="F358" s="308"/>
      <c r="G358" s="318"/>
      <c r="H358" s="350">
        <v>3.5000000000000003E-2</v>
      </c>
      <c r="I358" s="320" t="s">
        <v>88</v>
      </c>
      <c r="J358" s="318" t="s">
        <v>157</v>
      </c>
      <c r="K358" s="321"/>
    </row>
    <row r="359" spans="2:11" ht="28" x14ac:dyDescent="0.25">
      <c r="B359" s="414"/>
      <c r="C359" s="349">
        <v>4</v>
      </c>
      <c r="D359" s="299" t="s">
        <v>158</v>
      </c>
      <c r="E359" s="308" t="s">
        <v>42</v>
      </c>
      <c r="F359" s="308"/>
      <c r="G359" s="318"/>
      <c r="H359" s="350">
        <v>3.5000000000000003E-2</v>
      </c>
      <c r="I359" s="320" t="s">
        <v>88</v>
      </c>
      <c r="J359" s="318" t="s">
        <v>159</v>
      </c>
      <c r="K359" s="321"/>
    </row>
    <row r="360" spans="2:11" ht="28" x14ac:dyDescent="0.25">
      <c r="B360" s="414"/>
      <c r="C360" s="349">
        <v>5</v>
      </c>
      <c r="D360" s="299" t="s">
        <v>160</v>
      </c>
      <c r="E360" s="308" t="s">
        <v>42</v>
      </c>
      <c r="F360" s="308"/>
      <c r="G360" s="318"/>
      <c r="H360" s="350">
        <v>0.03</v>
      </c>
      <c r="I360" s="320" t="s">
        <v>88</v>
      </c>
      <c r="J360" s="318" t="s">
        <v>159</v>
      </c>
      <c r="K360" s="321"/>
    </row>
    <row r="361" spans="2:11" x14ac:dyDescent="0.25">
      <c r="B361" s="414"/>
      <c r="C361" s="349">
        <v>6</v>
      </c>
      <c r="D361" s="299" t="s">
        <v>161</v>
      </c>
      <c r="E361" s="308" t="s">
        <v>77</v>
      </c>
      <c r="F361" s="308"/>
      <c r="G361" s="318" t="s">
        <v>162</v>
      </c>
      <c r="H361" s="319"/>
      <c r="I361" s="320"/>
      <c r="J361" s="318"/>
      <c r="K361" s="321"/>
    </row>
    <row r="362" spans="2:11" x14ac:dyDescent="0.25">
      <c r="B362" s="414"/>
      <c r="C362" s="349">
        <v>7</v>
      </c>
      <c r="D362" s="299" t="s">
        <v>163</v>
      </c>
      <c r="E362" s="308" t="s">
        <v>42</v>
      </c>
      <c r="F362" s="308"/>
      <c r="G362" s="318"/>
      <c r="H362" s="319">
        <v>15</v>
      </c>
      <c r="I362" s="320" t="s">
        <v>94</v>
      </c>
      <c r="J362" s="318" t="s">
        <v>164</v>
      </c>
      <c r="K362" s="321"/>
    </row>
    <row r="363" spans="2:11" x14ac:dyDescent="0.25">
      <c r="B363" s="414"/>
      <c r="C363" s="349">
        <v>8</v>
      </c>
      <c r="D363" s="299" t="s">
        <v>165</v>
      </c>
      <c r="E363" s="308" t="s">
        <v>42</v>
      </c>
      <c r="F363" s="308"/>
      <c r="G363" s="318"/>
      <c r="H363" s="322">
        <v>0.3</v>
      </c>
      <c r="I363" s="320" t="s">
        <v>88</v>
      </c>
      <c r="J363" s="318"/>
      <c r="K363" s="321"/>
    </row>
    <row r="364" spans="2:11" x14ac:dyDescent="0.25">
      <c r="B364" s="414"/>
      <c r="C364" s="349">
        <v>9</v>
      </c>
      <c r="D364" s="332" t="s">
        <v>166</v>
      </c>
      <c r="E364" s="308" t="s">
        <v>42</v>
      </c>
      <c r="F364" s="308"/>
      <c r="G364" s="318"/>
      <c r="H364" s="351">
        <f ca="1">'表1-资金筹措及还本付息表'!F11</f>
        <v>8075.102045679706</v>
      </c>
      <c r="I364" s="308" t="s">
        <v>120</v>
      </c>
      <c r="J364" s="318"/>
      <c r="K364" s="321"/>
    </row>
    <row r="365" spans="2:11" x14ac:dyDescent="0.25">
      <c r="B365" s="414"/>
      <c r="C365" s="349">
        <v>10</v>
      </c>
      <c r="D365" s="332" t="s">
        <v>167</v>
      </c>
      <c r="E365" s="308"/>
      <c r="F365" s="326"/>
      <c r="G365" s="303"/>
      <c r="H365" s="319"/>
      <c r="I365" s="308"/>
      <c r="J365" s="318"/>
      <c r="K365" s="321"/>
    </row>
    <row r="366" spans="2:11" x14ac:dyDescent="0.25">
      <c r="B366" s="414"/>
      <c r="C366" s="352"/>
      <c r="D366" s="306" t="s">
        <v>168</v>
      </c>
      <c r="E366" s="308" t="s">
        <v>138</v>
      </c>
      <c r="F366" s="326"/>
      <c r="G366" s="303"/>
      <c r="H366" s="353">
        <f ca="1">H364*50%</f>
        <v>4037.551022839853</v>
      </c>
      <c r="I366" s="308" t="s">
        <v>120</v>
      </c>
      <c r="J366" s="318" t="s">
        <v>169</v>
      </c>
      <c r="K366" s="321"/>
    </row>
    <row r="367" spans="2:11" x14ac:dyDescent="0.25">
      <c r="B367" s="414"/>
      <c r="C367" s="352"/>
      <c r="D367" s="306" t="s">
        <v>170</v>
      </c>
      <c r="E367" s="308" t="s">
        <v>171</v>
      </c>
      <c r="F367" s="308"/>
      <c r="G367" s="303"/>
      <c r="H367" s="322">
        <v>0.1</v>
      </c>
      <c r="I367" s="308" t="s">
        <v>88</v>
      </c>
      <c r="J367" s="318" t="s">
        <v>172</v>
      </c>
      <c r="K367" s="321"/>
    </row>
    <row r="368" spans="2:11" x14ac:dyDescent="0.25">
      <c r="B368" s="414"/>
      <c r="C368" s="352"/>
      <c r="D368" s="306" t="s">
        <v>173</v>
      </c>
      <c r="E368" s="308" t="s">
        <v>42</v>
      </c>
      <c r="F368" s="308"/>
      <c r="G368" s="303"/>
      <c r="H368" s="322">
        <v>0</v>
      </c>
      <c r="I368" s="308" t="s">
        <v>88</v>
      </c>
      <c r="J368" s="318"/>
      <c r="K368" s="321"/>
    </row>
    <row r="369" spans="2:11" x14ac:dyDescent="0.25">
      <c r="B369" s="298"/>
      <c r="C369" s="349">
        <v>11</v>
      </c>
      <c r="D369" s="332" t="s">
        <v>174</v>
      </c>
      <c r="E369" s="308"/>
      <c r="F369" s="333"/>
      <c r="G369" s="303"/>
      <c r="H369" s="322"/>
      <c r="I369" s="308"/>
      <c r="J369" s="318"/>
      <c r="K369" s="321"/>
    </row>
    <row r="370" spans="2:11" x14ac:dyDescent="0.25">
      <c r="B370" s="298"/>
      <c r="C370" s="352"/>
      <c r="D370" s="306" t="s">
        <v>175</v>
      </c>
      <c r="E370" s="308" t="s">
        <v>176</v>
      </c>
      <c r="F370" s="333"/>
      <c r="G370" s="303"/>
      <c r="H370" s="319">
        <v>0</v>
      </c>
      <c r="I370" s="308" t="s">
        <v>120</v>
      </c>
      <c r="J370" s="318"/>
      <c r="K370" s="321"/>
    </row>
    <row r="371" spans="2:11" x14ac:dyDescent="0.25">
      <c r="B371" s="298"/>
      <c r="C371" s="352"/>
      <c r="D371" s="306" t="s">
        <v>177</v>
      </c>
      <c r="E371" s="308" t="s">
        <v>176</v>
      </c>
      <c r="F371" s="333"/>
      <c r="G371" s="303"/>
      <c r="H371" s="319">
        <v>0</v>
      </c>
      <c r="I371" s="308" t="s">
        <v>120</v>
      </c>
      <c r="J371" s="318"/>
      <c r="K371" s="321"/>
    </row>
    <row r="372" spans="2:11" ht="30" x14ac:dyDescent="0.25">
      <c r="B372" s="413" t="s">
        <v>178</v>
      </c>
      <c r="C372" s="323">
        <v>1</v>
      </c>
      <c r="D372" s="299" t="s">
        <v>179</v>
      </c>
      <c r="E372" s="308"/>
      <c r="F372" s="334" t="s">
        <v>180</v>
      </c>
      <c r="G372" s="318"/>
      <c r="H372" s="319"/>
      <c r="I372" s="308"/>
      <c r="J372" s="303"/>
      <c r="K372" s="321"/>
    </row>
    <row r="373" spans="2:11" x14ac:dyDescent="0.25">
      <c r="B373" s="409"/>
      <c r="C373" s="335">
        <v>1.1000000000000001</v>
      </c>
      <c r="D373" s="306" t="s">
        <v>181</v>
      </c>
      <c r="E373" s="308"/>
      <c r="F373" s="308"/>
      <c r="G373" s="318"/>
      <c r="H373" s="319"/>
      <c r="I373" s="308"/>
      <c r="J373" s="303"/>
      <c r="K373" s="321"/>
    </row>
    <row r="374" spans="2:11" x14ac:dyDescent="0.25">
      <c r="B374" s="409"/>
      <c r="C374" s="354"/>
      <c r="D374" s="355" t="s">
        <v>182</v>
      </c>
      <c r="E374" s="308" t="s">
        <v>42</v>
      </c>
      <c r="F374" s="308"/>
      <c r="G374" s="318"/>
      <c r="H374" s="319">
        <v>5200</v>
      </c>
      <c r="I374" s="356" t="s">
        <v>183</v>
      </c>
      <c r="J374" s="303"/>
      <c r="K374" s="321"/>
    </row>
    <row r="375" spans="2:11" x14ac:dyDescent="0.25">
      <c r="B375" s="409"/>
      <c r="C375" s="354"/>
      <c r="D375" s="355" t="s">
        <v>184</v>
      </c>
      <c r="E375" s="308" t="s">
        <v>42</v>
      </c>
      <c r="F375" s="308"/>
      <c r="G375" s="318"/>
      <c r="H375" s="319">
        <v>5200</v>
      </c>
      <c r="I375" s="356" t="s">
        <v>183</v>
      </c>
      <c r="J375" s="303"/>
      <c r="K375" s="321"/>
    </row>
    <row r="376" spans="2:11" x14ac:dyDescent="0.25">
      <c r="B376" s="409"/>
      <c r="C376" s="354"/>
      <c r="D376" s="355" t="s">
        <v>185</v>
      </c>
      <c r="E376" s="308" t="s">
        <v>42</v>
      </c>
      <c r="F376" s="308"/>
      <c r="G376" s="318"/>
      <c r="H376" s="319">
        <v>5200</v>
      </c>
      <c r="I376" s="356" t="s">
        <v>183</v>
      </c>
      <c r="J376" s="303"/>
      <c r="K376" s="321"/>
    </row>
    <row r="377" spans="2:11" x14ac:dyDescent="0.25">
      <c r="B377" s="409"/>
      <c r="C377" s="354"/>
      <c r="D377" s="355" t="s">
        <v>186</v>
      </c>
      <c r="E377" s="308" t="s">
        <v>42</v>
      </c>
      <c r="F377" s="308"/>
      <c r="G377" s="318"/>
      <c r="H377" s="319">
        <v>5200</v>
      </c>
      <c r="I377" s="356" t="s">
        <v>183</v>
      </c>
      <c r="J377" s="303"/>
      <c r="K377" s="321"/>
    </row>
    <row r="378" spans="2:11" x14ac:dyDescent="0.25">
      <c r="B378" s="409"/>
      <c r="C378" s="354">
        <v>1.2</v>
      </c>
      <c r="D378" s="306" t="s">
        <v>187</v>
      </c>
      <c r="E378" s="308" t="s">
        <v>77</v>
      </c>
      <c r="F378" s="308"/>
      <c r="G378" s="318" t="s">
        <v>188</v>
      </c>
      <c r="H378" s="322">
        <v>0</v>
      </c>
      <c r="I378" s="308" t="s">
        <v>88</v>
      </c>
      <c r="J378" s="303"/>
      <c r="K378" s="321"/>
    </row>
    <row r="379" spans="2:11" x14ac:dyDescent="0.25">
      <c r="B379" s="409"/>
      <c r="C379" s="323">
        <v>2</v>
      </c>
      <c r="D379" s="332" t="s">
        <v>189</v>
      </c>
      <c r="E379" s="308"/>
      <c r="F379" s="334" t="s">
        <v>190</v>
      </c>
      <c r="G379" s="318"/>
      <c r="H379" s="319"/>
      <c r="I379" s="308"/>
      <c r="J379" s="318"/>
      <c r="K379" s="321"/>
    </row>
    <row r="380" spans="2:11" x14ac:dyDescent="0.25">
      <c r="B380" s="409"/>
      <c r="C380" s="335">
        <v>2.1</v>
      </c>
      <c r="D380" s="306" t="s">
        <v>191</v>
      </c>
      <c r="E380" s="308"/>
      <c r="F380" s="334"/>
      <c r="G380" s="318"/>
      <c r="H380" s="319"/>
      <c r="I380" s="308"/>
      <c r="J380" s="318"/>
      <c r="K380" s="321"/>
    </row>
    <row r="381" spans="2:11" x14ac:dyDescent="0.25">
      <c r="B381" s="409"/>
      <c r="C381" s="335">
        <v>2.2000000000000002</v>
      </c>
      <c r="D381" s="306" t="s">
        <v>192</v>
      </c>
      <c r="E381" s="308"/>
      <c r="F381" s="308"/>
      <c r="G381" s="318"/>
      <c r="H381" s="319"/>
      <c r="I381" s="308"/>
      <c r="J381" s="318"/>
      <c r="K381" s="321"/>
    </row>
    <row r="382" spans="2:11" x14ac:dyDescent="0.25">
      <c r="B382" s="409"/>
      <c r="C382" s="354"/>
      <c r="D382" s="355" t="s">
        <v>182</v>
      </c>
      <c r="E382" s="308" t="s">
        <v>42</v>
      </c>
      <c r="F382" s="308"/>
      <c r="G382" s="318"/>
      <c r="H382" s="350">
        <v>1.4999999999999999E-2</v>
      </c>
      <c r="I382" s="308" t="s">
        <v>88</v>
      </c>
      <c r="J382" s="318"/>
      <c r="K382" s="321"/>
    </row>
    <row r="383" spans="2:11" x14ac:dyDescent="0.25">
      <c r="B383" s="409"/>
      <c r="C383" s="354"/>
      <c r="D383" s="355" t="s">
        <v>184</v>
      </c>
      <c r="E383" s="308" t="s">
        <v>42</v>
      </c>
      <c r="F383" s="308"/>
      <c r="G383" s="318"/>
      <c r="H383" s="350">
        <v>1.4999999999999999E-2</v>
      </c>
      <c r="I383" s="308" t="s">
        <v>88</v>
      </c>
      <c r="J383" s="318"/>
      <c r="K383" s="321"/>
    </row>
    <row r="384" spans="2:11" x14ac:dyDescent="0.25">
      <c r="B384" s="409"/>
      <c r="C384" s="354"/>
      <c r="D384" s="355" t="s">
        <v>185</v>
      </c>
      <c r="E384" s="308" t="s">
        <v>42</v>
      </c>
      <c r="F384" s="308"/>
      <c r="G384" s="318"/>
      <c r="H384" s="350">
        <v>1.4999999999999999E-2</v>
      </c>
      <c r="I384" s="308" t="s">
        <v>88</v>
      </c>
      <c r="J384" s="318"/>
      <c r="K384" s="321"/>
    </row>
    <row r="385" spans="2:11" x14ac:dyDescent="0.25">
      <c r="B385" s="409"/>
      <c r="C385" s="354"/>
      <c r="D385" s="355" t="s">
        <v>186</v>
      </c>
      <c r="E385" s="308" t="s">
        <v>42</v>
      </c>
      <c r="F385" s="308"/>
      <c r="G385" s="318"/>
      <c r="H385" s="350">
        <v>1.4999999999999999E-2</v>
      </c>
      <c r="I385" s="308" t="s">
        <v>88</v>
      </c>
      <c r="J385" s="318"/>
      <c r="K385" s="321"/>
    </row>
    <row r="386" spans="2:11" x14ac:dyDescent="0.25">
      <c r="B386" s="409"/>
      <c r="C386" s="335">
        <v>2.2999999999999998</v>
      </c>
      <c r="D386" s="306" t="s">
        <v>193</v>
      </c>
      <c r="E386" s="308" t="s">
        <v>77</v>
      </c>
      <c r="F386" s="308"/>
      <c r="G386" s="318" t="s">
        <v>188</v>
      </c>
      <c r="H386" s="322">
        <v>0</v>
      </c>
      <c r="I386" s="308" t="s">
        <v>88</v>
      </c>
      <c r="J386" s="318"/>
      <c r="K386" s="321"/>
    </row>
    <row r="387" spans="2:11" ht="33" customHeight="1" x14ac:dyDescent="0.25">
      <c r="B387" s="409"/>
      <c r="C387" s="323">
        <v>3</v>
      </c>
      <c r="D387" s="332" t="s">
        <v>194</v>
      </c>
      <c r="E387" s="308"/>
      <c r="F387" s="334" t="s">
        <v>195</v>
      </c>
      <c r="G387" s="318"/>
      <c r="H387" s="319"/>
      <c r="I387" s="308"/>
      <c r="J387" s="318"/>
      <c r="K387" s="321"/>
    </row>
    <row r="388" spans="2:11" ht="25.5" customHeight="1" x14ac:dyDescent="0.25">
      <c r="B388" s="409"/>
      <c r="C388" s="335">
        <v>3.1</v>
      </c>
      <c r="D388" s="306" t="s">
        <v>191</v>
      </c>
      <c r="E388" s="308"/>
      <c r="F388" s="333"/>
      <c r="G388" s="357"/>
      <c r="H388" s="319"/>
      <c r="I388" s="308"/>
      <c r="J388" s="357"/>
      <c r="K388" s="321"/>
    </row>
    <row r="389" spans="2:11" x14ac:dyDescent="0.25">
      <c r="B389" s="409"/>
      <c r="C389" s="335">
        <v>3.2</v>
      </c>
      <c r="D389" s="306" t="s">
        <v>192</v>
      </c>
      <c r="E389" s="308" t="s">
        <v>196</v>
      </c>
      <c r="F389" s="333"/>
      <c r="G389" s="357"/>
      <c r="H389" s="319"/>
      <c r="I389" s="308"/>
      <c r="J389" s="357"/>
      <c r="K389" s="321"/>
    </row>
    <row r="390" spans="2:11" x14ac:dyDescent="0.25">
      <c r="B390" s="409"/>
      <c r="C390" s="358"/>
      <c r="D390" s="355" t="s">
        <v>182</v>
      </c>
      <c r="E390" s="308" t="s">
        <v>42</v>
      </c>
      <c r="F390" s="333"/>
      <c r="G390" s="357"/>
      <c r="H390" s="359">
        <v>5.0000000000000001E-4</v>
      </c>
      <c r="I390" s="308" t="s">
        <v>88</v>
      </c>
      <c r="J390" s="357"/>
      <c r="K390" s="321"/>
    </row>
    <row r="391" spans="2:11" x14ac:dyDescent="0.25">
      <c r="B391" s="409"/>
      <c r="C391" s="358"/>
      <c r="D391" s="355" t="s">
        <v>184</v>
      </c>
      <c r="E391" s="308" t="s">
        <v>42</v>
      </c>
      <c r="F391" s="333"/>
      <c r="G391" s="357"/>
      <c r="H391" s="359">
        <v>5.0000000000000001E-4</v>
      </c>
      <c r="I391" s="308" t="s">
        <v>88</v>
      </c>
      <c r="J391" s="357"/>
      <c r="K391" s="321"/>
    </row>
    <row r="392" spans="2:11" x14ac:dyDescent="0.25">
      <c r="B392" s="409"/>
      <c r="C392" s="358"/>
      <c r="D392" s="355" t="s">
        <v>185</v>
      </c>
      <c r="E392" s="308" t="s">
        <v>42</v>
      </c>
      <c r="F392" s="333"/>
      <c r="G392" s="357"/>
      <c r="H392" s="359">
        <v>5.0000000000000001E-4</v>
      </c>
      <c r="I392" s="308" t="s">
        <v>88</v>
      </c>
      <c r="J392" s="357"/>
      <c r="K392" s="321"/>
    </row>
    <row r="393" spans="2:11" x14ac:dyDescent="0.25">
      <c r="B393" s="409"/>
      <c r="C393" s="358"/>
      <c r="D393" s="355" t="s">
        <v>186</v>
      </c>
      <c r="E393" s="308" t="s">
        <v>42</v>
      </c>
      <c r="F393" s="333"/>
      <c r="G393" s="357"/>
      <c r="H393" s="359">
        <v>5.0000000000000001E-4</v>
      </c>
      <c r="I393" s="308" t="s">
        <v>88</v>
      </c>
      <c r="J393" s="357"/>
      <c r="K393" s="321"/>
    </row>
    <row r="394" spans="2:11" x14ac:dyDescent="0.25">
      <c r="B394" s="409"/>
      <c r="C394" s="358">
        <v>3.2</v>
      </c>
      <c r="D394" s="306" t="s">
        <v>197</v>
      </c>
      <c r="E394" s="308" t="s">
        <v>77</v>
      </c>
      <c r="F394" s="308"/>
      <c r="G394" s="318" t="s">
        <v>188</v>
      </c>
      <c r="H394" s="322">
        <v>0</v>
      </c>
      <c r="I394" s="308" t="s">
        <v>88</v>
      </c>
      <c r="J394" s="357"/>
      <c r="K394" s="321"/>
    </row>
    <row r="395" spans="2:11" ht="43" customHeight="1" x14ac:dyDescent="0.25">
      <c r="B395" s="409"/>
      <c r="C395" s="360">
        <v>4</v>
      </c>
      <c r="D395" s="332" t="s">
        <v>198</v>
      </c>
      <c r="E395" s="308"/>
      <c r="F395" s="334" t="s">
        <v>199</v>
      </c>
      <c r="G395" s="357"/>
      <c r="H395" s="359"/>
      <c r="I395" s="308"/>
      <c r="J395" s="357"/>
      <c r="K395" s="321"/>
    </row>
    <row r="396" spans="2:11" ht="44" customHeight="1" x14ac:dyDescent="0.25">
      <c r="B396" s="409"/>
      <c r="C396" s="335">
        <v>4.0999999999999996</v>
      </c>
      <c r="D396" s="361" t="s">
        <v>200</v>
      </c>
      <c r="E396" s="308"/>
      <c r="F396" s="308"/>
      <c r="G396" s="318"/>
      <c r="H396" s="319"/>
      <c r="I396" s="308"/>
      <c r="J396" s="406"/>
      <c r="K396" s="321"/>
    </row>
    <row r="397" spans="2:11" ht="27" customHeight="1" x14ac:dyDescent="0.25">
      <c r="B397" s="409"/>
      <c r="C397" s="335"/>
      <c r="D397" s="336" t="s">
        <v>201</v>
      </c>
      <c r="E397" s="308" t="s">
        <v>42</v>
      </c>
      <c r="F397" s="308"/>
      <c r="G397" s="318"/>
      <c r="H397" s="319">
        <v>40</v>
      </c>
      <c r="I397" s="308" t="s">
        <v>202</v>
      </c>
      <c r="J397" s="407"/>
      <c r="K397" s="321"/>
    </row>
    <row r="398" spans="2:11" ht="21.5" customHeight="1" x14ac:dyDescent="0.25">
      <c r="B398" s="409"/>
      <c r="C398" s="335"/>
      <c r="D398" s="336" t="s">
        <v>203</v>
      </c>
      <c r="E398" s="308" t="s">
        <v>42</v>
      </c>
      <c r="F398" s="308"/>
      <c r="G398" s="318"/>
      <c r="H398" s="319">
        <v>0</v>
      </c>
      <c r="I398" s="308" t="s">
        <v>202</v>
      </c>
      <c r="J398" s="407"/>
      <c r="K398" s="321"/>
    </row>
    <row r="399" spans="2:11" ht="23" customHeight="1" x14ac:dyDescent="0.25">
      <c r="B399" s="409"/>
      <c r="C399" s="335">
        <v>4.2</v>
      </c>
      <c r="D399" s="361" t="s">
        <v>204</v>
      </c>
      <c r="E399" s="308"/>
      <c r="F399" s="308"/>
      <c r="G399" s="318"/>
      <c r="H399" s="319"/>
      <c r="I399" s="308" t="s">
        <v>205</v>
      </c>
      <c r="J399" s="407"/>
      <c r="K399" s="321"/>
    </row>
    <row r="400" spans="2:11" ht="23" customHeight="1" x14ac:dyDescent="0.25">
      <c r="B400" s="409"/>
      <c r="C400" s="335"/>
      <c r="D400" s="336" t="s">
        <v>206</v>
      </c>
      <c r="E400" s="308" t="s">
        <v>42</v>
      </c>
      <c r="F400" s="308"/>
      <c r="G400" s="318"/>
      <c r="H400" s="319">
        <v>12</v>
      </c>
      <c r="I400" s="308" t="s">
        <v>205</v>
      </c>
      <c r="J400" s="407"/>
      <c r="K400" s="321"/>
    </row>
    <row r="401" spans="2:11" ht="23" hidden="1" customHeight="1" x14ac:dyDescent="0.25">
      <c r="B401" s="409"/>
      <c r="C401" s="335"/>
      <c r="D401" s="336" t="s">
        <v>207</v>
      </c>
      <c r="E401" s="308" t="s">
        <v>42</v>
      </c>
      <c r="F401" s="308"/>
      <c r="G401" s="318"/>
      <c r="H401" s="319">
        <v>0</v>
      </c>
      <c r="I401" s="308" t="s">
        <v>205</v>
      </c>
      <c r="J401" s="407"/>
      <c r="K401" s="321"/>
    </row>
    <row r="402" spans="2:11" ht="23" customHeight="1" x14ac:dyDescent="0.25">
      <c r="B402" s="409"/>
      <c r="C402" s="335">
        <v>4.3</v>
      </c>
      <c r="D402" s="361" t="s">
        <v>208</v>
      </c>
      <c r="E402" s="308" t="s">
        <v>42</v>
      </c>
      <c r="F402" s="308"/>
      <c r="G402" s="318"/>
      <c r="H402" s="322">
        <v>0.6</v>
      </c>
      <c r="I402" s="308" t="s">
        <v>88</v>
      </c>
      <c r="J402" s="408"/>
      <c r="K402" s="321"/>
    </row>
    <row r="403" spans="2:11" ht="23" customHeight="1" x14ac:dyDescent="0.25">
      <c r="B403" s="409"/>
      <c r="C403" s="335">
        <v>4.4000000000000004</v>
      </c>
      <c r="D403" s="361" t="s">
        <v>209</v>
      </c>
      <c r="E403" s="308" t="s">
        <v>210</v>
      </c>
      <c r="F403" s="363"/>
      <c r="G403" s="364"/>
      <c r="H403" s="322">
        <v>0</v>
      </c>
      <c r="I403" s="308" t="s">
        <v>88</v>
      </c>
      <c r="J403" s="362"/>
      <c r="K403" s="321"/>
    </row>
    <row r="404" spans="2:11" ht="23" customHeight="1" x14ac:dyDescent="0.25">
      <c r="B404" s="409"/>
      <c r="C404" s="335">
        <v>4.5</v>
      </c>
      <c r="D404" s="306" t="s">
        <v>197</v>
      </c>
      <c r="E404" s="308" t="s">
        <v>77</v>
      </c>
      <c r="F404" s="308"/>
      <c r="G404" s="318" t="s">
        <v>188</v>
      </c>
      <c r="H404" s="322">
        <v>0</v>
      </c>
      <c r="I404" s="308" t="s">
        <v>88</v>
      </c>
      <c r="J404" s="362"/>
      <c r="K404" s="321"/>
    </row>
    <row r="405" spans="2:11" ht="57" customHeight="1" x14ac:dyDescent="0.25">
      <c r="B405" s="409"/>
      <c r="C405" s="323">
        <v>5</v>
      </c>
      <c r="D405" s="299" t="s">
        <v>21</v>
      </c>
      <c r="E405" s="308" t="s">
        <v>42</v>
      </c>
      <c r="F405" s="334" t="s">
        <v>180</v>
      </c>
      <c r="G405" s="318"/>
      <c r="H405" s="319">
        <v>2200</v>
      </c>
      <c r="I405" s="365" t="s">
        <v>183</v>
      </c>
      <c r="J405" s="318"/>
      <c r="K405" s="321"/>
    </row>
    <row r="406" spans="2:11" x14ac:dyDescent="0.25">
      <c r="B406" s="409"/>
      <c r="C406" s="323"/>
      <c r="D406" s="306" t="s">
        <v>197</v>
      </c>
      <c r="E406" s="308" t="s">
        <v>77</v>
      </c>
      <c r="F406" s="308"/>
      <c r="G406" s="318" t="s">
        <v>188</v>
      </c>
      <c r="H406" s="322">
        <v>0</v>
      </c>
      <c r="I406" s="308" t="s">
        <v>88</v>
      </c>
      <c r="J406" s="318"/>
      <c r="K406" s="321"/>
    </row>
    <row r="407" spans="2:11" ht="75" customHeight="1" x14ac:dyDescent="0.25">
      <c r="B407" s="409"/>
      <c r="C407" s="323">
        <v>6</v>
      </c>
      <c r="D407" s="299" t="s">
        <v>211</v>
      </c>
      <c r="E407" s="308"/>
      <c r="F407" s="334" t="s">
        <v>180</v>
      </c>
      <c r="G407" s="318"/>
      <c r="H407" s="319"/>
      <c r="I407" s="320"/>
      <c r="J407" s="321"/>
      <c r="K407" s="321"/>
    </row>
    <row r="408" spans="2:11" ht="26.5" customHeight="1" x14ac:dyDescent="0.25">
      <c r="B408" s="409"/>
      <c r="C408" s="354">
        <v>6.1</v>
      </c>
      <c r="D408" s="306" t="s">
        <v>211</v>
      </c>
      <c r="E408" s="308" t="s">
        <v>42</v>
      </c>
      <c r="F408" s="308"/>
      <c r="G408" s="318"/>
      <c r="H408" s="319">
        <v>200</v>
      </c>
      <c r="I408" s="320" t="s">
        <v>120</v>
      </c>
      <c r="J408" s="321"/>
      <c r="K408" s="321"/>
    </row>
    <row r="409" spans="2:11" ht="26.5" customHeight="1" x14ac:dyDescent="0.25">
      <c r="B409" s="409"/>
      <c r="C409" s="354">
        <v>6.4</v>
      </c>
      <c r="D409" s="306" t="s">
        <v>197</v>
      </c>
      <c r="E409" s="308" t="s">
        <v>77</v>
      </c>
      <c r="F409" s="308"/>
      <c r="G409" s="318" t="s">
        <v>188</v>
      </c>
      <c r="H409" s="322">
        <v>0</v>
      </c>
      <c r="I409" s="308" t="s">
        <v>88</v>
      </c>
      <c r="J409" s="321"/>
      <c r="K409" s="321"/>
    </row>
    <row r="410" spans="2:11" ht="51" customHeight="1" x14ac:dyDescent="0.25">
      <c r="B410" s="409"/>
      <c r="C410" s="354">
        <v>7</v>
      </c>
      <c r="D410" s="299" t="s">
        <v>212</v>
      </c>
      <c r="E410" s="308"/>
      <c r="F410" s="334" t="s">
        <v>180</v>
      </c>
      <c r="G410" s="318"/>
      <c r="H410" s="322"/>
      <c r="I410" s="308"/>
      <c r="J410" s="321"/>
      <c r="K410" s="321"/>
    </row>
    <row r="411" spans="2:11" ht="24" customHeight="1" x14ac:dyDescent="0.25">
      <c r="B411" s="409"/>
      <c r="C411" s="335">
        <v>7.1</v>
      </c>
      <c r="D411" s="306" t="s">
        <v>192</v>
      </c>
      <c r="E411" s="308" t="s">
        <v>42</v>
      </c>
      <c r="F411" s="308"/>
      <c r="G411" s="318"/>
      <c r="H411" s="322">
        <v>0</v>
      </c>
      <c r="I411" s="320" t="s">
        <v>88</v>
      </c>
      <c r="J411" s="321" t="s">
        <v>213</v>
      </c>
      <c r="K411" s="321"/>
    </row>
    <row r="412" spans="2:11" ht="39" customHeight="1" x14ac:dyDescent="0.25">
      <c r="B412" s="409"/>
      <c r="C412" s="335">
        <v>7.2</v>
      </c>
      <c r="D412" s="306" t="s">
        <v>191</v>
      </c>
      <c r="E412" s="308" t="s">
        <v>42</v>
      </c>
      <c r="F412" s="308"/>
      <c r="G412" s="318"/>
      <c r="H412" s="341">
        <f ca="1">参数输入表!H352</f>
        <v>67671.182327609407</v>
      </c>
      <c r="I412" s="320" t="s">
        <v>120</v>
      </c>
      <c r="J412" s="321"/>
      <c r="K412" s="321"/>
    </row>
    <row r="413" spans="2:11" ht="29.5" customHeight="1" x14ac:dyDescent="0.25">
      <c r="B413" s="409"/>
      <c r="C413" s="335">
        <v>7.3</v>
      </c>
      <c r="D413" s="306" t="s">
        <v>197</v>
      </c>
      <c r="E413" s="308" t="s">
        <v>77</v>
      </c>
      <c r="F413" s="308"/>
      <c r="G413" s="318" t="s">
        <v>188</v>
      </c>
      <c r="H413" s="322">
        <v>0</v>
      </c>
      <c r="I413" s="308" t="s">
        <v>88</v>
      </c>
      <c r="J413" s="321"/>
      <c r="K413" s="321"/>
    </row>
    <row r="414" spans="2:11" ht="29.5" customHeight="1" x14ac:dyDescent="0.25">
      <c r="B414" s="409"/>
      <c r="C414" s="335">
        <v>8</v>
      </c>
      <c r="D414" s="306" t="s">
        <v>214</v>
      </c>
      <c r="E414" s="308"/>
      <c r="F414" s="308"/>
      <c r="G414" s="318"/>
      <c r="H414" s="322"/>
      <c r="I414" s="308"/>
      <c r="J414" s="321"/>
      <c r="K414" s="321"/>
    </row>
    <row r="415" spans="2:11" ht="29.5" customHeight="1" x14ac:dyDescent="0.25">
      <c r="B415" s="409"/>
      <c r="C415" s="335"/>
      <c r="D415" s="299" t="s">
        <v>215</v>
      </c>
      <c r="E415" s="308"/>
      <c r="F415" s="308"/>
      <c r="G415" s="321"/>
      <c r="H415" s="319"/>
      <c r="I415" s="320"/>
      <c r="J415" s="321"/>
      <c r="K415" s="321"/>
    </row>
    <row r="416" spans="2:11" ht="20" customHeight="1" x14ac:dyDescent="0.25">
      <c r="B416" s="409"/>
      <c r="C416" s="335">
        <v>1</v>
      </c>
      <c r="D416" s="366" t="s">
        <v>51</v>
      </c>
      <c r="E416" s="344"/>
      <c r="F416" s="367"/>
      <c r="G416" s="368" t="s">
        <v>216</v>
      </c>
      <c r="H416" s="369"/>
      <c r="I416" s="370"/>
      <c r="J416" s="330"/>
      <c r="K416" s="321"/>
    </row>
    <row r="417" spans="2:11" ht="20" customHeight="1" x14ac:dyDescent="0.25">
      <c r="B417" s="409"/>
      <c r="C417" s="335"/>
      <c r="D417" s="371" t="s">
        <v>217</v>
      </c>
      <c r="E417" s="344" t="s">
        <v>42</v>
      </c>
      <c r="F417" s="367"/>
      <c r="G417" s="368"/>
      <c r="H417" s="369">
        <f>IF(H8-H35-H56-H77&lt;0,0,H8-H35-H56-H77)</f>
        <v>16721.5</v>
      </c>
      <c r="I417" s="370"/>
      <c r="J417" s="330"/>
      <c r="K417" s="321"/>
    </row>
    <row r="418" spans="2:11" ht="20" customHeight="1" x14ac:dyDescent="0.25">
      <c r="B418" s="409"/>
      <c r="C418" s="335"/>
      <c r="D418" s="371" t="s">
        <v>218</v>
      </c>
      <c r="E418" s="344" t="s">
        <v>138</v>
      </c>
      <c r="F418" s="367"/>
      <c r="G418" s="368"/>
      <c r="H418" s="369">
        <f>SUM(H419:H424)</f>
        <v>0.25</v>
      </c>
      <c r="I418" s="370"/>
      <c r="J418" s="330"/>
      <c r="K418" s="321"/>
    </row>
    <row r="419" spans="2:11" ht="20" customHeight="1" x14ac:dyDescent="0.25">
      <c r="B419" s="409"/>
      <c r="C419" s="335"/>
      <c r="D419" s="372" t="s">
        <v>219</v>
      </c>
      <c r="E419" s="344" t="s">
        <v>42</v>
      </c>
      <c r="F419" s="367"/>
      <c r="G419" s="368"/>
      <c r="H419" s="369">
        <v>0.25</v>
      </c>
      <c r="I419" s="370"/>
      <c r="J419" s="330"/>
      <c r="K419" s="321"/>
    </row>
    <row r="420" spans="2:11" ht="20" customHeight="1" x14ac:dyDescent="0.25">
      <c r="B420" s="409"/>
      <c r="C420" s="335"/>
      <c r="D420" s="372" t="s">
        <v>220</v>
      </c>
      <c r="E420" s="344" t="s">
        <v>42</v>
      </c>
      <c r="F420" s="367"/>
      <c r="G420" s="368"/>
      <c r="H420" s="369"/>
      <c r="I420" s="370"/>
      <c r="J420" s="330"/>
      <c r="K420" s="321"/>
    </row>
    <row r="421" spans="2:11" ht="20" customHeight="1" x14ac:dyDescent="0.25">
      <c r="B421" s="409"/>
      <c r="C421" s="335"/>
      <c r="D421" s="371" t="s">
        <v>221</v>
      </c>
      <c r="E421" s="344" t="s">
        <v>42</v>
      </c>
      <c r="F421" s="367"/>
      <c r="G421" s="368"/>
      <c r="H421" s="369"/>
      <c r="I421" s="370"/>
      <c r="J421" s="330"/>
      <c r="K421" s="321"/>
    </row>
    <row r="422" spans="2:11" ht="20" customHeight="1" x14ac:dyDescent="0.25">
      <c r="B422" s="409"/>
      <c r="C422" s="335"/>
      <c r="D422" s="371" t="s">
        <v>222</v>
      </c>
      <c r="E422" s="344" t="s">
        <v>42</v>
      </c>
      <c r="F422" s="367"/>
      <c r="G422" s="368"/>
      <c r="H422" s="369"/>
      <c r="I422" s="370"/>
      <c r="J422" s="330"/>
      <c r="K422" s="321"/>
    </row>
    <row r="423" spans="2:11" ht="20" customHeight="1" x14ac:dyDescent="0.25">
      <c r="B423" s="409"/>
      <c r="C423" s="335"/>
      <c r="D423" s="371" t="s">
        <v>223</v>
      </c>
      <c r="E423" s="344" t="s">
        <v>42</v>
      </c>
      <c r="F423" s="367"/>
      <c r="G423" s="368"/>
      <c r="H423" s="369"/>
      <c r="I423" s="370"/>
      <c r="J423" s="330"/>
      <c r="K423" s="321"/>
    </row>
    <row r="424" spans="2:11" ht="20" customHeight="1" x14ac:dyDescent="0.25">
      <c r="B424" s="409"/>
      <c r="C424" s="335"/>
      <c r="D424" s="371" t="s">
        <v>224</v>
      </c>
      <c r="E424" s="344" t="s">
        <v>42</v>
      </c>
      <c r="F424" s="367"/>
      <c r="G424" s="368"/>
      <c r="H424" s="369"/>
      <c r="I424" s="370"/>
      <c r="J424" s="330"/>
      <c r="K424" s="321"/>
    </row>
    <row r="425" spans="2:11" ht="20" customHeight="1" x14ac:dyDescent="0.25">
      <c r="B425" s="409"/>
      <c r="C425" s="335"/>
      <c r="D425" s="366" t="s">
        <v>53</v>
      </c>
      <c r="E425" s="344"/>
      <c r="F425" s="367"/>
      <c r="G425" s="368"/>
      <c r="H425" s="369"/>
      <c r="I425" s="370"/>
      <c r="J425" s="321"/>
      <c r="K425" s="321"/>
    </row>
    <row r="426" spans="2:11" ht="20" customHeight="1" x14ac:dyDescent="0.25">
      <c r="B426" s="409"/>
      <c r="C426" s="335"/>
      <c r="D426" s="371" t="s">
        <v>217</v>
      </c>
      <c r="E426" s="344" t="s">
        <v>42</v>
      </c>
      <c r="F426" s="367"/>
      <c r="G426" s="368"/>
      <c r="H426" s="369">
        <f>IF(H9-H36-H57-H78&lt;0,0,H9-H36-H57-H78)</f>
        <v>16981.239999999998</v>
      </c>
      <c r="I426" s="370"/>
      <c r="J426" s="321"/>
      <c r="K426" s="321"/>
    </row>
    <row r="427" spans="2:11" ht="20" customHeight="1" x14ac:dyDescent="0.25">
      <c r="B427" s="409"/>
      <c r="C427" s="335"/>
      <c r="D427" s="371" t="s">
        <v>218</v>
      </c>
      <c r="E427" s="344" t="s">
        <v>138</v>
      </c>
      <c r="F427" s="367"/>
      <c r="G427" s="368"/>
      <c r="H427" s="369">
        <f>SUM(H428:H433)</f>
        <v>0.25</v>
      </c>
      <c r="I427" s="370"/>
      <c r="J427" s="321"/>
      <c r="K427" s="321"/>
    </row>
    <row r="428" spans="2:11" ht="20" customHeight="1" x14ac:dyDescent="0.25">
      <c r="B428" s="409"/>
      <c r="C428" s="335"/>
      <c r="D428" s="372" t="s">
        <v>219</v>
      </c>
      <c r="E428" s="344" t="s">
        <v>42</v>
      </c>
      <c r="F428" s="367"/>
      <c r="G428" s="368"/>
      <c r="H428" s="369">
        <v>0.25</v>
      </c>
      <c r="I428" s="370"/>
      <c r="J428" s="330"/>
      <c r="K428" s="321"/>
    </row>
    <row r="429" spans="2:11" ht="20" customHeight="1" x14ac:dyDescent="0.25">
      <c r="B429" s="409"/>
      <c r="C429" s="335"/>
      <c r="D429" s="372" t="s">
        <v>220</v>
      </c>
      <c r="E429" s="344" t="s">
        <v>42</v>
      </c>
      <c r="F429" s="367"/>
      <c r="G429" s="368"/>
      <c r="H429" s="369"/>
      <c r="I429" s="370"/>
      <c r="J429" s="330"/>
      <c r="K429" s="321"/>
    </row>
    <row r="430" spans="2:11" ht="20" customHeight="1" x14ac:dyDescent="0.25">
      <c r="B430" s="409"/>
      <c r="C430" s="335"/>
      <c r="D430" s="371" t="s">
        <v>221</v>
      </c>
      <c r="E430" s="344" t="s">
        <v>42</v>
      </c>
      <c r="F430" s="367"/>
      <c r="G430" s="368"/>
      <c r="H430" s="369"/>
      <c r="I430" s="370"/>
      <c r="J430" s="321"/>
      <c r="K430" s="321"/>
    </row>
    <row r="431" spans="2:11" ht="20" customHeight="1" x14ac:dyDescent="0.25">
      <c r="B431" s="409"/>
      <c r="C431" s="335"/>
      <c r="D431" s="371" t="s">
        <v>222</v>
      </c>
      <c r="E431" s="344" t="s">
        <v>42</v>
      </c>
      <c r="F431" s="367"/>
      <c r="G431" s="368"/>
      <c r="H431" s="369"/>
      <c r="I431" s="370"/>
      <c r="J431" s="321"/>
      <c r="K431" s="321"/>
    </row>
    <row r="432" spans="2:11" ht="20" customHeight="1" x14ac:dyDescent="0.25">
      <c r="B432" s="409"/>
      <c r="C432" s="335"/>
      <c r="D432" s="371" t="s">
        <v>223</v>
      </c>
      <c r="E432" s="344" t="s">
        <v>42</v>
      </c>
      <c r="F432" s="367"/>
      <c r="G432" s="368"/>
      <c r="H432" s="369"/>
      <c r="I432" s="370"/>
      <c r="J432" s="321"/>
      <c r="K432" s="321"/>
    </row>
    <row r="433" spans="2:11" ht="20" customHeight="1" x14ac:dyDescent="0.25">
      <c r="B433" s="409"/>
      <c r="C433" s="335"/>
      <c r="D433" s="371" t="s">
        <v>224</v>
      </c>
      <c r="E433" s="344" t="s">
        <v>42</v>
      </c>
      <c r="F433" s="367"/>
      <c r="G433" s="368"/>
      <c r="H433" s="369"/>
      <c r="I433" s="370"/>
      <c r="J433" s="321"/>
      <c r="K433" s="321"/>
    </row>
    <row r="434" spans="2:11" ht="20" customHeight="1" x14ac:dyDescent="0.25">
      <c r="B434" s="409"/>
      <c r="C434" s="335"/>
      <c r="D434" s="366" t="s">
        <v>54</v>
      </c>
      <c r="E434" s="344"/>
      <c r="F434" s="367"/>
      <c r="G434" s="368"/>
      <c r="H434" s="369"/>
      <c r="I434" s="370"/>
      <c r="J434" s="321"/>
      <c r="K434" s="321"/>
    </row>
    <row r="435" spans="2:11" ht="20" customHeight="1" x14ac:dyDescent="0.25">
      <c r="B435" s="409"/>
      <c r="C435" s="335"/>
      <c r="D435" s="371" t="s">
        <v>217</v>
      </c>
      <c r="E435" s="344" t="s">
        <v>42</v>
      </c>
      <c r="F435" s="367"/>
      <c r="G435" s="368"/>
      <c r="H435" s="369">
        <f>IF(H10-H37-H58-H79&lt;0,0,H10-H37-H58-H79)</f>
        <v>17240.01772</v>
      </c>
      <c r="I435" s="370"/>
      <c r="J435" s="321"/>
      <c r="K435" s="321"/>
    </row>
    <row r="436" spans="2:11" ht="20" customHeight="1" x14ac:dyDescent="0.25">
      <c r="B436" s="409"/>
      <c r="C436" s="335"/>
      <c r="D436" s="371" t="s">
        <v>218</v>
      </c>
      <c r="E436" s="344" t="s">
        <v>138</v>
      </c>
      <c r="F436" s="367"/>
      <c r="G436" s="368"/>
      <c r="H436" s="369">
        <f>SUM(H437:H442)</f>
        <v>0.25</v>
      </c>
      <c r="I436" s="370"/>
      <c r="J436" s="321"/>
      <c r="K436" s="321"/>
    </row>
    <row r="437" spans="2:11" ht="20" customHeight="1" x14ac:dyDescent="0.25">
      <c r="B437" s="409"/>
      <c r="C437" s="335"/>
      <c r="D437" s="372" t="s">
        <v>219</v>
      </c>
      <c r="E437" s="344" t="s">
        <v>42</v>
      </c>
      <c r="F437" s="367"/>
      <c r="G437" s="368"/>
      <c r="H437" s="369">
        <v>0.25</v>
      </c>
      <c r="I437" s="370"/>
      <c r="J437" s="330"/>
      <c r="K437" s="321"/>
    </row>
    <row r="438" spans="2:11" ht="20" customHeight="1" x14ac:dyDescent="0.25">
      <c r="B438" s="409"/>
      <c r="C438" s="335"/>
      <c r="D438" s="372" t="s">
        <v>220</v>
      </c>
      <c r="E438" s="344" t="s">
        <v>42</v>
      </c>
      <c r="F438" s="367"/>
      <c r="G438" s="368"/>
      <c r="H438" s="369"/>
      <c r="I438" s="370"/>
      <c r="J438" s="330"/>
      <c r="K438" s="321"/>
    </row>
    <row r="439" spans="2:11" ht="20" customHeight="1" x14ac:dyDescent="0.25">
      <c r="B439" s="409"/>
      <c r="C439" s="335"/>
      <c r="D439" s="371" t="s">
        <v>221</v>
      </c>
      <c r="E439" s="344" t="s">
        <v>42</v>
      </c>
      <c r="F439" s="367"/>
      <c r="G439" s="368"/>
      <c r="H439" s="369"/>
      <c r="I439" s="370"/>
      <c r="J439" s="321"/>
      <c r="K439" s="321"/>
    </row>
    <row r="440" spans="2:11" ht="20" customHeight="1" x14ac:dyDescent="0.25">
      <c r="B440" s="409"/>
      <c r="C440" s="335"/>
      <c r="D440" s="371" t="s">
        <v>222</v>
      </c>
      <c r="E440" s="344" t="s">
        <v>42</v>
      </c>
      <c r="F440" s="367"/>
      <c r="G440" s="368"/>
      <c r="H440" s="369"/>
      <c r="I440" s="370"/>
      <c r="J440" s="321"/>
      <c r="K440" s="321"/>
    </row>
    <row r="441" spans="2:11" ht="20" customHeight="1" x14ac:dyDescent="0.25">
      <c r="B441" s="409"/>
      <c r="C441" s="335"/>
      <c r="D441" s="371" t="s">
        <v>223</v>
      </c>
      <c r="E441" s="344" t="s">
        <v>42</v>
      </c>
      <c r="F441" s="367"/>
      <c r="G441" s="368"/>
      <c r="H441" s="369"/>
      <c r="I441" s="370"/>
      <c r="J441" s="321"/>
      <c r="K441" s="321"/>
    </row>
    <row r="442" spans="2:11" ht="20" customHeight="1" x14ac:dyDescent="0.25">
      <c r="B442" s="409"/>
      <c r="C442" s="335"/>
      <c r="D442" s="371" t="s">
        <v>224</v>
      </c>
      <c r="E442" s="344" t="s">
        <v>42</v>
      </c>
      <c r="F442" s="367"/>
      <c r="G442" s="368"/>
      <c r="H442" s="369"/>
      <c r="I442" s="370"/>
      <c r="J442" s="321"/>
      <c r="K442" s="321"/>
    </row>
    <row r="443" spans="2:11" ht="20" customHeight="1" x14ac:dyDescent="0.25">
      <c r="B443" s="409"/>
      <c r="C443" s="335"/>
      <c r="D443" s="366" t="s">
        <v>55</v>
      </c>
      <c r="E443" s="344"/>
      <c r="F443" s="367"/>
      <c r="G443" s="368"/>
      <c r="H443" s="369"/>
      <c r="I443" s="370"/>
      <c r="J443" s="321"/>
      <c r="K443" s="321"/>
    </row>
    <row r="444" spans="2:11" ht="20" customHeight="1" x14ac:dyDescent="0.25">
      <c r="B444" s="409"/>
      <c r="C444" s="335"/>
      <c r="D444" s="371" t="s">
        <v>217</v>
      </c>
      <c r="E444" s="344" t="s">
        <v>42</v>
      </c>
      <c r="F444" s="367"/>
      <c r="G444" s="368"/>
      <c r="H444" s="369">
        <f>IF(H11-H38-H59-H80&lt;0,0,H11-H38-H59-H80)</f>
        <v>17497.837490260008</v>
      </c>
      <c r="I444" s="370"/>
      <c r="J444" s="321"/>
      <c r="K444" s="321"/>
    </row>
    <row r="445" spans="2:11" ht="20" customHeight="1" x14ac:dyDescent="0.25">
      <c r="B445" s="409"/>
      <c r="C445" s="335"/>
      <c r="D445" s="371" t="s">
        <v>218</v>
      </c>
      <c r="E445" s="344" t="s">
        <v>138</v>
      </c>
      <c r="F445" s="367"/>
      <c r="G445" s="368"/>
      <c r="H445" s="369">
        <f>SUM(H446:H451)</f>
        <v>0.25</v>
      </c>
      <c r="I445" s="370"/>
      <c r="J445" s="321"/>
      <c r="K445" s="321"/>
    </row>
    <row r="446" spans="2:11" ht="20" customHeight="1" x14ac:dyDescent="0.25">
      <c r="B446" s="409"/>
      <c r="C446" s="335"/>
      <c r="D446" s="372" t="s">
        <v>219</v>
      </c>
      <c r="E446" s="344" t="s">
        <v>42</v>
      </c>
      <c r="F446" s="367"/>
      <c r="G446" s="368"/>
      <c r="H446" s="369">
        <v>0.25</v>
      </c>
      <c r="I446" s="370"/>
      <c r="J446" s="330"/>
      <c r="K446" s="321"/>
    </row>
    <row r="447" spans="2:11" ht="20" customHeight="1" x14ac:dyDescent="0.25">
      <c r="B447" s="409"/>
      <c r="C447" s="335"/>
      <c r="D447" s="372" t="s">
        <v>220</v>
      </c>
      <c r="E447" s="344" t="s">
        <v>42</v>
      </c>
      <c r="F447" s="367"/>
      <c r="G447" s="368"/>
      <c r="H447" s="369"/>
      <c r="I447" s="370"/>
      <c r="J447" s="330"/>
      <c r="K447" s="321"/>
    </row>
    <row r="448" spans="2:11" ht="20" customHeight="1" x14ac:dyDescent="0.25">
      <c r="B448" s="409"/>
      <c r="C448" s="335"/>
      <c r="D448" s="371" t="s">
        <v>221</v>
      </c>
      <c r="E448" s="344" t="s">
        <v>42</v>
      </c>
      <c r="F448" s="367"/>
      <c r="G448" s="368"/>
      <c r="H448" s="369"/>
      <c r="I448" s="370"/>
      <c r="J448" s="321"/>
      <c r="K448" s="321"/>
    </row>
    <row r="449" spans="2:11" ht="20" customHeight="1" x14ac:dyDescent="0.25">
      <c r="B449" s="409"/>
      <c r="C449" s="335"/>
      <c r="D449" s="371" t="s">
        <v>222</v>
      </c>
      <c r="E449" s="344" t="s">
        <v>42</v>
      </c>
      <c r="F449" s="367"/>
      <c r="G449" s="368"/>
      <c r="H449" s="369"/>
      <c r="I449" s="370"/>
      <c r="J449" s="321"/>
      <c r="K449" s="321"/>
    </row>
    <row r="450" spans="2:11" ht="20" customHeight="1" x14ac:dyDescent="0.25">
      <c r="B450" s="409"/>
      <c r="C450" s="335"/>
      <c r="D450" s="371" t="s">
        <v>223</v>
      </c>
      <c r="E450" s="344" t="s">
        <v>42</v>
      </c>
      <c r="F450" s="367"/>
      <c r="G450" s="368"/>
      <c r="H450" s="369"/>
      <c r="I450" s="370"/>
      <c r="J450" s="321"/>
      <c r="K450" s="321"/>
    </row>
    <row r="451" spans="2:11" ht="20" customHeight="1" x14ac:dyDescent="0.25">
      <c r="B451" s="409"/>
      <c r="C451" s="335"/>
      <c r="D451" s="371" t="s">
        <v>224</v>
      </c>
      <c r="E451" s="344" t="s">
        <v>42</v>
      </c>
      <c r="F451" s="367"/>
      <c r="G451" s="368"/>
      <c r="H451" s="369"/>
      <c r="I451" s="370"/>
      <c r="J451" s="321"/>
      <c r="K451" s="321"/>
    </row>
    <row r="452" spans="2:11" ht="20" customHeight="1" x14ac:dyDescent="0.25">
      <c r="B452" s="409"/>
      <c r="C452" s="335"/>
      <c r="D452" s="366" t="s">
        <v>56</v>
      </c>
      <c r="E452" s="344"/>
      <c r="F452" s="367"/>
      <c r="G452" s="368"/>
      <c r="H452" s="369"/>
      <c r="I452" s="370"/>
      <c r="J452" s="321"/>
      <c r="K452" s="321"/>
    </row>
    <row r="453" spans="2:11" ht="20" customHeight="1" x14ac:dyDescent="0.25">
      <c r="B453" s="409"/>
      <c r="C453" s="335"/>
      <c r="D453" s="371" t="s">
        <v>217</v>
      </c>
      <c r="E453" s="344" t="s">
        <v>42</v>
      </c>
      <c r="F453" s="367"/>
      <c r="G453" s="368"/>
      <c r="H453" s="369">
        <f>IF(H12-H39-H60-H81&lt;0,0,H12-H39-H60-H81)</f>
        <v>17754.703621553803</v>
      </c>
      <c r="I453" s="370"/>
      <c r="J453" s="321"/>
      <c r="K453" s="321"/>
    </row>
    <row r="454" spans="2:11" ht="20" customHeight="1" x14ac:dyDescent="0.25">
      <c r="B454" s="409"/>
      <c r="C454" s="335"/>
      <c r="D454" s="371" t="s">
        <v>218</v>
      </c>
      <c r="E454" s="344" t="s">
        <v>138</v>
      </c>
      <c r="F454" s="367"/>
      <c r="G454" s="368"/>
      <c r="H454" s="369">
        <f>SUM(H455:H460)</f>
        <v>0.25</v>
      </c>
      <c r="I454" s="370"/>
      <c r="J454" s="321"/>
      <c r="K454" s="321"/>
    </row>
    <row r="455" spans="2:11" ht="20" customHeight="1" x14ac:dyDescent="0.25">
      <c r="B455" s="409"/>
      <c r="C455" s="335"/>
      <c r="D455" s="372" t="s">
        <v>219</v>
      </c>
      <c r="E455" s="344" t="s">
        <v>42</v>
      </c>
      <c r="F455" s="367"/>
      <c r="G455" s="368"/>
      <c r="H455" s="369">
        <v>0.25</v>
      </c>
      <c r="I455" s="370"/>
      <c r="J455" s="330"/>
      <c r="K455" s="321"/>
    </row>
    <row r="456" spans="2:11" ht="20" customHeight="1" x14ac:dyDescent="0.25">
      <c r="B456" s="409"/>
      <c r="C456" s="335"/>
      <c r="D456" s="372" t="s">
        <v>220</v>
      </c>
      <c r="E456" s="344" t="s">
        <v>42</v>
      </c>
      <c r="F456" s="367"/>
      <c r="G456" s="368"/>
      <c r="H456" s="369"/>
      <c r="I456" s="370"/>
      <c r="J456" s="330"/>
      <c r="K456" s="321"/>
    </row>
    <row r="457" spans="2:11" ht="20" customHeight="1" x14ac:dyDescent="0.25">
      <c r="B457" s="409"/>
      <c r="C457" s="335"/>
      <c r="D457" s="371" t="s">
        <v>221</v>
      </c>
      <c r="E457" s="344" t="s">
        <v>42</v>
      </c>
      <c r="F457" s="367"/>
      <c r="G457" s="368"/>
      <c r="H457" s="369"/>
      <c r="I457" s="370"/>
      <c r="J457" s="321"/>
      <c r="K457" s="321"/>
    </row>
    <row r="458" spans="2:11" ht="20" customHeight="1" x14ac:dyDescent="0.25">
      <c r="B458" s="409"/>
      <c r="C458" s="335"/>
      <c r="D458" s="371" t="s">
        <v>222</v>
      </c>
      <c r="E458" s="344" t="s">
        <v>42</v>
      </c>
      <c r="F458" s="367"/>
      <c r="G458" s="368"/>
      <c r="H458" s="369"/>
      <c r="I458" s="370"/>
      <c r="J458" s="321"/>
      <c r="K458" s="321"/>
    </row>
    <row r="459" spans="2:11" ht="20" customHeight="1" x14ac:dyDescent="0.25">
      <c r="B459" s="409"/>
      <c r="C459" s="335"/>
      <c r="D459" s="371" t="s">
        <v>223</v>
      </c>
      <c r="E459" s="344" t="s">
        <v>42</v>
      </c>
      <c r="F459" s="367"/>
      <c r="G459" s="368"/>
      <c r="H459" s="369"/>
      <c r="I459" s="370"/>
      <c r="J459" s="321"/>
      <c r="K459" s="321"/>
    </row>
    <row r="460" spans="2:11" ht="20" customHeight="1" x14ac:dyDescent="0.25">
      <c r="B460" s="409"/>
      <c r="C460" s="335"/>
      <c r="D460" s="371" t="s">
        <v>224</v>
      </c>
      <c r="E460" s="344" t="s">
        <v>42</v>
      </c>
      <c r="F460" s="367"/>
      <c r="G460" s="368"/>
      <c r="H460" s="369"/>
      <c r="I460" s="370"/>
      <c r="J460" s="321"/>
      <c r="K460" s="321"/>
    </row>
    <row r="461" spans="2:11" ht="20" customHeight="1" x14ac:dyDescent="0.25">
      <c r="B461" s="409"/>
      <c r="C461" s="335"/>
      <c r="D461" s="371" t="s">
        <v>57</v>
      </c>
      <c r="E461" s="344"/>
      <c r="F461" s="367"/>
      <c r="G461" s="368"/>
      <c r="H461" s="369"/>
      <c r="I461" s="370"/>
      <c r="J461" s="321"/>
      <c r="K461" s="321"/>
    </row>
    <row r="462" spans="2:11" ht="20" customHeight="1" x14ac:dyDescent="0.25">
      <c r="B462" s="409"/>
      <c r="C462" s="335"/>
      <c r="D462" s="371" t="s">
        <v>217</v>
      </c>
      <c r="E462" s="344" t="s">
        <v>42</v>
      </c>
      <c r="F462" s="367"/>
      <c r="G462" s="368"/>
      <c r="H462" s="369">
        <f>IF(H13-H40-H61-H82&lt;0,0,H13-H40-H61-H82)</f>
        <v>0</v>
      </c>
      <c r="I462" s="370"/>
      <c r="J462" s="321"/>
      <c r="K462" s="321"/>
    </row>
    <row r="463" spans="2:11" ht="20" customHeight="1" x14ac:dyDescent="0.25">
      <c r="B463" s="409"/>
      <c r="C463" s="335"/>
      <c r="D463" s="371" t="s">
        <v>218</v>
      </c>
      <c r="E463" s="344" t="s">
        <v>138</v>
      </c>
      <c r="F463" s="367"/>
      <c r="G463" s="368"/>
      <c r="H463" s="369">
        <f>SUM(H464:H469)</f>
        <v>0.25</v>
      </c>
      <c r="I463" s="370"/>
      <c r="J463" s="321"/>
      <c r="K463" s="321"/>
    </row>
    <row r="464" spans="2:11" ht="20" customHeight="1" x14ac:dyDescent="0.25">
      <c r="B464" s="409"/>
      <c r="C464" s="335"/>
      <c r="D464" s="372" t="s">
        <v>219</v>
      </c>
      <c r="E464" s="344" t="s">
        <v>42</v>
      </c>
      <c r="F464" s="367"/>
      <c r="G464" s="368"/>
      <c r="H464" s="369">
        <v>0.25</v>
      </c>
      <c r="I464" s="370"/>
      <c r="J464" s="330"/>
      <c r="K464" s="321"/>
    </row>
    <row r="465" spans="2:11" ht="20" customHeight="1" x14ac:dyDescent="0.25">
      <c r="B465" s="409"/>
      <c r="C465" s="335"/>
      <c r="D465" s="372" t="s">
        <v>220</v>
      </c>
      <c r="E465" s="344" t="s">
        <v>42</v>
      </c>
      <c r="F465" s="367"/>
      <c r="G465" s="368"/>
      <c r="H465" s="369"/>
      <c r="I465" s="370"/>
      <c r="J465" s="330"/>
      <c r="K465" s="321"/>
    </row>
    <row r="466" spans="2:11" ht="20" customHeight="1" x14ac:dyDescent="0.25">
      <c r="B466" s="409"/>
      <c r="C466" s="335"/>
      <c r="D466" s="371" t="s">
        <v>221</v>
      </c>
      <c r="E466" s="344" t="s">
        <v>42</v>
      </c>
      <c r="F466" s="367"/>
      <c r="G466" s="368"/>
      <c r="H466" s="369"/>
      <c r="I466" s="370"/>
      <c r="J466" s="321"/>
      <c r="K466" s="321"/>
    </row>
    <row r="467" spans="2:11" ht="20" customHeight="1" x14ac:dyDescent="0.25">
      <c r="B467" s="409"/>
      <c r="C467" s="335"/>
      <c r="D467" s="371" t="s">
        <v>222</v>
      </c>
      <c r="E467" s="344" t="s">
        <v>42</v>
      </c>
      <c r="F467" s="367"/>
      <c r="G467" s="368"/>
      <c r="H467" s="369"/>
      <c r="I467" s="370"/>
      <c r="J467" s="321"/>
      <c r="K467" s="321"/>
    </row>
    <row r="468" spans="2:11" ht="20" customHeight="1" x14ac:dyDescent="0.25">
      <c r="B468" s="409"/>
      <c r="C468" s="335"/>
      <c r="D468" s="371" t="s">
        <v>223</v>
      </c>
      <c r="E468" s="344" t="s">
        <v>42</v>
      </c>
      <c r="F468" s="367"/>
      <c r="G468" s="368"/>
      <c r="H468" s="369"/>
      <c r="I468" s="370"/>
      <c r="J468" s="321"/>
      <c r="K468" s="321"/>
    </row>
    <row r="469" spans="2:11" ht="20" customHeight="1" x14ac:dyDescent="0.25">
      <c r="B469" s="409"/>
      <c r="C469" s="335"/>
      <c r="D469" s="371" t="s">
        <v>224</v>
      </c>
      <c r="E469" s="344" t="s">
        <v>42</v>
      </c>
      <c r="F469" s="367"/>
      <c r="G469" s="368"/>
      <c r="H469" s="369"/>
      <c r="I469" s="370"/>
      <c r="J469" s="321"/>
      <c r="K469" s="321"/>
    </row>
    <row r="470" spans="2:11" ht="20" customHeight="1" x14ac:dyDescent="0.25">
      <c r="B470" s="409"/>
      <c r="C470" s="335"/>
      <c r="D470" s="366" t="s">
        <v>58</v>
      </c>
      <c r="E470" s="344"/>
      <c r="F470" s="367"/>
      <c r="G470" s="368"/>
      <c r="H470" s="369"/>
      <c r="I470" s="370"/>
      <c r="J470" s="321"/>
      <c r="K470" s="321"/>
    </row>
    <row r="471" spans="2:11" ht="20" customHeight="1" x14ac:dyDescent="0.25">
      <c r="B471" s="409"/>
      <c r="C471" s="335"/>
      <c r="D471" s="371" t="s">
        <v>217</v>
      </c>
      <c r="E471" s="344" t="s">
        <v>42</v>
      </c>
      <c r="F471" s="367"/>
      <c r="G471" s="368"/>
      <c r="H471" s="369">
        <f>IF(H14-H41-H62-H83&lt;0,0,H14-H41-H62-H83)</f>
        <v>0</v>
      </c>
      <c r="I471" s="370"/>
      <c r="J471" s="321"/>
      <c r="K471" s="321"/>
    </row>
    <row r="472" spans="2:11" ht="20" customHeight="1" x14ac:dyDescent="0.25">
      <c r="B472" s="409"/>
      <c r="C472" s="335"/>
      <c r="D472" s="371" t="s">
        <v>218</v>
      </c>
      <c r="E472" s="344" t="s">
        <v>138</v>
      </c>
      <c r="F472" s="367"/>
      <c r="G472" s="368"/>
      <c r="H472" s="369">
        <f>SUM(H473:H478)</f>
        <v>0.25</v>
      </c>
      <c r="I472" s="370"/>
      <c r="J472" s="321"/>
      <c r="K472" s="321"/>
    </row>
    <row r="473" spans="2:11" ht="20" customHeight="1" x14ac:dyDescent="0.25">
      <c r="B473" s="409"/>
      <c r="C473" s="335"/>
      <c r="D473" s="372" t="s">
        <v>219</v>
      </c>
      <c r="E473" s="344" t="s">
        <v>42</v>
      </c>
      <c r="F473" s="367"/>
      <c r="G473" s="368"/>
      <c r="H473" s="369">
        <v>0.25</v>
      </c>
      <c r="I473" s="370"/>
      <c r="J473" s="330"/>
      <c r="K473" s="321"/>
    </row>
    <row r="474" spans="2:11" ht="20" customHeight="1" x14ac:dyDescent="0.25">
      <c r="B474" s="409"/>
      <c r="C474" s="335"/>
      <c r="D474" s="372" t="s">
        <v>220</v>
      </c>
      <c r="E474" s="344" t="s">
        <v>42</v>
      </c>
      <c r="F474" s="367"/>
      <c r="G474" s="368"/>
      <c r="H474" s="369"/>
      <c r="I474" s="370"/>
      <c r="J474" s="330"/>
      <c r="K474" s="321"/>
    </row>
    <row r="475" spans="2:11" ht="20" customHeight="1" x14ac:dyDescent="0.25">
      <c r="B475" s="409"/>
      <c r="C475" s="335"/>
      <c r="D475" s="371" t="s">
        <v>221</v>
      </c>
      <c r="E475" s="344" t="s">
        <v>42</v>
      </c>
      <c r="F475" s="367"/>
      <c r="G475" s="368"/>
      <c r="H475" s="369"/>
      <c r="I475" s="370"/>
      <c r="J475" s="321"/>
      <c r="K475" s="321"/>
    </row>
    <row r="476" spans="2:11" ht="20" customHeight="1" x14ac:dyDescent="0.25">
      <c r="B476" s="409"/>
      <c r="C476" s="335"/>
      <c r="D476" s="371" t="s">
        <v>222</v>
      </c>
      <c r="E476" s="344" t="s">
        <v>42</v>
      </c>
      <c r="F476" s="367"/>
      <c r="G476" s="368"/>
      <c r="H476" s="369"/>
      <c r="I476" s="370"/>
      <c r="J476" s="321"/>
      <c r="K476" s="321"/>
    </row>
    <row r="477" spans="2:11" ht="20" customHeight="1" x14ac:dyDescent="0.25">
      <c r="B477" s="409"/>
      <c r="C477" s="335"/>
      <c r="D477" s="371" t="s">
        <v>223</v>
      </c>
      <c r="E477" s="344" t="s">
        <v>42</v>
      </c>
      <c r="F477" s="367"/>
      <c r="G477" s="368"/>
      <c r="H477" s="369"/>
      <c r="I477" s="370"/>
      <c r="J477" s="321"/>
      <c r="K477" s="321"/>
    </row>
    <row r="478" spans="2:11" ht="20" customHeight="1" x14ac:dyDescent="0.25">
      <c r="B478" s="409"/>
      <c r="C478" s="335"/>
      <c r="D478" s="371" t="s">
        <v>224</v>
      </c>
      <c r="E478" s="344" t="s">
        <v>42</v>
      </c>
      <c r="F478" s="367"/>
      <c r="G478" s="368"/>
      <c r="H478" s="369"/>
      <c r="I478" s="370"/>
      <c r="J478" s="321"/>
      <c r="K478" s="321"/>
    </row>
    <row r="479" spans="2:11" ht="20" customHeight="1" x14ac:dyDescent="0.25">
      <c r="B479" s="409"/>
      <c r="C479" s="335"/>
      <c r="D479" s="366" t="s">
        <v>59</v>
      </c>
      <c r="E479" s="344"/>
      <c r="F479" s="367"/>
      <c r="G479" s="368"/>
      <c r="H479" s="369"/>
      <c r="I479" s="370"/>
      <c r="J479" s="321"/>
      <c r="K479" s="321"/>
    </row>
    <row r="480" spans="2:11" ht="20" customHeight="1" x14ac:dyDescent="0.25">
      <c r="B480" s="409"/>
      <c r="C480" s="335"/>
      <c r="D480" s="371" t="s">
        <v>217</v>
      </c>
      <c r="E480" s="344" t="s">
        <v>42</v>
      </c>
      <c r="F480" s="367"/>
      <c r="G480" s="368"/>
      <c r="H480" s="369">
        <f>IF(H15-H42-H63-H84&lt;0,0,H15-H42-H63-H84)</f>
        <v>0</v>
      </c>
      <c r="I480" s="370"/>
      <c r="J480" s="321"/>
      <c r="K480" s="321"/>
    </row>
    <row r="481" spans="2:11" ht="20" customHeight="1" x14ac:dyDescent="0.25">
      <c r="B481" s="409"/>
      <c r="C481" s="335"/>
      <c r="D481" s="371" t="s">
        <v>218</v>
      </c>
      <c r="E481" s="344" t="s">
        <v>138</v>
      </c>
      <c r="F481" s="367"/>
      <c r="G481" s="368"/>
      <c r="H481" s="369">
        <f>SUM(H482:H487)</f>
        <v>0.25</v>
      </c>
      <c r="I481" s="370"/>
      <c r="J481" s="321"/>
      <c r="K481" s="321"/>
    </row>
    <row r="482" spans="2:11" ht="20" customHeight="1" x14ac:dyDescent="0.25">
      <c r="B482" s="409"/>
      <c r="C482" s="335"/>
      <c r="D482" s="372" t="s">
        <v>219</v>
      </c>
      <c r="E482" s="344" t="s">
        <v>42</v>
      </c>
      <c r="F482" s="367"/>
      <c r="G482" s="368"/>
      <c r="H482" s="369">
        <v>0.25</v>
      </c>
      <c r="I482" s="370"/>
      <c r="J482" s="330"/>
      <c r="K482" s="321"/>
    </row>
    <row r="483" spans="2:11" ht="20" customHeight="1" x14ac:dyDescent="0.25">
      <c r="B483" s="409"/>
      <c r="C483" s="335"/>
      <c r="D483" s="372" t="s">
        <v>220</v>
      </c>
      <c r="E483" s="344" t="s">
        <v>42</v>
      </c>
      <c r="F483" s="367"/>
      <c r="G483" s="368"/>
      <c r="H483" s="369"/>
      <c r="I483" s="370"/>
      <c r="J483" s="330"/>
      <c r="K483" s="321"/>
    </row>
    <row r="484" spans="2:11" ht="20" customHeight="1" x14ac:dyDescent="0.25">
      <c r="B484" s="409"/>
      <c r="C484" s="335"/>
      <c r="D484" s="371" t="s">
        <v>221</v>
      </c>
      <c r="E484" s="344" t="s">
        <v>42</v>
      </c>
      <c r="F484" s="367"/>
      <c r="G484" s="368"/>
      <c r="H484" s="369"/>
      <c r="I484" s="370"/>
      <c r="J484" s="321"/>
      <c r="K484" s="321"/>
    </row>
    <row r="485" spans="2:11" ht="20" customHeight="1" x14ac:dyDescent="0.25">
      <c r="B485" s="409"/>
      <c r="C485" s="335"/>
      <c r="D485" s="371" t="s">
        <v>222</v>
      </c>
      <c r="E485" s="344" t="s">
        <v>42</v>
      </c>
      <c r="F485" s="367"/>
      <c r="G485" s="368"/>
      <c r="H485" s="369"/>
      <c r="I485" s="370"/>
      <c r="J485" s="321"/>
      <c r="K485" s="321"/>
    </row>
    <row r="486" spans="2:11" ht="20" customHeight="1" x14ac:dyDescent="0.25">
      <c r="B486" s="409"/>
      <c r="C486" s="335"/>
      <c r="D486" s="371" t="s">
        <v>223</v>
      </c>
      <c r="E486" s="344" t="s">
        <v>42</v>
      </c>
      <c r="F486" s="367"/>
      <c r="G486" s="368"/>
      <c r="H486" s="369"/>
      <c r="I486" s="370"/>
      <c r="J486" s="321"/>
      <c r="K486" s="321"/>
    </row>
    <row r="487" spans="2:11" ht="20" customHeight="1" x14ac:dyDescent="0.25">
      <c r="B487" s="409"/>
      <c r="C487" s="335"/>
      <c r="D487" s="371" t="s">
        <v>224</v>
      </c>
      <c r="E487" s="344" t="s">
        <v>42</v>
      </c>
      <c r="F487" s="367"/>
      <c r="G487" s="368"/>
      <c r="H487" s="369"/>
      <c r="I487" s="370"/>
      <c r="J487" s="321"/>
      <c r="K487" s="321"/>
    </row>
    <row r="488" spans="2:11" ht="20" customHeight="1" x14ac:dyDescent="0.25">
      <c r="B488" s="409"/>
      <c r="C488" s="335"/>
      <c r="D488" s="366" t="s">
        <v>60</v>
      </c>
      <c r="E488" s="344"/>
      <c r="F488" s="367"/>
      <c r="G488" s="368"/>
      <c r="H488" s="369"/>
      <c r="I488" s="370"/>
      <c r="J488" s="321"/>
      <c r="K488" s="321"/>
    </row>
    <row r="489" spans="2:11" ht="20" customHeight="1" x14ac:dyDescent="0.25">
      <c r="B489" s="409"/>
      <c r="C489" s="335"/>
      <c r="D489" s="371" t="s">
        <v>217</v>
      </c>
      <c r="E489" s="344" t="s">
        <v>42</v>
      </c>
      <c r="F489" s="367"/>
      <c r="G489" s="368"/>
      <c r="H489" s="369">
        <f>IF(H16-H43-H64-H85&lt;0,0,H16-H43-H64-H85)</f>
        <v>0</v>
      </c>
      <c r="I489" s="370"/>
      <c r="J489" s="321"/>
      <c r="K489" s="321"/>
    </row>
    <row r="490" spans="2:11" ht="20" customHeight="1" x14ac:dyDescent="0.25">
      <c r="B490" s="409"/>
      <c r="C490" s="335"/>
      <c r="D490" s="371" t="s">
        <v>218</v>
      </c>
      <c r="E490" s="344" t="s">
        <v>138</v>
      </c>
      <c r="F490" s="367"/>
      <c r="G490" s="368"/>
      <c r="H490" s="369">
        <f>SUM(H491:H496)</f>
        <v>0.25</v>
      </c>
      <c r="I490" s="370"/>
      <c r="J490" s="321"/>
      <c r="K490" s="321"/>
    </row>
    <row r="491" spans="2:11" ht="20" customHeight="1" x14ac:dyDescent="0.25">
      <c r="B491" s="409"/>
      <c r="C491" s="335"/>
      <c r="D491" s="372" t="s">
        <v>219</v>
      </c>
      <c r="E491" s="344" t="s">
        <v>42</v>
      </c>
      <c r="F491" s="367"/>
      <c r="G491" s="368"/>
      <c r="H491" s="369">
        <v>0.25</v>
      </c>
      <c r="I491" s="370"/>
      <c r="J491" s="330"/>
      <c r="K491" s="321"/>
    </row>
    <row r="492" spans="2:11" ht="20" customHeight="1" x14ac:dyDescent="0.25">
      <c r="B492" s="409"/>
      <c r="C492" s="335"/>
      <c r="D492" s="372" t="s">
        <v>220</v>
      </c>
      <c r="E492" s="344" t="s">
        <v>42</v>
      </c>
      <c r="F492" s="367"/>
      <c r="G492" s="368"/>
      <c r="H492" s="369"/>
      <c r="I492" s="370"/>
      <c r="J492" s="330"/>
      <c r="K492" s="321"/>
    </row>
    <row r="493" spans="2:11" ht="20" customHeight="1" x14ac:dyDescent="0.25">
      <c r="B493" s="409"/>
      <c r="C493" s="335"/>
      <c r="D493" s="371" t="s">
        <v>221</v>
      </c>
      <c r="E493" s="344" t="s">
        <v>42</v>
      </c>
      <c r="F493" s="367"/>
      <c r="G493" s="368"/>
      <c r="H493" s="369"/>
      <c r="I493" s="370"/>
      <c r="J493" s="321"/>
      <c r="K493" s="321"/>
    </row>
    <row r="494" spans="2:11" ht="20" customHeight="1" x14ac:dyDescent="0.25">
      <c r="B494" s="409"/>
      <c r="C494" s="335"/>
      <c r="D494" s="371" t="s">
        <v>222</v>
      </c>
      <c r="E494" s="344" t="s">
        <v>42</v>
      </c>
      <c r="F494" s="367"/>
      <c r="G494" s="368"/>
      <c r="H494" s="369"/>
      <c r="I494" s="370"/>
      <c r="J494" s="321"/>
      <c r="K494" s="321"/>
    </row>
    <row r="495" spans="2:11" ht="20" customHeight="1" x14ac:dyDescent="0.25">
      <c r="B495" s="409"/>
      <c r="C495" s="335"/>
      <c r="D495" s="371" t="s">
        <v>223</v>
      </c>
      <c r="E495" s="344" t="s">
        <v>42</v>
      </c>
      <c r="F495" s="367"/>
      <c r="G495" s="368"/>
      <c r="H495" s="369"/>
      <c r="I495" s="370"/>
      <c r="J495" s="321"/>
      <c r="K495" s="321"/>
    </row>
    <row r="496" spans="2:11" ht="20" customHeight="1" x14ac:dyDescent="0.25">
      <c r="B496" s="409"/>
      <c r="C496" s="335"/>
      <c r="D496" s="371" t="s">
        <v>224</v>
      </c>
      <c r="E496" s="344" t="s">
        <v>42</v>
      </c>
      <c r="F496" s="367"/>
      <c r="G496" s="368"/>
      <c r="H496" s="369"/>
      <c r="I496" s="370"/>
      <c r="J496" s="321"/>
      <c r="K496" s="321"/>
    </row>
    <row r="497" spans="2:11" ht="20" customHeight="1" x14ac:dyDescent="0.25">
      <c r="B497" s="409"/>
      <c r="C497" s="335"/>
      <c r="D497" s="366" t="s">
        <v>61</v>
      </c>
      <c r="E497" s="344"/>
      <c r="F497" s="367"/>
      <c r="G497" s="368"/>
      <c r="H497" s="369"/>
      <c r="I497" s="370"/>
      <c r="J497" s="321"/>
      <c r="K497" s="321"/>
    </row>
    <row r="498" spans="2:11" ht="20" customHeight="1" x14ac:dyDescent="0.25">
      <c r="B498" s="409"/>
      <c r="C498" s="335"/>
      <c r="D498" s="371" t="s">
        <v>217</v>
      </c>
      <c r="E498" s="344" t="s">
        <v>42</v>
      </c>
      <c r="F498" s="367"/>
      <c r="G498" s="368"/>
      <c r="H498" s="369">
        <f>IF(H17-H44-H65-H86&lt;0,0,H17-H44-H65-H86)</f>
        <v>0</v>
      </c>
      <c r="I498" s="370"/>
      <c r="J498" s="321"/>
      <c r="K498" s="321"/>
    </row>
    <row r="499" spans="2:11" ht="20" customHeight="1" x14ac:dyDescent="0.25">
      <c r="B499" s="409"/>
      <c r="C499" s="335"/>
      <c r="D499" s="371" t="s">
        <v>218</v>
      </c>
      <c r="E499" s="344" t="s">
        <v>138</v>
      </c>
      <c r="F499" s="367"/>
      <c r="G499" s="368"/>
      <c r="H499" s="369">
        <f>SUM(H500:H505)</f>
        <v>0.25</v>
      </c>
      <c r="I499" s="370"/>
      <c r="J499" s="321"/>
      <c r="K499" s="321"/>
    </row>
    <row r="500" spans="2:11" ht="20" customHeight="1" x14ac:dyDescent="0.25">
      <c r="B500" s="409"/>
      <c r="C500" s="335"/>
      <c r="D500" s="372" t="s">
        <v>219</v>
      </c>
      <c r="E500" s="344" t="s">
        <v>42</v>
      </c>
      <c r="F500" s="367"/>
      <c r="G500" s="368"/>
      <c r="H500" s="369">
        <v>0.25</v>
      </c>
      <c r="I500" s="370"/>
      <c r="J500" s="330"/>
      <c r="K500" s="321"/>
    </row>
    <row r="501" spans="2:11" ht="20" customHeight="1" x14ac:dyDescent="0.25">
      <c r="B501" s="409"/>
      <c r="C501" s="335"/>
      <c r="D501" s="372" t="s">
        <v>220</v>
      </c>
      <c r="E501" s="344" t="s">
        <v>42</v>
      </c>
      <c r="F501" s="367"/>
      <c r="G501" s="368"/>
      <c r="H501" s="369"/>
      <c r="I501" s="370"/>
      <c r="J501" s="330"/>
      <c r="K501" s="321"/>
    </row>
    <row r="502" spans="2:11" ht="20" customHeight="1" x14ac:dyDescent="0.25">
      <c r="B502" s="409"/>
      <c r="C502" s="335"/>
      <c r="D502" s="371" t="s">
        <v>221</v>
      </c>
      <c r="E502" s="344" t="s">
        <v>42</v>
      </c>
      <c r="F502" s="367"/>
      <c r="G502" s="368"/>
      <c r="H502" s="369"/>
      <c r="I502" s="370"/>
      <c r="J502" s="321"/>
      <c r="K502" s="321"/>
    </row>
    <row r="503" spans="2:11" ht="20" customHeight="1" x14ac:dyDescent="0.25">
      <c r="B503" s="409"/>
      <c r="C503" s="335"/>
      <c r="D503" s="371" t="s">
        <v>222</v>
      </c>
      <c r="E503" s="344" t="s">
        <v>42</v>
      </c>
      <c r="F503" s="367"/>
      <c r="G503" s="368"/>
      <c r="H503" s="369"/>
      <c r="I503" s="370"/>
      <c r="J503" s="321"/>
      <c r="K503" s="321"/>
    </row>
    <row r="504" spans="2:11" ht="20" customHeight="1" x14ac:dyDescent="0.25">
      <c r="B504" s="409"/>
      <c r="C504" s="335"/>
      <c r="D504" s="371" t="s">
        <v>223</v>
      </c>
      <c r="E504" s="344" t="s">
        <v>42</v>
      </c>
      <c r="F504" s="367"/>
      <c r="G504" s="368"/>
      <c r="H504" s="369"/>
      <c r="I504" s="370"/>
      <c r="J504" s="321"/>
      <c r="K504" s="321"/>
    </row>
    <row r="505" spans="2:11" ht="20" customHeight="1" x14ac:dyDescent="0.25">
      <c r="B505" s="409"/>
      <c r="C505" s="335"/>
      <c r="D505" s="371" t="s">
        <v>224</v>
      </c>
      <c r="E505" s="344" t="s">
        <v>42</v>
      </c>
      <c r="F505" s="367"/>
      <c r="G505" s="368"/>
      <c r="H505" s="369"/>
      <c r="I505" s="370"/>
      <c r="J505" s="321"/>
      <c r="K505" s="321"/>
    </row>
    <row r="506" spans="2:11" ht="20" customHeight="1" x14ac:dyDescent="0.25">
      <c r="B506" s="409"/>
      <c r="C506" s="335"/>
      <c r="D506" s="371" t="s">
        <v>62</v>
      </c>
      <c r="E506" s="344"/>
      <c r="F506" s="367"/>
      <c r="G506" s="368"/>
      <c r="H506" s="369"/>
      <c r="I506" s="370"/>
      <c r="J506" s="321"/>
      <c r="K506" s="321"/>
    </row>
    <row r="507" spans="2:11" ht="20" customHeight="1" x14ac:dyDescent="0.25">
      <c r="B507" s="409"/>
      <c r="C507" s="335"/>
      <c r="D507" s="371" t="s">
        <v>217</v>
      </c>
      <c r="E507" s="344" t="s">
        <v>42</v>
      </c>
      <c r="F507" s="367"/>
      <c r="G507" s="368"/>
      <c r="H507" s="369">
        <f>IF(H18-H45-H66-H87&lt;0,0,H18-H45-H66-H87)</f>
        <v>0</v>
      </c>
      <c r="I507" s="370"/>
      <c r="J507" s="321"/>
      <c r="K507" s="321"/>
    </row>
    <row r="508" spans="2:11" ht="20" customHeight="1" x14ac:dyDescent="0.25">
      <c r="B508" s="409"/>
      <c r="C508" s="335"/>
      <c r="D508" s="371" t="s">
        <v>218</v>
      </c>
      <c r="E508" s="344" t="s">
        <v>138</v>
      </c>
      <c r="F508" s="367"/>
      <c r="G508" s="368"/>
      <c r="H508" s="369">
        <f>SUM(H509:H514)</f>
        <v>0.25</v>
      </c>
      <c r="I508" s="370"/>
      <c r="J508" s="321"/>
      <c r="K508" s="321"/>
    </row>
    <row r="509" spans="2:11" ht="20" customHeight="1" x14ac:dyDescent="0.25">
      <c r="B509" s="409"/>
      <c r="C509" s="335"/>
      <c r="D509" s="372" t="s">
        <v>219</v>
      </c>
      <c r="E509" s="344" t="s">
        <v>42</v>
      </c>
      <c r="F509" s="367"/>
      <c r="G509" s="368"/>
      <c r="H509" s="369">
        <v>0.25</v>
      </c>
      <c r="I509" s="370"/>
      <c r="J509" s="330"/>
      <c r="K509" s="321"/>
    </row>
    <row r="510" spans="2:11" ht="20" customHeight="1" x14ac:dyDescent="0.25">
      <c r="B510" s="409"/>
      <c r="C510" s="335"/>
      <c r="D510" s="372" t="s">
        <v>220</v>
      </c>
      <c r="E510" s="344" t="s">
        <v>42</v>
      </c>
      <c r="F510" s="367"/>
      <c r="G510" s="368"/>
      <c r="H510" s="369"/>
      <c r="I510" s="370"/>
      <c r="J510" s="330"/>
      <c r="K510" s="321"/>
    </row>
    <row r="511" spans="2:11" ht="20" customHeight="1" x14ac:dyDescent="0.25">
      <c r="B511" s="409"/>
      <c r="C511" s="335"/>
      <c r="D511" s="371" t="s">
        <v>221</v>
      </c>
      <c r="E511" s="344" t="s">
        <v>42</v>
      </c>
      <c r="F511" s="367"/>
      <c r="G511" s="368"/>
      <c r="H511" s="369"/>
      <c r="I511" s="370"/>
      <c r="J511" s="321"/>
      <c r="K511" s="321"/>
    </row>
    <row r="512" spans="2:11" ht="20" customHeight="1" x14ac:dyDescent="0.25">
      <c r="B512" s="409"/>
      <c r="C512" s="335"/>
      <c r="D512" s="371" t="s">
        <v>222</v>
      </c>
      <c r="E512" s="344" t="s">
        <v>42</v>
      </c>
      <c r="F512" s="367"/>
      <c r="G512" s="368"/>
      <c r="H512" s="369"/>
      <c r="I512" s="370"/>
      <c r="J512" s="321"/>
      <c r="K512" s="321"/>
    </row>
    <row r="513" spans="2:11" ht="20" customHeight="1" x14ac:dyDescent="0.25">
      <c r="B513" s="409"/>
      <c r="C513" s="335"/>
      <c r="D513" s="371" t="s">
        <v>223</v>
      </c>
      <c r="E513" s="344" t="s">
        <v>42</v>
      </c>
      <c r="F513" s="367"/>
      <c r="G513" s="368"/>
      <c r="H513" s="369"/>
      <c r="I513" s="370"/>
      <c r="J513" s="321"/>
      <c r="K513" s="321"/>
    </row>
    <row r="514" spans="2:11" ht="20" customHeight="1" x14ac:dyDescent="0.25">
      <c r="B514" s="409"/>
      <c r="C514" s="335"/>
      <c r="D514" s="371" t="s">
        <v>224</v>
      </c>
      <c r="E514" s="344" t="s">
        <v>42</v>
      </c>
      <c r="F514" s="367"/>
      <c r="G514" s="368"/>
      <c r="H514" s="369"/>
      <c r="I514" s="370"/>
      <c r="J514" s="321"/>
      <c r="K514" s="321"/>
    </row>
    <row r="515" spans="2:11" ht="20" customHeight="1" x14ac:dyDescent="0.25">
      <c r="B515" s="409"/>
      <c r="C515" s="335"/>
      <c r="D515" s="366" t="s">
        <v>63</v>
      </c>
      <c r="E515" s="344"/>
      <c r="F515" s="367"/>
      <c r="G515" s="368"/>
      <c r="H515" s="369"/>
      <c r="I515" s="370"/>
      <c r="J515" s="321"/>
      <c r="K515" s="321"/>
    </row>
    <row r="516" spans="2:11" ht="20" customHeight="1" x14ac:dyDescent="0.25">
      <c r="B516" s="409"/>
      <c r="C516" s="335"/>
      <c r="D516" s="371" t="s">
        <v>217</v>
      </c>
      <c r="E516" s="344" t="s">
        <v>42</v>
      </c>
      <c r="F516" s="367"/>
      <c r="G516" s="368"/>
      <c r="H516" s="369">
        <f>IF(H19-H46-H67-H88&lt;0,0,H19-H46-H67-H88)</f>
        <v>0</v>
      </c>
      <c r="I516" s="370"/>
      <c r="J516" s="321"/>
      <c r="K516" s="321"/>
    </row>
    <row r="517" spans="2:11" ht="20" customHeight="1" x14ac:dyDescent="0.25">
      <c r="B517" s="409"/>
      <c r="C517" s="335"/>
      <c r="D517" s="371" t="s">
        <v>218</v>
      </c>
      <c r="E517" s="344" t="s">
        <v>138</v>
      </c>
      <c r="F517" s="367"/>
      <c r="G517" s="368"/>
      <c r="H517" s="369">
        <f>SUM(H518:H523)</f>
        <v>0.25</v>
      </c>
      <c r="I517" s="370"/>
      <c r="J517" s="321"/>
      <c r="K517" s="321"/>
    </row>
    <row r="518" spans="2:11" ht="20" customHeight="1" x14ac:dyDescent="0.25">
      <c r="B518" s="409"/>
      <c r="C518" s="335"/>
      <c r="D518" s="372" t="s">
        <v>219</v>
      </c>
      <c r="E518" s="344" t="s">
        <v>42</v>
      </c>
      <c r="F518" s="367"/>
      <c r="G518" s="368"/>
      <c r="H518" s="369">
        <v>0.25</v>
      </c>
      <c r="I518" s="370"/>
      <c r="J518" s="330"/>
      <c r="K518" s="321"/>
    </row>
    <row r="519" spans="2:11" ht="20" customHeight="1" x14ac:dyDescent="0.25">
      <c r="B519" s="409"/>
      <c r="C519" s="335"/>
      <c r="D519" s="372" t="s">
        <v>220</v>
      </c>
      <c r="E519" s="344" t="s">
        <v>42</v>
      </c>
      <c r="F519" s="367"/>
      <c r="G519" s="368"/>
      <c r="H519" s="369"/>
      <c r="I519" s="370"/>
      <c r="J519" s="330"/>
      <c r="K519" s="321"/>
    </row>
    <row r="520" spans="2:11" ht="20" customHeight="1" x14ac:dyDescent="0.25">
      <c r="B520" s="409"/>
      <c r="C520" s="335"/>
      <c r="D520" s="371" t="s">
        <v>221</v>
      </c>
      <c r="E520" s="344" t="s">
        <v>42</v>
      </c>
      <c r="F520" s="367"/>
      <c r="G520" s="368"/>
      <c r="H520" s="369"/>
      <c r="I520" s="370"/>
      <c r="J520" s="321"/>
      <c r="K520" s="321"/>
    </row>
    <row r="521" spans="2:11" ht="20" customHeight="1" x14ac:dyDescent="0.25">
      <c r="B521" s="409"/>
      <c r="C521" s="335"/>
      <c r="D521" s="371" t="s">
        <v>222</v>
      </c>
      <c r="E521" s="344" t="s">
        <v>42</v>
      </c>
      <c r="F521" s="367"/>
      <c r="G521" s="368"/>
      <c r="H521" s="369"/>
      <c r="I521" s="370"/>
      <c r="J521" s="321"/>
      <c r="K521" s="321"/>
    </row>
    <row r="522" spans="2:11" ht="20" customHeight="1" x14ac:dyDescent="0.25">
      <c r="B522" s="409"/>
      <c r="C522" s="335"/>
      <c r="D522" s="371" t="s">
        <v>223</v>
      </c>
      <c r="E522" s="344" t="s">
        <v>42</v>
      </c>
      <c r="F522" s="367"/>
      <c r="G522" s="368"/>
      <c r="H522" s="369"/>
      <c r="I522" s="370"/>
      <c r="J522" s="321"/>
      <c r="K522" s="321"/>
    </row>
    <row r="523" spans="2:11" ht="20" customHeight="1" x14ac:dyDescent="0.25">
      <c r="B523" s="409"/>
      <c r="C523" s="335"/>
      <c r="D523" s="371" t="s">
        <v>224</v>
      </c>
      <c r="E523" s="344" t="s">
        <v>42</v>
      </c>
      <c r="F523" s="367"/>
      <c r="G523" s="368"/>
      <c r="H523" s="369"/>
      <c r="I523" s="370"/>
      <c r="J523" s="321"/>
      <c r="K523" s="321"/>
    </row>
    <row r="524" spans="2:11" ht="20" customHeight="1" x14ac:dyDescent="0.25">
      <c r="B524" s="409"/>
      <c r="C524" s="335"/>
      <c r="D524" s="371" t="s">
        <v>64</v>
      </c>
      <c r="E524" s="344"/>
      <c r="F524" s="367"/>
      <c r="G524" s="368"/>
      <c r="H524" s="369"/>
      <c r="I524" s="370"/>
      <c r="J524" s="321"/>
      <c r="K524" s="321"/>
    </row>
    <row r="525" spans="2:11" ht="20" customHeight="1" x14ac:dyDescent="0.25">
      <c r="B525" s="409"/>
      <c r="C525" s="335"/>
      <c r="D525" s="371" t="s">
        <v>217</v>
      </c>
      <c r="E525" s="344" t="s">
        <v>42</v>
      </c>
      <c r="F525" s="367"/>
      <c r="G525" s="368"/>
      <c r="H525" s="369">
        <f>IF(H20-H47-H68-H89&lt;0,0,H20-H47-H68-H89)</f>
        <v>0</v>
      </c>
      <c r="I525" s="370"/>
      <c r="J525" s="321"/>
      <c r="K525" s="321"/>
    </row>
    <row r="526" spans="2:11" ht="20" customHeight="1" x14ac:dyDescent="0.25">
      <c r="B526" s="409"/>
      <c r="C526" s="335"/>
      <c r="D526" s="371" t="s">
        <v>218</v>
      </c>
      <c r="E526" s="344" t="s">
        <v>138</v>
      </c>
      <c r="F526" s="367"/>
      <c r="G526" s="368"/>
      <c r="H526" s="369">
        <f>SUM(H527:H532)</f>
        <v>0.25</v>
      </c>
      <c r="I526" s="370"/>
      <c r="J526" s="321"/>
      <c r="K526" s="321"/>
    </row>
    <row r="527" spans="2:11" ht="20" customHeight="1" x14ac:dyDescent="0.25">
      <c r="B527" s="409"/>
      <c r="C527" s="335"/>
      <c r="D527" s="372" t="s">
        <v>219</v>
      </c>
      <c r="E527" s="344" t="s">
        <v>42</v>
      </c>
      <c r="F527" s="367"/>
      <c r="G527" s="368"/>
      <c r="H527" s="369">
        <v>0.25</v>
      </c>
      <c r="I527" s="370"/>
      <c r="J527" s="330"/>
      <c r="K527" s="321"/>
    </row>
    <row r="528" spans="2:11" ht="20" customHeight="1" x14ac:dyDescent="0.25">
      <c r="B528" s="409"/>
      <c r="C528" s="335"/>
      <c r="D528" s="372" t="s">
        <v>220</v>
      </c>
      <c r="E528" s="344" t="s">
        <v>42</v>
      </c>
      <c r="F528" s="367"/>
      <c r="G528" s="368"/>
      <c r="H528" s="369"/>
      <c r="I528" s="370"/>
      <c r="J528" s="330"/>
      <c r="K528" s="321"/>
    </row>
    <row r="529" spans="2:11" ht="20" customHeight="1" x14ac:dyDescent="0.25">
      <c r="B529" s="409"/>
      <c r="C529" s="335"/>
      <c r="D529" s="371" t="s">
        <v>221</v>
      </c>
      <c r="E529" s="344" t="s">
        <v>42</v>
      </c>
      <c r="F529" s="367"/>
      <c r="G529" s="368"/>
      <c r="H529" s="369"/>
      <c r="I529" s="370"/>
      <c r="J529" s="321"/>
      <c r="K529" s="321"/>
    </row>
    <row r="530" spans="2:11" ht="20" customHeight="1" x14ac:dyDescent="0.25">
      <c r="B530" s="409"/>
      <c r="C530" s="335"/>
      <c r="D530" s="371" t="s">
        <v>222</v>
      </c>
      <c r="E530" s="344" t="s">
        <v>42</v>
      </c>
      <c r="F530" s="367"/>
      <c r="G530" s="368"/>
      <c r="H530" s="369"/>
      <c r="I530" s="370"/>
      <c r="J530" s="321"/>
      <c r="K530" s="321"/>
    </row>
    <row r="531" spans="2:11" ht="20" customHeight="1" x14ac:dyDescent="0.25">
      <c r="B531" s="409"/>
      <c r="C531" s="335"/>
      <c r="D531" s="371" t="s">
        <v>223</v>
      </c>
      <c r="E531" s="344" t="s">
        <v>42</v>
      </c>
      <c r="F531" s="367"/>
      <c r="G531" s="368"/>
      <c r="H531" s="369"/>
      <c r="I531" s="370"/>
      <c r="J531" s="321"/>
      <c r="K531" s="321"/>
    </row>
    <row r="532" spans="2:11" ht="20" customHeight="1" x14ac:dyDescent="0.25">
      <c r="B532" s="409"/>
      <c r="C532" s="335"/>
      <c r="D532" s="371" t="s">
        <v>224</v>
      </c>
      <c r="E532" s="344" t="s">
        <v>42</v>
      </c>
      <c r="F532" s="367"/>
      <c r="G532" s="368"/>
      <c r="H532" s="369"/>
      <c r="I532" s="370"/>
      <c r="J532" s="321"/>
      <c r="K532" s="321"/>
    </row>
    <row r="533" spans="2:11" ht="20" customHeight="1" x14ac:dyDescent="0.25">
      <c r="B533" s="409"/>
      <c r="C533" s="335"/>
      <c r="D533" s="371" t="s">
        <v>65</v>
      </c>
      <c r="E533" s="344"/>
      <c r="F533" s="367"/>
      <c r="G533" s="368"/>
      <c r="H533" s="369"/>
      <c r="I533" s="370"/>
      <c r="J533" s="321"/>
      <c r="K533" s="321"/>
    </row>
    <row r="534" spans="2:11" ht="20" customHeight="1" x14ac:dyDescent="0.25">
      <c r="B534" s="409"/>
      <c r="C534" s="335"/>
      <c r="D534" s="371" t="s">
        <v>217</v>
      </c>
      <c r="E534" s="344" t="s">
        <v>42</v>
      </c>
      <c r="F534" s="367"/>
      <c r="G534" s="368"/>
      <c r="H534" s="369">
        <f>IF(H21-H48-H69-H90&lt;0,0,H21-H48-H69-H90)</f>
        <v>0</v>
      </c>
      <c r="I534" s="370"/>
      <c r="J534" s="321"/>
      <c r="K534" s="321"/>
    </row>
    <row r="535" spans="2:11" ht="20" customHeight="1" x14ac:dyDescent="0.25">
      <c r="B535" s="409"/>
      <c r="C535" s="335"/>
      <c r="D535" s="371" t="s">
        <v>218</v>
      </c>
      <c r="E535" s="344" t="s">
        <v>138</v>
      </c>
      <c r="F535" s="367"/>
      <c r="G535" s="368"/>
      <c r="H535" s="369">
        <f>SUM(H536:H541)</f>
        <v>0.25</v>
      </c>
      <c r="I535" s="370"/>
      <c r="J535" s="321"/>
      <c r="K535" s="321"/>
    </row>
    <row r="536" spans="2:11" ht="20" customHeight="1" x14ac:dyDescent="0.25">
      <c r="B536" s="409"/>
      <c r="C536" s="335"/>
      <c r="D536" s="372" t="s">
        <v>219</v>
      </c>
      <c r="E536" s="344" t="s">
        <v>42</v>
      </c>
      <c r="F536" s="367"/>
      <c r="G536" s="368"/>
      <c r="H536" s="369">
        <v>0.25</v>
      </c>
      <c r="I536" s="370"/>
      <c r="J536" s="330"/>
      <c r="K536" s="321"/>
    </row>
    <row r="537" spans="2:11" ht="20" customHeight="1" x14ac:dyDescent="0.25">
      <c r="B537" s="409"/>
      <c r="C537" s="335"/>
      <c r="D537" s="372" t="s">
        <v>220</v>
      </c>
      <c r="E537" s="344" t="s">
        <v>42</v>
      </c>
      <c r="F537" s="367"/>
      <c r="G537" s="368"/>
      <c r="H537" s="369"/>
      <c r="I537" s="370"/>
      <c r="J537" s="330"/>
      <c r="K537" s="321"/>
    </row>
    <row r="538" spans="2:11" ht="20" customHeight="1" x14ac:dyDescent="0.25">
      <c r="B538" s="409"/>
      <c r="C538" s="335"/>
      <c r="D538" s="371" t="s">
        <v>221</v>
      </c>
      <c r="E538" s="344" t="s">
        <v>42</v>
      </c>
      <c r="F538" s="367"/>
      <c r="G538" s="368"/>
      <c r="H538" s="369"/>
      <c r="I538" s="370"/>
      <c r="J538" s="321"/>
      <c r="K538" s="321"/>
    </row>
    <row r="539" spans="2:11" ht="20" customHeight="1" x14ac:dyDescent="0.25">
      <c r="B539" s="409"/>
      <c r="C539" s="335"/>
      <c r="D539" s="371" t="s">
        <v>222</v>
      </c>
      <c r="E539" s="344" t="s">
        <v>42</v>
      </c>
      <c r="F539" s="367"/>
      <c r="G539" s="368"/>
      <c r="H539" s="369"/>
      <c r="I539" s="370"/>
      <c r="J539" s="321"/>
      <c r="K539" s="321"/>
    </row>
    <row r="540" spans="2:11" ht="20" customHeight="1" x14ac:dyDescent="0.25">
      <c r="B540" s="409"/>
      <c r="C540" s="335"/>
      <c r="D540" s="371" t="s">
        <v>223</v>
      </c>
      <c r="E540" s="344" t="s">
        <v>42</v>
      </c>
      <c r="F540" s="367"/>
      <c r="G540" s="368"/>
      <c r="H540" s="369"/>
      <c r="I540" s="370"/>
      <c r="J540" s="321"/>
      <c r="K540" s="321"/>
    </row>
    <row r="541" spans="2:11" ht="20" customHeight="1" x14ac:dyDescent="0.25">
      <c r="B541" s="409"/>
      <c r="C541" s="335"/>
      <c r="D541" s="371" t="s">
        <v>224</v>
      </c>
      <c r="E541" s="344" t="s">
        <v>42</v>
      </c>
      <c r="F541" s="367"/>
      <c r="G541" s="368"/>
      <c r="H541" s="369"/>
      <c r="I541" s="370"/>
      <c r="J541" s="321"/>
      <c r="K541" s="321"/>
    </row>
    <row r="542" spans="2:11" ht="20" customHeight="1" x14ac:dyDescent="0.25">
      <c r="B542" s="409"/>
      <c r="C542" s="335"/>
      <c r="D542" s="371" t="s">
        <v>66</v>
      </c>
      <c r="E542" s="344"/>
      <c r="F542" s="367"/>
      <c r="G542" s="368"/>
      <c r="H542" s="369"/>
      <c r="I542" s="370"/>
      <c r="J542" s="321"/>
      <c r="K542" s="321"/>
    </row>
    <row r="543" spans="2:11" ht="20" customHeight="1" x14ac:dyDescent="0.25">
      <c r="B543" s="409"/>
      <c r="C543" s="335"/>
      <c r="D543" s="371" t="s">
        <v>217</v>
      </c>
      <c r="E543" s="344" t="s">
        <v>42</v>
      </c>
      <c r="F543" s="367"/>
      <c r="G543" s="368"/>
      <c r="H543" s="369">
        <f>IF(H22-H49-H70-H91&lt;0,0,H22-H49-H70-H91)</f>
        <v>0</v>
      </c>
      <c r="I543" s="370"/>
      <c r="J543" s="321"/>
      <c r="K543" s="321"/>
    </row>
    <row r="544" spans="2:11" ht="20" customHeight="1" x14ac:dyDescent="0.25">
      <c r="B544" s="409"/>
      <c r="C544" s="335"/>
      <c r="D544" s="371" t="s">
        <v>218</v>
      </c>
      <c r="E544" s="344" t="s">
        <v>138</v>
      </c>
      <c r="F544" s="367"/>
      <c r="G544" s="368"/>
      <c r="H544" s="369">
        <f>SUM(H545:H550)</f>
        <v>0.25</v>
      </c>
      <c r="I544" s="370"/>
      <c r="J544" s="321"/>
      <c r="K544" s="321"/>
    </row>
    <row r="545" spans="2:11" ht="20" customHeight="1" x14ac:dyDescent="0.25">
      <c r="B545" s="409"/>
      <c r="C545" s="335"/>
      <c r="D545" s="372" t="s">
        <v>219</v>
      </c>
      <c r="E545" s="344" t="s">
        <v>42</v>
      </c>
      <c r="F545" s="367"/>
      <c r="G545" s="368"/>
      <c r="H545" s="369">
        <v>0.25</v>
      </c>
      <c r="I545" s="370"/>
      <c r="J545" s="330"/>
      <c r="K545" s="321"/>
    </row>
    <row r="546" spans="2:11" ht="20" customHeight="1" x14ac:dyDescent="0.25">
      <c r="B546" s="409"/>
      <c r="C546" s="335"/>
      <c r="D546" s="372" t="s">
        <v>220</v>
      </c>
      <c r="E546" s="344" t="s">
        <v>42</v>
      </c>
      <c r="F546" s="367"/>
      <c r="G546" s="368"/>
      <c r="H546" s="369"/>
      <c r="I546" s="370"/>
      <c r="J546" s="330"/>
      <c r="K546" s="321"/>
    </row>
    <row r="547" spans="2:11" ht="20" customHeight="1" x14ac:dyDescent="0.25">
      <c r="B547" s="409"/>
      <c r="C547" s="335"/>
      <c r="D547" s="371" t="s">
        <v>221</v>
      </c>
      <c r="E547" s="344" t="s">
        <v>42</v>
      </c>
      <c r="F547" s="367"/>
      <c r="G547" s="368"/>
      <c r="H547" s="369"/>
      <c r="I547" s="370"/>
      <c r="J547" s="321"/>
      <c r="K547" s="321"/>
    </row>
    <row r="548" spans="2:11" ht="20" customHeight="1" x14ac:dyDescent="0.25">
      <c r="B548" s="409"/>
      <c r="C548" s="335"/>
      <c r="D548" s="371" t="s">
        <v>222</v>
      </c>
      <c r="E548" s="344" t="s">
        <v>42</v>
      </c>
      <c r="F548" s="367"/>
      <c r="G548" s="368"/>
      <c r="H548" s="369"/>
      <c r="I548" s="370"/>
      <c r="J548" s="321"/>
      <c r="K548" s="321"/>
    </row>
    <row r="549" spans="2:11" ht="20" customHeight="1" x14ac:dyDescent="0.25">
      <c r="B549" s="409"/>
      <c r="C549" s="335"/>
      <c r="D549" s="371" t="s">
        <v>223</v>
      </c>
      <c r="E549" s="344" t="s">
        <v>42</v>
      </c>
      <c r="F549" s="367"/>
      <c r="G549" s="368"/>
      <c r="H549" s="369"/>
      <c r="I549" s="370"/>
      <c r="J549" s="321"/>
      <c r="K549" s="321"/>
    </row>
    <row r="550" spans="2:11" ht="20" customHeight="1" x14ac:dyDescent="0.25">
      <c r="B550" s="409"/>
      <c r="C550" s="335"/>
      <c r="D550" s="371" t="s">
        <v>224</v>
      </c>
      <c r="E550" s="344" t="s">
        <v>42</v>
      </c>
      <c r="F550" s="367"/>
      <c r="G550" s="368"/>
      <c r="H550" s="369"/>
      <c r="I550" s="370"/>
      <c r="J550" s="321"/>
      <c r="K550" s="321"/>
    </row>
    <row r="551" spans="2:11" ht="20" customHeight="1" x14ac:dyDescent="0.25">
      <c r="B551" s="409"/>
      <c r="C551" s="335"/>
      <c r="D551" s="371" t="s">
        <v>67</v>
      </c>
      <c r="E551" s="344"/>
      <c r="F551" s="367"/>
      <c r="G551" s="368"/>
      <c r="H551" s="369"/>
      <c r="I551" s="370"/>
      <c r="J551" s="321"/>
      <c r="K551" s="321"/>
    </row>
    <row r="552" spans="2:11" ht="20" customHeight="1" x14ac:dyDescent="0.25">
      <c r="B552" s="409"/>
      <c r="C552" s="335"/>
      <c r="D552" s="371" t="s">
        <v>217</v>
      </c>
      <c r="E552" s="344" t="s">
        <v>42</v>
      </c>
      <c r="F552" s="367"/>
      <c r="G552" s="368"/>
      <c r="H552" s="369">
        <f>IF(H23-H50-H71-H92&lt;0,0,H23-H50-H71-H92)</f>
        <v>0</v>
      </c>
      <c r="I552" s="370"/>
      <c r="J552" s="321"/>
      <c r="K552" s="321"/>
    </row>
    <row r="553" spans="2:11" ht="20" customHeight="1" x14ac:dyDescent="0.25">
      <c r="B553" s="409"/>
      <c r="C553" s="335"/>
      <c r="D553" s="371" t="s">
        <v>218</v>
      </c>
      <c r="E553" s="344" t="s">
        <v>138</v>
      </c>
      <c r="F553" s="367"/>
      <c r="G553" s="368"/>
      <c r="H553" s="369">
        <f>SUM(H554:H559)</f>
        <v>0.25</v>
      </c>
      <c r="I553" s="370"/>
      <c r="J553" s="321"/>
      <c r="K553" s="321"/>
    </row>
    <row r="554" spans="2:11" ht="20" customHeight="1" x14ac:dyDescent="0.25">
      <c r="B554" s="409"/>
      <c r="C554" s="335"/>
      <c r="D554" s="372" t="s">
        <v>219</v>
      </c>
      <c r="E554" s="344" t="s">
        <v>42</v>
      </c>
      <c r="F554" s="367"/>
      <c r="G554" s="368"/>
      <c r="H554" s="369">
        <v>0.25</v>
      </c>
      <c r="I554" s="370"/>
      <c r="J554" s="330"/>
      <c r="K554" s="321"/>
    </row>
    <row r="555" spans="2:11" ht="20" customHeight="1" x14ac:dyDescent="0.25">
      <c r="B555" s="409"/>
      <c r="C555" s="335"/>
      <c r="D555" s="372" t="s">
        <v>220</v>
      </c>
      <c r="E555" s="344" t="s">
        <v>42</v>
      </c>
      <c r="F555" s="367"/>
      <c r="G555" s="368"/>
      <c r="H555" s="369"/>
      <c r="I555" s="370"/>
      <c r="J555" s="330"/>
      <c r="K555" s="321"/>
    </row>
    <row r="556" spans="2:11" ht="20" customHeight="1" x14ac:dyDescent="0.25">
      <c r="B556" s="409"/>
      <c r="C556" s="335"/>
      <c r="D556" s="371" t="s">
        <v>221</v>
      </c>
      <c r="E556" s="344" t="s">
        <v>42</v>
      </c>
      <c r="F556" s="367"/>
      <c r="G556" s="368"/>
      <c r="H556" s="369"/>
      <c r="I556" s="370"/>
      <c r="J556" s="321"/>
      <c r="K556" s="321"/>
    </row>
    <row r="557" spans="2:11" ht="20" customHeight="1" x14ac:dyDescent="0.25">
      <c r="B557" s="409"/>
      <c r="C557" s="335"/>
      <c r="D557" s="371" t="s">
        <v>222</v>
      </c>
      <c r="E557" s="344" t="s">
        <v>42</v>
      </c>
      <c r="F557" s="367"/>
      <c r="G557" s="368"/>
      <c r="H557" s="369"/>
      <c r="I557" s="370"/>
      <c r="J557" s="321"/>
      <c r="K557" s="321"/>
    </row>
    <row r="558" spans="2:11" ht="20" customHeight="1" x14ac:dyDescent="0.25">
      <c r="B558" s="409"/>
      <c r="C558" s="335"/>
      <c r="D558" s="371" t="s">
        <v>223</v>
      </c>
      <c r="E558" s="344" t="s">
        <v>42</v>
      </c>
      <c r="F558" s="367"/>
      <c r="G558" s="368"/>
      <c r="H558" s="369"/>
      <c r="I558" s="370"/>
      <c r="J558" s="321"/>
      <c r="K558" s="321"/>
    </row>
    <row r="559" spans="2:11" ht="20" customHeight="1" x14ac:dyDescent="0.25">
      <c r="B559" s="409"/>
      <c r="C559" s="335"/>
      <c r="D559" s="371" t="s">
        <v>224</v>
      </c>
      <c r="E559" s="344" t="s">
        <v>42</v>
      </c>
      <c r="F559" s="367"/>
      <c r="G559" s="368"/>
      <c r="H559" s="369"/>
      <c r="I559" s="370"/>
      <c r="J559" s="321"/>
      <c r="K559" s="321"/>
    </row>
    <row r="560" spans="2:11" ht="20" customHeight="1" x14ac:dyDescent="0.25">
      <c r="B560" s="409"/>
      <c r="C560" s="335"/>
      <c r="D560" s="371" t="s">
        <v>68</v>
      </c>
      <c r="E560" s="344"/>
      <c r="F560" s="367"/>
      <c r="G560" s="368"/>
      <c r="H560" s="369"/>
      <c r="I560" s="370"/>
      <c r="J560" s="321"/>
      <c r="K560" s="321"/>
    </row>
    <row r="561" spans="2:11" ht="20" customHeight="1" x14ac:dyDescent="0.25">
      <c r="B561" s="409"/>
      <c r="C561" s="335"/>
      <c r="D561" s="371" t="s">
        <v>217</v>
      </c>
      <c r="E561" s="344" t="s">
        <v>42</v>
      </c>
      <c r="F561" s="367"/>
      <c r="G561" s="368"/>
      <c r="H561" s="369">
        <f>IF(H24-H51-H72-H93&lt;0,0,H24-H51-H72-H93)</f>
        <v>0</v>
      </c>
      <c r="I561" s="370"/>
      <c r="J561" s="321"/>
      <c r="K561" s="321"/>
    </row>
    <row r="562" spans="2:11" ht="20" customHeight="1" x14ac:dyDescent="0.25">
      <c r="B562" s="409"/>
      <c r="C562" s="335"/>
      <c r="D562" s="371" t="s">
        <v>218</v>
      </c>
      <c r="E562" s="344" t="s">
        <v>138</v>
      </c>
      <c r="F562" s="367"/>
      <c r="G562" s="368"/>
      <c r="H562" s="369">
        <f>SUM(H563:H568)</f>
        <v>0.25</v>
      </c>
      <c r="I562" s="370"/>
      <c r="J562" s="321"/>
      <c r="K562" s="321"/>
    </row>
    <row r="563" spans="2:11" ht="20" customHeight="1" x14ac:dyDescent="0.25">
      <c r="B563" s="409"/>
      <c r="C563" s="335"/>
      <c r="D563" s="372" t="s">
        <v>219</v>
      </c>
      <c r="E563" s="344" t="s">
        <v>42</v>
      </c>
      <c r="F563" s="367"/>
      <c r="G563" s="368"/>
      <c r="H563" s="369">
        <v>0.25</v>
      </c>
      <c r="I563" s="370"/>
      <c r="J563" s="330"/>
      <c r="K563" s="321"/>
    </row>
    <row r="564" spans="2:11" ht="20" customHeight="1" x14ac:dyDescent="0.25">
      <c r="B564" s="409"/>
      <c r="C564" s="335"/>
      <c r="D564" s="372" t="s">
        <v>220</v>
      </c>
      <c r="E564" s="344" t="s">
        <v>42</v>
      </c>
      <c r="F564" s="367"/>
      <c r="G564" s="368"/>
      <c r="H564" s="369"/>
      <c r="I564" s="370"/>
      <c r="J564" s="330"/>
      <c r="K564" s="321"/>
    </row>
    <row r="565" spans="2:11" ht="20" customHeight="1" x14ac:dyDescent="0.25">
      <c r="B565" s="409"/>
      <c r="C565" s="335"/>
      <c r="D565" s="371" t="s">
        <v>221</v>
      </c>
      <c r="E565" s="344" t="s">
        <v>42</v>
      </c>
      <c r="F565" s="367"/>
      <c r="G565" s="368"/>
      <c r="H565" s="369"/>
      <c r="I565" s="370"/>
      <c r="J565" s="321"/>
      <c r="K565" s="321"/>
    </row>
    <row r="566" spans="2:11" ht="20" customHeight="1" x14ac:dyDescent="0.25">
      <c r="B566" s="409"/>
      <c r="C566" s="335"/>
      <c r="D566" s="371" t="s">
        <v>222</v>
      </c>
      <c r="E566" s="344" t="s">
        <v>42</v>
      </c>
      <c r="F566" s="367"/>
      <c r="G566" s="368"/>
      <c r="H566" s="369"/>
      <c r="I566" s="370"/>
      <c r="J566" s="321"/>
      <c r="K566" s="321"/>
    </row>
    <row r="567" spans="2:11" ht="20" customHeight="1" x14ac:dyDescent="0.25">
      <c r="B567" s="409"/>
      <c r="C567" s="335"/>
      <c r="D567" s="371" t="s">
        <v>223</v>
      </c>
      <c r="E567" s="344" t="s">
        <v>42</v>
      </c>
      <c r="F567" s="367"/>
      <c r="G567" s="368"/>
      <c r="H567" s="369"/>
      <c r="I567" s="370"/>
      <c r="J567" s="321"/>
      <c r="K567" s="321"/>
    </row>
    <row r="568" spans="2:11" ht="20" customHeight="1" x14ac:dyDescent="0.25">
      <c r="B568" s="409"/>
      <c r="C568" s="335"/>
      <c r="D568" s="371" t="s">
        <v>224</v>
      </c>
      <c r="E568" s="344" t="s">
        <v>42</v>
      </c>
      <c r="F568" s="367"/>
      <c r="G568" s="368"/>
      <c r="H568" s="369"/>
      <c r="I568" s="370"/>
      <c r="J568" s="321"/>
      <c r="K568" s="321"/>
    </row>
    <row r="569" spans="2:11" ht="20" customHeight="1" x14ac:dyDescent="0.25">
      <c r="B569" s="409"/>
      <c r="C569" s="335"/>
      <c r="D569" s="371" t="s">
        <v>69</v>
      </c>
      <c r="E569" s="344"/>
      <c r="F569" s="367"/>
      <c r="G569" s="368"/>
      <c r="H569" s="369"/>
      <c r="I569" s="370"/>
      <c r="J569" s="321"/>
      <c r="K569" s="321"/>
    </row>
    <row r="570" spans="2:11" ht="20" customHeight="1" x14ac:dyDescent="0.25">
      <c r="B570" s="409"/>
      <c r="C570" s="335"/>
      <c r="D570" s="371" t="s">
        <v>217</v>
      </c>
      <c r="E570" s="344" t="s">
        <v>42</v>
      </c>
      <c r="F570" s="367"/>
      <c r="G570" s="368"/>
      <c r="H570" s="369">
        <f>IF(H20-H52-H73-H94&lt;0,0,H20-H52-H73-H94)</f>
        <v>0</v>
      </c>
      <c r="I570" s="370"/>
      <c r="J570" s="321"/>
      <c r="K570" s="321"/>
    </row>
    <row r="571" spans="2:11" ht="20" customHeight="1" x14ac:dyDescent="0.25">
      <c r="B571" s="409"/>
      <c r="C571" s="335"/>
      <c r="D571" s="371" t="s">
        <v>218</v>
      </c>
      <c r="E571" s="344" t="s">
        <v>138</v>
      </c>
      <c r="F571" s="367"/>
      <c r="G571" s="368"/>
      <c r="H571" s="369">
        <f>SUM(H572:H577)</f>
        <v>0.25</v>
      </c>
      <c r="I571" s="370"/>
      <c r="J571" s="321"/>
      <c r="K571" s="321"/>
    </row>
    <row r="572" spans="2:11" ht="20" customHeight="1" x14ac:dyDescent="0.25">
      <c r="B572" s="409"/>
      <c r="C572" s="335"/>
      <c r="D572" s="372" t="s">
        <v>219</v>
      </c>
      <c r="E572" s="344" t="s">
        <v>42</v>
      </c>
      <c r="F572" s="367"/>
      <c r="G572" s="368"/>
      <c r="H572" s="369">
        <v>0.25</v>
      </c>
      <c r="I572" s="370"/>
      <c r="J572" s="330"/>
      <c r="K572" s="321"/>
    </row>
    <row r="573" spans="2:11" ht="20" customHeight="1" x14ac:dyDescent="0.25">
      <c r="B573" s="409"/>
      <c r="C573" s="335"/>
      <c r="D573" s="372" t="s">
        <v>220</v>
      </c>
      <c r="E573" s="344" t="s">
        <v>42</v>
      </c>
      <c r="F573" s="367"/>
      <c r="G573" s="368"/>
      <c r="H573" s="369"/>
      <c r="I573" s="370"/>
      <c r="J573" s="330"/>
      <c r="K573" s="321"/>
    </row>
    <row r="574" spans="2:11" ht="20" customHeight="1" x14ac:dyDescent="0.25">
      <c r="B574" s="409"/>
      <c r="C574" s="335"/>
      <c r="D574" s="371" t="s">
        <v>221</v>
      </c>
      <c r="E574" s="344" t="s">
        <v>42</v>
      </c>
      <c r="F574" s="367"/>
      <c r="G574" s="368"/>
      <c r="H574" s="369"/>
      <c r="I574" s="370"/>
      <c r="J574" s="321"/>
      <c r="K574" s="321"/>
    </row>
    <row r="575" spans="2:11" ht="20" customHeight="1" x14ac:dyDescent="0.25">
      <c r="B575" s="409"/>
      <c r="C575" s="335"/>
      <c r="D575" s="371" t="s">
        <v>222</v>
      </c>
      <c r="E575" s="344" t="s">
        <v>42</v>
      </c>
      <c r="F575" s="367"/>
      <c r="G575" s="368"/>
      <c r="H575" s="369"/>
      <c r="I575" s="370"/>
      <c r="J575" s="321"/>
      <c r="K575" s="321"/>
    </row>
    <row r="576" spans="2:11" ht="20" customHeight="1" x14ac:dyDescent="0.25">
      <c r="B576" s="409"/>
      <c r="C576" s="335"/>
      <c r="D576" s="371" t="s">
        <v>223</v>
      </c>
      <c r="E576" s="344" t="s">
        <v>42</v>
      </c>
      <c r="F576" s="367"/>
      <c r="G576" s="368"/>
      <c r="H576" s="369"/>
      <c r="I576" s="370"/>
      <c r="J576" s="321"/>
      <c r="K576" s="321"/>
    </row>
    <row r="577" spans="2:11" ht="20" customHeight="1" x14ac:dyDescent="0.25">
      <c r="B577" s="409"/>
      <c r="C577" s="335"/>
      <c r="D577" s="371" t="s">
        <v>224</v>
      </c>
      <c r="E577" s="344" t="s">
        <v>42</v>
      </c>
      <c r="F577" s="367"/>
      <c r="G577" s="368"/>
      <c r="H577" s="369"/>
      <c r="I577" s="370"/>
      <c r="J577" s="321"/>
      <c r="K577" s="321"/>
    </row>
    <row r="578" spans="2:11" ht="20" customHeight="1" x14ac:dyDescent="0.25">
      <c r="B578" s="409"/>
      <c r="C578" s="335"/>
      <c r="D578" s="371" t="s">
        <v>70</v>
      </c>
      <c r="E578" s="344"/>
      <c r="F578" s="367"/>
      <c r="G578" s="368"/>
      <c r="H578" s="369"/>
      <c r="I578" s="370"/>
      <c r="J578" s="321"/>
      <c r="K578" s="321"/>
    </row>
    <row r="579" spans="2:11" ht="20" customHeight="1" x14ac:dyDescent="0.25">
      <c r="B579" s="409"/>
      <c r="C579" s="335"/>
      <c r="D579" s="371" t="s">
        <v>217</v>
      </c>
      <c r="E579" s="344" t="s">
        <v>42</v>
      </c>
      <c r="F579" s="367"/>
      <c r="G579" s="368"/>
      <c r="H579" s="369">
        <f>IF(H26-H53-H74-H95&lt;0,0,H26-H53-H74-H95)</f>
        <v>0</v>
      </c>
      <c r="I579" s="370"/>
      <c r="J579" s="321"/>
      <c r="K579" s="321"/>
    </row>
    <row r="580" spans="2:11" ht="20" customHeight="1" x14ac:dyDescent="0.25">
      <c r="B580" s="409"/>
      <c r="C580" s="335"/>
      <c r="D580" s="371" t="s">
        <v>218</v>
      </c>
      <c r="E580" s="344" t="s">
        <v>138</v>
      </c>
      <c r="F580" s="367"/>
      <c r="G580" s="368"/>
      <c r="H580" s="369">
        <f>SUM(H581:H586)</f>
        <v>0.25</v>
      </c>
      <c r="I580" s="370"/>
      <c r="J580" s="321"/>
      <c r="K580" s="321"/>
    </row>
    <row r="581" spans="2:11" ht="20" customHeight="1" x14ac:dyDescent="0.25">
      <c r="B581" s="409"/>
      <c r="C581" s="335"/>
      <c r="D581" s="372" t="s">
        <v>219</v>
      </c>
      <c r="E581" s="344" t="s">
        <v>42</v>
      </c>
      <c r="F581" s="367"/>
      <c r="G581" s="368"/>
      <c r="H581" s="369">
        <v>0.25</v>
      </c>
      <c r="I581" s="370"/>
      <c r="J581" s="330"/>
      <c r="K581" s="321"/>
    </row>
    <row r="582" spans="2:11" ht="20" customHeight="1" x14ac:dyDescent="0.25">
      <c r="B582" s="409"/>
      <c r="C582" s="335"/>
      <c r="D582" s="372" t="s">
        <v>220</v>
      </c>
      <c r="E582" s="344" t="s">
        <v>42</v>
      </c>
      <c r="F582" s="367"/>
      <c r="G582" s="368"/>
      <c r="H582" s="369"/>
      <c r="I582" s="370"/>
      <c r="J582" s="330"/>
      <c r="K582" s="321"/>
    </row>
    <row r="583" spans="2:11" ht="20" customHeight="1" x14ac:dyDescent="0.25">
      <c r="B583" s="409"/>
      <c r="C583" s="335"/>
      <c r="D583" s="371" t="s">
        <v>221</v>
      </c>
      <c r="E583" s="344" t="s">
        <v>42</v>
      </c>
      <c r="F583" s="367"/>
      <c r="G583" s="368"/>
      <c r="H583" s="369"/>
      <c r="I583" s="370"/>
      <c r="J583" s="321"/>
      <c r="K583" s="321"/>
    </row>
    <row r="584" spans="2:11" ht="20" customHeight="1" x14ac:dyDescent="0.25">
      <c r="B584" s="409"/>
      <c r="C584" s="335"/>
      <c r="D584" s="371" t="s">
        <v>222</v>
      </c>
      <c r="E584" s="344" t="s">
        <v>42</v>
      </c>
      <c r="F584" s="367"/>
      <c r="G584" s="368"/>
      <c r="H584" s="369"/>
      <c r="I584" s="370"/>
      <c r="J584" s="321"/>
      <c r="K584" s="321"/>
    </row>
    <row r="585" spans="2:11" ht="20" customHeight="1" x14ac:dyDescent="0.25">
      <c r="B585" s="409"/>
      <c r="C585" s="335"/>
      <c r="D585" s="371" t="s">
        <v>223</v>
      </c>
      <c r="E585" s="344" t="s">
        <v>42</v>
      </c>
      <c r="F585" s="367"/>
      <c r="G585" s="368"/>
      <c r="H585" s="369"/>
      <c r="I585" s="370"/>
      <c r="J585" s="321"/>
      <c r="K585" s="321"/>
    </row>
    <row r="586" spans="2:11" ht="20" customHeight="1" x14ac:dyDescent="0.25">
      <c r="B586" s="409"/>
      <c r="C586" s="335"/>
      <c r="D586" s="371" t="s">
        <v>224</v>
      </c>
      <c r="E586" s="344" t="s">
        <v>42</v>
      </c>
      <c r="F586" s="367"/>
      <c r="G586" s="368"/>
      <c r="H586" s="369"/>
      <c r="I586" s="370"/>
      <c r="J586" s="321"/>
      <c r="K586" s="321"/>
    </row>
    <row r="587" spans="2:11" ht="20" customHeight="1" x14ac:dyDescent="0.25">
      <c r="B587" s="409"/>
      <c r="C587" s="335"/>
      <c r="D587" s="371" t="s">
        <v>71</v>
      </c>
      <c r="E587" s="344"/>
      <c r="F587" s="367"/>
      <c r="G587" s="368"/>
      <c r="H587" s="369"/>
      <c r="I587" s="370"/>
      <c r="J587" s="321"/>
      <c r="K587" s="321"/>
    </row>
    <row r="588" spans="2:11" ht="20" customHeight="1" x14ac:dyDescent="0.25">
      <c r="B588" s="409"/>
      <c r="C588" s="335"/>
      <c r="D588" s="371" t="s">
        <v>217</v>
      </c>
      <c r="E588" s="344" t="s">
        <v>42</v>
      </c>
      <c r="F588" s="367"/>
      <c r="G588" s="368"/>
      <c r="H588" s="369">
        <f>IF(H27-H54-H75-H96&lt;0,0,H27-H54-H75-H96)</f>
        <v>0</v>
      </c>
      <c r="I588" s="370"/>
      <c r="J588" s="321"/>
      <c r="K588" s="321"/>
    </row>
    <row r="589" spans="2:11" ht="20" customHeight="1" x14ac:dyDescent="0.25">
      <c r="B589" s="409"/>
      <c r="C589" s="335"/>
      <c r="D589" s="371" t="s">
        <v>218</v>
      </c>
      <c r="E589" s="344" t="s">
        <v>138</v>
      </c>
      <c r="F589" s="367"/>
      <c r="G589" s="368"/>
      <c r="H589" s="369">
        <f>SUM(H590:H595)</f>
        <v>0.25</v>
      </c>
      <c r="I589" s="370"/>
      <c r="J589" s="321"/>
      <c r="K589" s="321"/>
    </row>
    <row r="590" spans="2:11" ht="20" customHeight="1" x14ac:dyDescent="0.25">
      <c r="B590" s="409"/>
      <c r="C590" s="335"/>
      <c r="D590" s="372" t="s">
        <v>219</v>
      </c>
      <c r="E590" s="344" t="s">
        <v>42</v>
      </c>
      <c r="F590" s="367"/>
      <c r="G590" s="368"/>
      <c r="H590" s="369">
        <v>0.25</v>
      </c>
      <c r="I590" s="370"/>
      <c r="J590" s="330"/>
      <c r="K590" s="321"/>
    </row>
    <row r="591" spans="2:11" ht="20" customHeight="1" x14ac:dyDescent="0.25">
      <c r="B591" s="409"/>
      <c r="C591" s="335"/>
      <c r="D591" s="372" t="s">
        <v>220</v>
      </c>
      <c r="E591" s="344" t="s">
        <v>42</v>
      </c>
      <c r="F591" s="367"/>
      <c r="G591" s="368"/>
      <c r="H591" s="369"/>
      <c r="I591" s="370"/>
      <c r="J591" s="330"/>
      <c r="K591" s="321"/>
    </row>
    <row r="592" spans="2:11" ht="20" customHeight="1" x14ac:dyDescent="0.25">
      <c r="B592" s="409"/>
      <c r="C592" s="335"/>
      <c r="D592" s="371" t="s">
        <v>221</v>
      </c>
      <c r="E592" s="344" t="s">
        <v>42</v>
      </c>
      <c r="F592" s="367"/>
      <c r="G592" s="368"/>
      <c r="H592" s="369"/>
      <c r="I592" s="370"/>
      <c r="J592" s="321"/>
      <c r="K592" s="321"/>
    </row>
    <row r="593" spans="2:11" ht="20" customHeight="1" x14ac:dyDescent="0.25">
      <c r="B593" s="409"/>
      <c r="C593" s="335"/>
      <c r="D593" s="371" t="s">
        <v>222</v>
      </c>
      <c r="E593" s="344" t="s">
        <v>42</v>
      </c>
      <c r="F593" s="367"/>
      <c r="G593" s="368"/>
      <c r="H593" s="369"/>
      <c r="I593" s="370"/>
      <c r="J593" s="321"/>
      <c r="K593" s="321"/>
    </row>
    <row r="594" spans="2:11" ht="20" customHeight="1" x14ac:dyDescent="0.25">
      <c r="B594" s="409"/>
      <c r="C594" s="335"/>
      <c r="D594" s="371" t="s">
        <v>223</v>
      </c>
      <c r="E594" s="344" t="s">
        <v>42</v>
      </c>
      <c r="F594" s="367"/>
      <c r="G594" s="368"/>
      <c r="H594" s="369"/>
      <c r="I594" s="370"/>
      <c r="J594" s="321"/>
      <c r="K594" s="321"/>
    </row>
    <row r="595" spans="2:11" ht="20" customHeight="1" x14ac:dyDescent="0.25">
      <c r="B595" s="409"/>
      <c r="C595" s="335"/>
      <c r="D595" s="371" t="s">
        <v>224</v>
      </c>
      <c r="E595" s="344" t="s">
        <v>42</v>
      </c>
      <c r="F595" s="367"/>
      <c r="G595" s="368"/>
      <c r="H595" s="369"/>
      <c r="I595" s="370"/>
      <c r="J595" s="321"/>
      <c r="K595" s="321"/>
    </row>
    <row r="596" spans="2:11" ht="29.5" customHeight="1" x14ac:dyDescent="0.25">
      <c r="B596" s="409"/>
      <c r="C596" s="335"/>
      <c r="D596" s="299" t="s">
        <v>225</v>
      </c>
      <c r="E596" s="308"/>
      <c r="F596" s="308"/>
      <c r="G596" s="321"/>
      <c r="H596" s="319"/>
      <c r="I596" s="320"/>
      <c r="J596" s="321"/>
      <c r="K596" s="321"/>
    </row>
    <row r="597" spans="2:11" ht="29.5" customHeight="1" x14ac:dyDescent="0.25">
      <c r="B597" s="409"/>
      <c r="C597" s="335"/>
      <c r="D597" s="373" t="s">
        <v>51</v>
      </c>
      <c r="E597" s="344" t="s">
        <v>138</v>
      </c>
      <c r="F597" s="367"/>
      <c r="G597" s="368" t="s">
        <v>226</v>
      </c>
      <c r="H597" s="374">
        <f>[2]参数输入表!$H21*[2]参数输入表!$H77/10*[2]参数输入表!$H$103+[3]参数输入表!$H$17*[3]参数输入表!$H45*[3]参数输入表!$H$66/10+[4]参数输入表!$H295*[4]参数输入表!$H382/10*[4]参数输入表!$H316</f>
        <v>3653.88</v>
      </c>
      <c r="I597" s="370" t="s">
        <v>120</v>
      </c>
      <c r="J597" s="321"/>
      <c r="K597" s="321"/>
    </row>
    <row r="598" spans="2:11" ht="29.5" customHeight="1" x14ac:dyDescent="0.25">
      <c r="B598" s="409"/>
      <c r="C598" s="335"/>
      <c r="D598" s="373" t="s">
        <v>53</v>
      </c>
      <c r="E598" s="344" t="s">
        <v>138</v>
      </c>
      <c r="F598" s="367"/>
      <c r="G598" s="368" t="s">
        <v>226</v>
      </c>
      <c r="H598" s="374">
        <f>[2]参数输入表!$H22*[2]参数输入表!$H78/10*[2]参数输入表!$H$103+[3]参数输入表!$H$17*[3]参数输入表!$H46*[3]参数输入表!$H$66/10+[4]参数输入表!$H296*[4]参数输入表!$H383/10*[4]参数输入表!$H317</f>
        <v>3642.3428999999996</v>
      </c>
      <c r="I598" s="370" t="s">
        <v>120</v>
      </c>
      <c r="J598" s="321"/>
      <c r="K598" s="321"/>
    </row>
    <row r="599" spans="2:11" ht="29.5" customHeight="1" x14ac:dyDescent="0.25">
      <c r="B599" s="409"/>
      <c r="C599" s="335"/>
      <c r="D599" s="373" t="s">
        <v>54</v>
      </c>
      <c r="E599" s="344" t="s">
        <v>138</v>
      </c>
      <c r="F599" s="367"/>
      <c r="G599" s="368" t="s">
        <v>226</v>
      </c>
      <c r="H599" s="374">
        <f>[2]参数输入表!$H23*[2]参数输入表!$H79/10*[2]参数输入表!$H$103+[3]参数输入表!$H$17*[3]参数输入表!$H47*[3]参数输入表!$H$66/10+[4]参数输入表!$H297*[4]参数输入表!$H384/10*[4]参数输入表!$H318</f>
        <v>3630.8442912000005</v>
      </c>
      <c r="I599" s="370" t="s">
        <v>120</v>
      </c>
      <c r="J599" s="321"/>
      <c r="K599" s="321"/>
    </row>
    <row r="600" spans="2:11" ht="29.5" customHeight="1" x14ac:dyDescent="0.25">
      <c r="B600" s="409"/>
      <c r="C600" s="335"/>
      <c r="D600" s="373" t="s">
        <v>55</v>
      </c>
      <c r="E600" s="344" t="s">
        <v>138</v>
      </c>
      <c r="F600" s="367"/>
      <c r="G600" s="368" t="s">
        <v>226</v>
      </c>
      <c r="H600" s="374">
        <f>[2]参数输入表!$H24*[2]参数输入表!$H80/10*[2]参数输入表!$H$103+[3]参数输入表!$H$17*[3]参数输入表!$H48*[3]参数输入表!$H$66/10+[4]参数输入表!$H298*[4]参数输入表!$H385/10*[4]参数输入表!$H319</f>
        <v>3619.3840003895998</v>
      </c>
      <c r="I600" s="370" t="s">
        <v>120</v>
      </c>
      <c r="J600" s="321"/>
      <c r="K600" s="321"/>
    </row>
    <row r="601" spans="2:11" ht="29.5" customHeight="1" x14ac:dyDescent="0.25">
      <c r="B601" s="409"/>
      <c r="C601" s="335"/>
      <c r="D601" s="373" t="s">
        <v>56</v>
      </c>
      <c r="E601" s="344" t="s">
        <v>138</v>
      </c>
      <c r="F601" s="367"/>
      <c r="G601" s="368" t="s">
        <v>226</v>
      </c>
      <c r="H601" s="374">
        <f>[2]参数输入表!$H25*[2]参数输入表!$H81/10*[2]参数输入表!$H$103+[3]参数输入表!$H$17*[3]参数输入表!$H49*[3]参数输入表!$H$66/10+[4]参数输入表!$H299*[4]参数输入表!$H386/10*[4]参数输入表!$H320</f>
        <v>3607.961855137848</v>
      </c>
      <c r="I601" s="370" t="s">
        <v>120</v>
      </c>
      <c r="J601" s="321"/>
      <c r="K601" s="321"/>
    </row>
    <row r="602" spans="2:11" ht="29.5" customHeight="1" x14ac:dyDescent="0.25">
      <c r="B602" s="409"/>
      <c r="C602" s="335"/>
      <c r="D602" s="373" t="s">
        <v>57</v>
      </c>
      <c r="E602" s="344" t="s">
        <v>138</v>
      </c>
      <c r="F602" s="367"/>
      <c r="G602" s="368" t="s">
        <v>226</v>
      </c>
      <c r="H602" s="374">
        <f>[2]参数输入表!$H26*[2]参数输入表!$H82/10*[2]参数输入表!$H$103+[3]参数输入表!$H$17*[3]参数输入表!$H50*[3]参数输入表!$H$66/10+[4]参数输入表!$H300*[4]参数输入表!$H387/10*[4]参数输入表!$H321</f>
        <v>4981.5057573056183</v>
      </c>
      <c r="I602" s="370" t="s">
        <v>120</v>
      </c>
      <c r="J602" s="321"/>
      <c r="K602" s="321"/>
    </row>
    <row r="603" spans="2:11" ht="29.5" customHeight="1" x14ac:dyDescent="0.25">
      <c r="B603" s="409"/>
      <c r="C603" s="335"/>
      <c r="D603" s="373" t="s">
        <v>58</v>
      </c>
      <c r="E603" s="344" t="s">
        <v>138</v>
      </c>
      <c r="F603" s="367"/>
      <c r="G603" s="368" t="s">
        <v>226</v>
      </c>
      <c r="H603" s="374">
        <f>[2]参数输入表!$H27*[2]参数输入表!$H83/10*[2]参数输入表!$H$103+[3]参数输入表!$H$17*[3]参数输入表!$H51*[3]参数输入表!$H$66/10+[4]参数输入表!$H301*[4]参数输入表!$H388/10*[4]参数输入表!$H322</f>
        <v>4966.814241647744</v>
      </c>
      <c r="I603" s="370" t="s">
        <v>120</v>
      </c>
      <c r="J603" s="321"/>
      <c r="K603" s="321"/>
    </row>
    <row r="604" spans="2:11" ht="29.5" customHeight="1" x14ac:dyDescent="0.25">
      <c r="B604" s="409"/>
      <c r="C604" s="335"/>
      <c r="D604" s="373" t="s">
        <v>59</v>
      </c>
      <c r="E604" s="344" t="s">
        <v>138</v>
      </c>
      <c r="F604" s="367"/>
      <c r="G604" s="368" t="s">
        <v>226</v>
      </c>
      <c r="H604" s="374">
        <f>[2]参数输入表!$H28*[2]参数输入表!$H84/10*[2]参数输入表!$H$103+[3]参数输入表!$H$17*[3]参数输入表!$H52*[3]参数输入表!$H$66/10+[4]参数输入表!$H302*[4]参数输入表!$H389/10*[4]参数输入表!$H323</f>
        <v>4952.1754120603282</v>
      </c>
      <c r="I604" s="370" t="s">
        <v>120</v>
      </c>
      <c r="J604" s="321"/>
      <c r="K604" s="321"/>
    </row>
    <row r="605" spans="2:11" ht="29.5" customHeight="1" x14ac:dyDescent="0.25">
      <c r="B605" s="409"/>
      <c r="C605" s="335"/>
      <c r="D605" s="373" t="s">
        <v>60</v>
      </c>
      <c r="E605" s="344" t="s">
        <v>138</v>
      </c>
      <c r="F605" s="367"/>
      <c r="G605" s="368" t="s">
        <v>226</v>
      </c>
      <c r="H605" s="374">
        <f>[2]参数输入表!$H29*[2]参数输入表!$H85/10*[2]参数输入表!$H$103+[3]参数输入表!$H$17*[3]参数输入表!$H53*[3]参数输入表!$H$66/10+[4]参数输入表!$H303*[4]参数输入表!$H390/10*[4]参数输入表!$H324</f>
        <v>4937.5890314560565</v>
      </c>
      <c r="I605" s="370" t="s">
        <v>120</v>
      </c>
      <c r="J605" s="321"/>
      <c r="K605" s="321"/>
    </row>
    <row r="606" spans="2:11" ht="29.5" customHeight="1" x14ac:dyDescent="0.25">
      <c r="B606" s="409"/>
      <c r="C606" s="335"/>
      <c r="D606" s="373" t="s">
        <v>61</v>
      </c>
      <c r="E606" s="344" t="s">
        <v>138</v>
      </c>
      <c r="F606" s="367"/>
      <c r="G606" s="368" t="s">
        <v>226</v>
      </c>
      <c r="H606" s="374">
        <f>[2]参数输入表!$H30*[2]参数输入表!$H86/10*[2]参数输入表!$H$103+[3]参数输入表!$H$17*[3]参数输入表!$H54*[3]参数输入表!$H$66/10+[4]参数输入表!$H304*[4]参数输入表!$H391/10*[4]参数输入表!$H325</f>
        <v>4923.0548638145037</v>
      </c>
      <c r="I606" s="370" t="s">
        <v>120</v>
      </c>
      <c r="J606" s="321"/>
      <c r="K606" s="321"/>
    </row>
    <row r="607" spans="2:11" ht="29.5" customHeight="1" x14ac:dyDescent="0.25">
      <c r="B607" s="409"/>
      <c r="C607" s="335"/>
      <c r="D607" s="373" t="s">
        <v>62</v>
      </c>
      <c r="E607" s="344" t="s">
        <v>138</v>
      </c>
      <c r="F607" s="367"/>
      <c r="G607" s="368" t="s">
        <v>226</v>
      </c>
      <c r="H607" s="374">
        <f>[2]参数输入表!$H31*[2]参数输入表!$H87/10*[2]参数输入表!$H$103+[3]参数输入表!$H$17*[3]参数输入表!$H55*[3]参数输入表!$H$66/10+[4]参数输入表!$H305*[4]参数输入表!$H392/10*[4]参数输入表!$H326</f>
        <v>4938.4076741773379</v>
      </c>
      <c r="I607" s="370" t="s">
        <v>120</v>
      </c>
      <c r="J607" s="321"/>
      <c r="K607" s="321"/>
    </row>
    <row r="608" spans="2:11" ht="29.5" customHeight="1" x14ac:dyDescent="0.25">
      <c r="B608" s="409"/>
      <c r="C608" s="335"/>
      <c r="D608" s="373" t="s">
        <v>63</v>
      </c>
      <c r="E608" s="344" t="s">
        <v>138</v>
      </c>
      <c r="F608" s="367"/>
      <c r="G608" s="368" t="s">
        <v>226</v>
      </c>
      <c r="H608" s="374">
        <f>[2]参数输入表!$H32*[2]参数输入表!$H88/10*[2]参数输入表!$H$103+[3]参数输入表!$H$17*[3]参数输入表!$H56*[3]参数输入表!$H$66/10+[4]参数输入表!$H306*[4]参数输入表!$H393/10*[4]参数输入表!$H327</f>
        <v>4923.9772286435409</v>
      </c>
      <c r="I608" s="370" t="s">
        <v>120</v>
      </c>
      <c r="J608" s="321"/>
      <c r="K608" s="321"/>
    </row>
    <row r="609" spans="2:11" ht="29.5" customHeight="1" x14ac:dyDescent="0.25">
      <c r="B609" s="409"/>
      <c r="C609" s="335"/>
      <c r="D609" s="373" t="s">
        <v>64</v>
      </c>
      <c r="E609" s="344" t="s">
        <v>138</v>
      </c>
      <c r="F609" s="367"/>
      <c r="G609" s="368" t="s">
        <v>226</v>
      </c>
      <c r="H609" s="374">
        <f>[2]参数输入表!$H33*[2]参数输入表!$H89/10*[2]参数输入表!$H$103+[3]参数输入表!$H$17*[3]参数输入表!$H57*[3]参数输入表!$H$66/10+[4]参数输入表!$H307*[4]参数输入表!$H394/10*[4]参数输入表!$H328</f>
        <v>4909.5982943646441</v>
      </c>
      <c r="I609" s="370" t="s">
        <v>120</v>
      </c>
      <c r="J609" s="321"/>
      <c r="K609" s="321"/>
    </row>
    <row r="610" spans="2:11" ht="29.5" customHeight="1" x14ac:dyDescent="0.25">
      <c r="B610" s="409"/>
      <c r="C610" s="335"/>
      <c r="D610" s="373" t="s">
        <v>65</v>
      </c>
      <c r="E610" s="344" t="s">
        <v>138</v>
      </c>
      <c r="F610" s="367"/>
      <c r="G610" s="368" t="s">
        <v>226</v>
      </c>
      <c r="H610" s="374">
        <f>[2]参数输入表!$H34*[2]参数输入表!$H90/10*[2]参数输入表!$H$103+[3]参数输入表!$H$17*[3]参数输入表!$H58*[3]参数输入表!$H$66/10+[4]参数输入表!$H308*[4]参数输入表!$H395/10*[4]参数输入表!$H329</f>
        <v>4895.2706395400037</v>
      </c>
      <c r="I610" s="370" t="s">
        <v>120</v>
      </c>
      <c r="J610" s="321"/>
      <c r="K610" s="321"/>
    </row>
    <row r="611" spans="2:11" ht="29.5" customHeight="1" x14ac:dyDescent="0.25">
      <c r="B611" s="409"/>
      <c r="C611" s="335"/>
      <c r="D611" s="373" t="s">
        <v>66</v>
      </c>
      <c r="E611" s="344" t="s">
        <v>138</v>
      </c>
      <c r="F611" s="367"/>
      <c r="G611" s="368" t="s">
        <v>226</v>
      </c>
      <c r="H611" s="374">
        <f>[2]参数输入表!$H35*[2]参数输入表!$H91/10*[2]参数输入表!$H$103+[3]参数输入表!$H$17*[3]参数输入表!$H59*[3]参数输入表!$H$66/10+[4]参数输入表!$H309*[4]参数输入表!$H396/10*[4]参数输入表!$H330</f>
        <v>4880.9940334120747</v>
      </c>
      <c r="I611" s="370" t="s">
        <v>120</v>
      </c>
      <c r="J611" s="321"/>
      <c r="K611" s="321"/>
    </row>
    <row r="612" spans="2:11" ht="29.5" customHeight="1" x14ac:dyDescent="0.25">
      <c r="B612" s="409"/>
      <c r="C612" s="335"/>
      <c r="D612" s="373" t="s">
        <v>67</v>
      </c>
      <c r="E612" s="344" t="s">
        <v>138</v>
      </c>
      <c r="F612" s="367"/>
      <c r="G612" s="368" t="s">
        <v>226</v>
      </c>
      <c r="H612" s="374">
        <f>[2]参数输入表!$H36*[2]参数输入表!$H92/10*[2]参数输入表!$H$103+[3]参数输入表!$H$17*[3]参数输入表!$H60*[3]参数输入表!$H$66/10+[4]参数输入表!$H310*[4]参数输入表!$H397/10*[4]参数输入表!$H331</f>
        <v>4866.7682462617204</v>
      </c>
      <c r="I612" s="370" t="s">
        <v>120</v>
      </c>
      <c r="J612" s="321"/>
      <c r="K612" s="321"/>
    </row>
    <row r="613" spans="2:11" ht="29.5" customHeight="1" x14ac:dyDescent="0.25">
      <c r="B613" s="409"/>
      <c r="C613" s="335"/>
      <c r="D613" s="373" t="s">
        <v>68</v>
      </c>
      <c r="E613" s="344" t="s">
        <v>138</v>
      </c>
      <c r="F613" s="367"/>
      <c r="G613" s="368" t="s">
        <v>226</v>
      </c>
      <c r="H613" s="374">
        <f>[2]参数输入表!$H37*[2]参数输入表!$H93/10*[2]参数输入表!$H$103+[3]参数输入表!$H$17*[3]参数输入表!$H61*[3]参数输入表!$H$66/10+[4]参数输入表!$H311*[4]参数输入表!$H398/10*[4]参数输入表!$H332</f>
        <v>4852.5930494035438</v>
      </c>
      <c r="I613" s="370" t="s">
        <v>120</v>
      </c>
      <c r="J613" s="321"/>
      <c r="K613" s="321"/>
    </row>
    <row r="614" spans="2:11" ht="29.5" customHeight="1" x14ac:dyDescent="0.25">
      <c r="B614" s="409"/>
      <c r="C614" s="335"/>
      <c r="D614" s="373" t="s">
        <v>69</v>
      </c>
      <c r="E614" s="344" t="s">
        <v>138</v>
      </c>
      <c r="F614" s="367"/>
      <c r="G614" s="368" t="s">
        <v>226</v>
      </c>
      <c r="H614" s="374">
        <f>[2]参数输入表!$H38*[2]参数输入表!$H94/10*[2]参数输入表!$H$103+[3]参数输入表!$H$17*[3]参数输入表!$H62*[3]参数输入表!$H$66/10+[4]参数输入表!$H312*[4]参数输入表!$H399/10*[4]参数输入表!$H333</f>
        <v>4838.4682151812258</v>
      </c>
      <c r="I614" s="370" t="s">
        <v>120</v>
      </c>
      <c r="J614" s="321"/>
      <c r="K614" s="321"/>
    </row>
    <row r="615" spans="2:11" ht="29.5" customHeight="1" x14ac:dyDescent="0.25">
      <c r="B615" s="409"/>
      <c r="C615" s="335"/>
      <c r="D615" s="373" t="s">
        <v>70</v>
      </c>
      <c r="E615" s="344" t="s">
        <v>138</v>
      </c>
      <c r="F615" s="367"/>
      <c r="G615" s="368" t="s">
        <v>226</v>
      </c>
      <c r="H615" s="374">
        <f>[2]参数输入表!$H39*[2]参数输入表!$H95/10*[2]参数输入表!$H$103+[3]参数输入表!$H$17*[3]参数输入表!$H63*[3]参数输入表!$H$66/10+[4]参数输入表!$H313*[4]参数输入表!$H400/10*[4]参数输入表!$H334</f>
        <v>4824.3935169629103</v>
      </c>
      <c r="I615" s="370" t="s">
        <v>227</v>
      </c>
      <c r="J615" s="321"/>
      <c r="K615" s="321"/>
    </row>
    <row r="616" spans="2:11" ht="29.5" customHeight="1" x14ac:dyDescent="0.25">
      <c r="B616" s="409"/>
      <c r="C616" s="335"/>
      <c r="D616" s="373" t="s">
        <v>71</v>
      </c>
      <c r="E616" s="344" t="s">
        <v>138</v>
      </c>
      <c r="F616" s="367"/>
      <c r="G616" s="368" t="s">
        <v>226</v>
      </c>
      <c r="H616" s="374">
        <f>[2]参数输入表!$H40*[2]参数输入表!$H96/10*[2]参数输入表!$H$103+[3]参数输入表!$H$17*[3]参数输入表!$H64*[3]参数输入表!$H$66/10+[4]参数输入表!$H314*[4]参数输入表!$H401/10*[4]参数输入表!$H335</f>
        <v>4810.3687291365786</v>
      </c>
      <c r="I616" s="370" t="s">
        <v>227</v>
      </c>
      <c r="J616" s="321"/>
      <c r="K616" s="321"/>
    </row>
    <row r="617" spans="2:11" ht="29.5" customHeight="1" x14ac:dyDescent="0.25">
      <c r="B617" s="409"/>
      <c r="C617" s="335"/>
      <c r="D617" s="306" t="s">
        <v>197</v>
      </c>
      <c r="E617" s="308" t="s">
        <v>77</v>
      </c>
      <c r="F617" s="308"/>
      <c r="G617" s="375">
        <v>0.13</v>
      </c>
      <c r="H617" s="375">
        <v>0.13</v>
      </c>
      <c r="I617" s="308" t="s">
        <v>88</v>
      </c>
      <c r="J617" s="321"/>
      <c r="K617" s="321"/>
    </row>
    <row r="618" spans="2:11" ht="27.5" customHeight="1" x14ac:dyDescent="0.25">
      <c r="B618" s="409"/>
      <c r="C618" s="323">
        <v>9</v>
      </c>
      <c r="D618" s="299" t="s">
        <v>228</v>
      </c>
      <c r="E618" s="308"/>
      <c r="F618" s="308" t="s">
        <v>229</v>
      </c>
      <c r="G618" s="318"/>
      <c r="H618" s="319"/>
      <c r="I618" s="320"/>
      <c r="J618" s="318"/>
      <c r="K618" s="321"/>
    </row>
    <row r="619" spans="2:11" ht="27.5" customHeight="1" x14ac:dyDescent="0.25">
      <c r="B619" s="409"/>
      <c r="C619" s="335">
        <v>9.1</v>
      </c>
      <c r="D619" s="376" t="s">
        <v>230</v>
      </c>
      <c r="E619" s="308"/>
      <c r="F619" s="308"/>
      <c r="G619" s="318"/>
      <c r="H619" s="319"/>
      <c r="I619" s="320"/>
      <c r="J619" s="318"/>
      <c r="K619" s="321"/>
    </row>
    <row r="620" spans="2:11" ht="43" customHeight="1" x14ac:dyDescent="0.25">
      <c r="B620" s="409"/>
      <c r="C620" s="335"/>
      <c r="D620" s="336" t="s">
        <v>231</v>
      </c>
      <c r="E620" s="308" t="s">
        <v>138</v>
      </c>
      <c r="F620" s="308"/>
      <c r="G620" s="318" t="s">
        <v>232</v>
      </c>
      <c r="H620" s="319"/>
      <c r="I620" s="320" t="s">
        <v>120</v>
      </c>
      <c r="J620" s="318"/>
      <c r="K620" s="321"/>
    </row>
    <row r="621" spans="2:11" ht="24.5" customHeight="1" x14ac:dyDescent="0.25">
      <c r="B621" s="409"/>
      <c r="C621" s="377" t="s">
        <v>233</v>
      </c>
      <c r="D621" s="336" t="s">
        <v>234</v>
      </c>
      <c r="E621" s="308" t="s">
        <v>77</v>
      </c>
      <c r="F621" s="308"/>
      <c r="G621" s="378" t="s">
        <v>235</v>
      </c>
      <c r="H621" s="319"/>
      <c r="I621" s="320"/>
      <c r="J621" s="321" t="s">
        <v>236</v>
      </c>
      <c r="K621" s="321"/>
    </row>
    <row r="622" spans="2:11" x14ac:dyDescent="0.25">
      <c r="B622" s="409"/>
      <c r="C622" s="377" t="s">
        <v>237</v>
      </c>
      <c r="D622" s="336" t="s">
        <v>238</v>
      </c>
      <c r="E622" s="308" t="s">
        <v>42</v>
      </c>
      <c r="F622" s="308"/>
      <c r="G622" s="378"/>
      <c r="H622" s="319">
        <v>15</v>
      </c>
      <c r="I622" s="320" t="s">
        <v>94</v>
      </c>
      <c r="J622" s="321"/>
      <c r="K622" s="321"/>
    </row>
    <row r="623" spans="2:11" x14ac:dyDescent="0.25">
      <c r="B623" s="409"/>
      <c r="C623" s="377" t="s">
        <v>239</v>
      </c>
      <c r="D623" s="336" t="s">
        <v>240</v>
      </c>
      <c r="E623" s="308" t="s">
        <v>42</v>
      </c>
      <c r="F623" s="308"/>
      <c r="G623" s="378"/>
      <c r="H623" s="322">
        <v>0.05</v>
      </c>
      <c r="I623" s="308" t="s">
        <v>88</v>
      </c>
      <c r="J623" s="321"/>
      <c r="K623" s="321"/>
    </row>
    <row r="624" spans="2:11" x14ac:dyDescent="0.25">
      <c r="B624" s="409"/>
      <c r="C624" s="335">
        <v>9.1999999999999993</v>
      </c>
      <c r="D624" s="376" t="s">
        <v>241</v>
      </c>
      <c r="E624" s="308"/>
      <c r="F624" s="308"/>
      <c r="G624" s="378"/>
      <c r="H624" s="322"/>
      <c r="I624" s="308"/>
      <c r="J624" s="321"/>
      <c r="K624" s="321"/>
    </row>
    <row r="625" spans="2:11" x14ac:dyDescent="0.25">
      <c r="B625" s="409"/>
      <c r="C625" s="335" t="s">
        <v>242</v>
      </c>
      <c r="D625" s="336" t="s">
        <v>243</v>
      </c>
      <c r="E625" s="308" t="s">
        <v>42</v>
      </c>
      <c r="F625" s="308"/>
      <c r="G625" s="378"/>
      <c r="H625" s="319">
        <f>H345</f>
        <v>16474</v>
      </c>
      <c r="I625" s="308" t="s">
        <v>120</v>
      </c>
      <c r="J625" s="321"/>
      <c r="K625" s="321"/>
    </row>
    <row r="626" spans="2:11" ht="30" x14ac:dyDescent="0.25">
      <c r="B626" s="409"/>
      <c r="C626" s="335" t="s">
        <v>244</v>
      </c>
      <c r="D626" s="336" t="s">
        <v>245</v>
      </c>
      <c r="E626" s="308" t="s">
        <v>77</v>
      </c>
      <c r="F626" s="308"/>
      <c r="G626" s="303" t="s">
        <v>235</v>
      </c>
      <c r="H626" s="319"/>
      <c r="I626" s="320"/>
      <c r="J626" s="321"/>
      <c r="K626" s="321"/>
    </row>
    <row r="627" spans="2:11" x14ac:dyDescent="0.25">
      <c r="B627" s="409"/>
      <c r="C627" s="335" t="s">
        <v>246</v>
      </c>
      <c r="D627" s="336" t="s">
        <v>247</v>
      </c>
      <c r="E627" s="308" t="s">
        <v>42</v>
      </c>
      <c r="F627" s="308"/>
      <c r="G627" s="378"/>
      <c r="H627" s="319">
        <v>30</v>
      </c>
      <c r="I627" s="320" t="s">
        <v>94</v>
      </c>
      <c r="J627" s="321"/>
      <c r="K627" s="321"/>
    </row>
    <row r="628" spans="2:11" x14ac:dyDescent="0.25">
      <c r="B628" s="409"/>
      <c r="C628" s="335" t="s">
        <v>248</v>
      </c>
      <c r="D628" s="336" t="s">
        <v>249</v>
      </c>
      <c r="E628" s="308" t="s">
        <v>42</v>
      </c>
      <c r="F628" s="308"/>
      <c r="G628" s="378"/>
      <c r="H628" s="322">
        <v>0</v>
      </c>
      <c r="I628" s="308" t="s">
        <v>88</v>
      </c>
      <c r="J628" s="378"/>
      <c r="K628" s="321"/>
    </row>
    <row r="629" spans="2:11" ht="61.25" customHeight="1" x14ac:dyDescent="0.25">
      <c r="B629" s="409"/>
      <c r="C629" s="323">
        <v>10</v>
      </c>
      <c r="D629" s="299" t="s">
        <v>250</v>
      </c>
      <c r="E629" s="308"/>
      <c r="F629" s="334" t="s">
        <v>180</v>
      </c>
      <c r="G629" s="378"/>
      <c r="H629" s="322"/>
      <c r="I629" s="308"/>
      <c r="J629" s="378" t="s">
        <v>251</v>
      </c>
      <c r="K629" s="321"/>
    </row>
    <row r="630" spans="2:11" x14ac:dyDescent="0.25">
      <c r="B630" s="409"/>
      <c r="C630" s="335">
        <v>10.1</v>
      </c>
      <c r="D630" s="336" t="s">
        <v>252</v>
      </c>
      <c r="E630" s="308"/>
      <c r="F630" s="326"/>
      <c r="G630" s="378"/>
      <c r="H630" s="319"/>
      <c r="I630" s="308"/>
      <c r="J630" s="378"/>
      <c r="K630" s="321"/>
    </row>
    <row r="631" spans="2:11" x14ac:dyDescent="0.25">
      <c r="B631" s="409"/>
      <c r="C631" s="335"/>
      <c r="D631" s="379" t="s">
        <v>51</v>
      </c>
      <c r="E631" s="308" t="s">
        <v>42</v>
      </c>
      <c r="F631" s="308"/>
      <c r="G631" s="378"/>
      <c r="H631" s="319">
        <v>0</v>
      </c>
      <c r="I631" s="308" t="s">
        <v>120</v>
      </c>
      <c r="J631" s="378"/>
      <c r="K631" s="321"/>
    </row>
    <row r="632" spans="2:11" x14ac:dyDescent="0.25">
      <c r="B632" s="409"/>
      <c r="C632" s="335"/>
      <c r="D632" s="379" t="s">
        <v>53</v>
      </c>
      <c r="E632" s="308" t="s">
        <v>42</v>
      </c>
      <c r="F632" s="308"/>
      <c r="G632" s="378"/>
      <c r="H632" s="319"/>
      <c r="I632" s="308" t="s">
        <v>120</v>
      </c>
      <c r="J632" s="378"/>
      <c r="K632" s="321"/>
    </row>
    <row r="633" spans="2:11" x14ac:dyDescent="0.25">
      <c r="B633" s="409"/>
      <c r="C633" s="335"/>
      <c r="D633" s="379" t="s">
        <v>54</v>
      </c>
      <c r="E633" s="308" t="s">
        <v>42</v>
      </c>
      <c r="F633" s="308"/>
      <c r="G633" s="378"/>
      <c r="H633" s="319"/>
      <c r="I633" s="308" t="s">
        <v>120</v>
      </c>
      <c r="J633" s="378"/>
      <c r="K633" s="321"/>
    </row>
    <row r="634" spans="2:11" x14ac:dyDescent="0.25">
      <c r="B634" s="409"/>
      <c r="C634" s="335"/>
      <c r="D634" s="379" t="s">
        <v>55</v>
      </c>
      <c r="E634" s="308" t="s">
        <v>42</v>
      </c>
      <c r="F634" s="308"/>
      <c r="G634" s="378"/>
      <c r="H634" s="319"/>
      <c r="I634" s="308" t="s">
        <v>120</v>
      </c>
      <c r="J634" s="378"/>
      <c r="K634" s="321"/>
    </row>
    <row r="635" spans="2:11" x14ac:dyDescent="0.25">
      <c r="B635" s="409"/>
      <c r="C635" s="335"/>
      <c r="D635" s="379" t="s">
        <v>56</v>
      </c>
      <c r="E635" s="308" t="s">
        <v>42</v>
      </c>
      <c r="F635" s="308"/>
      <c r="G635" s="378"/>
      <c r="H635" s="319"/>
      <c r="I635" s="308" t="s">
        <v>120</v>
      </c>
      <c r="J635" s="378"/>
      <c r="K635" s="321"/>
    </row>
    <row r="636" spans="2:11" x14ac:dyDescent="0.25">
      <c r="B636" s="409"/>
      <c r="C636" s="335"/>
      <c r="D636" s="379" t="s">
        <v>57</v>
      </c>
      <c r="E636" s="308" t="s">
        <v>42</v>
      </c>
      <c r="F636" s="308"/>
      <c r="G636" s="378"/>
      <c r="H636" s="319">
        <v>0</v>
      </c>
      <c r="I636" s="308" t="s">
        <v>120</v>
      </c>
      <c r="J636" s="378"/>
      <c r="K636" s="321"/>
    </row>
    <row r="637" spans="2:11" x14ac:dyDescent="0.25">
      <c r="B637" s="409"/>
      <c r="C637" s="335"/>
      <c r="D637" s="379" t="s">
        <v>58</v>
      </c>
      <c r="E637" s="308" t="s">
        <v>42</v>
      </c>
      <c r="F637" s="308"/>
      <c r="G637" s="378"/>
      <c r="H637" s="319"/>
      <c r="I637" s="308" t="s">
        <v>120</v>
      </c>
      <c r="J637" s="378"/>
      <c r="K637" s="321"/>
    </row>
    <row r="638" spans="2:11" x14ac:dyDescent="0.25">
      <c r="B638" s="409"/>
      <c r="C638" s="335"/>
      <c r="D638" s="379" t="s">
        <v>59</v>
      </c>
      <c r="E638" s="308" t="s">
        <v>42</v>
      </c>
      <c r="F638" s="308"/>
      <c r="G638" s="378"/>
      <c r="H638" s="319"/>
      <c r="I638" s="308" t="s">
        <v>120</v>
      </c>
      <c r="J638" s="378"/>
      <c r="K638" s="321"/>
    </row>
    <row r="639" spans="2:11" x14ac:dyDescent="0.25">
      <c r="B639" s="409"/>
      <c r="C639" s="335"/>
      <c r="D639" s="379" t="s">
        <v>60</v>
      </c>
      <c r="E639" s="308" t="s">
        <v>42</v>
      </c>
      <c r="F639" s="308"/>
      <c r="G639" s="378"/>
      <c r="H639" s="319"/>
      <c r="I639" s="308" t="s">
        <v>120</v>
      </c>
      <c r="J639" s="378"/>
      <c r="K639" s="321"/>
    </row>
    <row r="640" spans="2:11" x14ac:dyDescent="0.25">
      <c r="B640" s="409"/>
      <c r="C640" s="335"/>
      <c r="D640" s="379" t="s">
        <v>61</v>
      </c>
      <c r="E640" s="308" t="s">
        <v>42</v>
      </c>
      <c r="F640" s="308"/>
      <c r="G640" s="378"/>
      <c r="H640" s="319"/>
      <c r="I640" s="308" t="s">
        <v>120</v>
      </c>
      <c r="J640" s="378"/>
      <c r="K640" s="321"/>
    </row>
    <row r="641" spans="2:11" x14ac:dyDescent="0.25">
      <c r="B641" s="409"/>
      <c r="C641" s="335"/>
      <c r="D641" s="379" t="s">
        <v>62</v>
      </c>
      <c r="E641" s="308" t="s">
        <v>42</v>
      </c>
      <c r="F641" s="308"/>
      <c r="G641" s="378"/>
      <c r="H641" s="319">
        <v>0</v>
      </c>
      <c r="I641" s="308" t="s">
        <v>120</v>
      </c>
      <c r="J641" s="378"/>
      <c r="K641" s="321"/>
    </row>
    <row r="642" spans="2:11" x14ac:dyDescent="0.25">
      <c r="B642" s="409"/>
      <c r="C642" s="335"/>
      <c r="D642" s="379" t="s">
        <v>63</v>
      </c>
      <c r="E642" s="308" t="s">
        <v>42</v>
      </c>
      <c r="F642" s="308"/>
      <c r="G642" s="378"/>
      <c r="H642" s="319"/>
      <c r="I642" s="308" t="s">
        <v>120</v>
      </c>
      <c r="J642" s="378"/>
      <c r="K642" s="321"/>
    </row>
    <row r="643" spans="2:11" x14ac:dyDescent="0.25">
      <c r="B643" s="409"/>
      <c r="C643" s="335"/>
      <c r="D643" s="379" t="s">
        <v>64</v>
      </c>
      <c r="E643" s="308" t="s">
        <v>42</v>
      </c>
      <c r="F643" s="308"/>
      <c r="G643" s="378"/>
      <c r="H643" s="319"/>
      <c r="I643" s="308" t="s">
        <v>120</v>
      </c>
      <c r="J643" s="378"/>
      <c r="K643" s="321"/>
    </row>
    <row r="644" spans="2:11" x14ac:dyDescent="0.25">
      <c r="B644" s="409"/>
      <c r="C644" s="335"/>
      <c r="D644" s="379" t="s">
        <v>65</v>
      </c>
      <c r="E644" s="308" t="s">
        <v>42</v>
      </c>
      <c r="F644" s="308"/>
      <c r="G644" s="378"/>
      <c r="H644" s="319"/>
      <c r="I644" s="308" t="s">
        <v>120</v>
      </c>
      <c r="J644" s="378"/>
      <c r="K644" s="321"/>
    </row>
    <row r="645" spans="2:11" x14ac:dyDescent="0.25">
      <c r="B645" s="409"/>
      <c r="C645" s="335"/>
      <c r="D645" s="379" t="s">
        <v>66</v>
      </c>
      <c r="E645" s="308" t="s">
        <v>42</v>
      </c>
      <c r="F645" s="308"/>
      <c r="G645" s="378"/>
      <c r="H645" s="319"/>
      <c r="I645" s="308" t="s">
        <v>120</v>
      </c>
      <c r="J645" s="378"/>
      <c r="K645" s="321"/>
    </row>
    <row r="646" spans="2:11" x14ac:dyDescent="0.25">
      <c r="B646" s="409"/>
      <c r="C646" s="335"/>
      <c r="D646" s="379" t="s">
        <v>67</v>
      </c>
      <c r="E646" s="308" t="s">
        <v>42</v>
      </c>
      <c r="F646" s="308"/>
      <c r="G646" s="378"/>
      <c r="H646" s="319">
        <v>0</v>
      </c>
      <c r="I646" s="308" t="s">
        <v>120</v>
      </c>
      <c r="J646" s="378"/>
      <c r="K646" s="321"/>
    </row>
    <row r="647" spans="2:11" x14ac:dyDescent="0.25">
      <c r="B647" s="409"/>
      <c r="C647" s="335"/>
      <c r="D647" s="379" t="s">
        <v>68</v>
      </c>
      <c r="E647" s="308" t="s">
        <v>42</v>
      </c>
      <c r="F647" s="308"/>
      <c r="G647" s="378"/>
      <c r="H647" s="319"/>
      <c r="I647" s="308" t="s">
        <v>120</v>
      </c>
      <c r="J647" s="378"/>
      <c r="K647" s="321"/>
    </row>
    <row r="648" spans="2:11" x14ac:dyDescent="0.25">
      <c r="B648" s="409"/>
      <c r="C648" s="335"/>
      <c r="D648" s="379" t="s">
        <v>69</v>
      </c>
      <c r="E648" s="308" t="s">
        <v>42</v>
      </c>
      <c r="F648" s="308"/>
      <c r="G648" s="378"/>
      <c r="H648" s="319"/>
      <c r="I648" s="308" t="s">
        <v>120</v>
      </c>
      <c r="J648" s="378"/>
      <c r="K648" s="321"/>
    </row>
    <row r="649" spans="2:11" x14ac:dyDescent="0.25">
      <c r="B649" s="409"/>
      <c r="C649" s="335"/>
      <c r="D649" s="379" t="s">
        <v>70</v>
      </c>
      <c r="E649" s="308" t="s">
        <v>42</v>
      </c>
      <c r="F649" s="308"/>
      <c r="G649" s="378"/>
      <c r="H649" s="319"/>
      <c r="I649" s="308" t="s">
        <v>120</v>
      </c>
      <c r="J649" s="378"/>
      <c r="K649" s="321"/>
    </row>
    <row r="650" spans="2:11" ht="51" customHeight="1" x14ac:dyDescent="0.25">
      <c r="B650" s="409"/>
      <c r="C650" s="335"/>
      <c r="D650" s="379" t="s">
        <v>71</v>
      </c>
      <c r="E650" s="308" t="s">
        <v>42</v>
      </c>
      <c r="F650" s="308"/>
      <c r="G650" s="378"/>
      <c r="H650" s="319"/>
      <c r="I650" s="308" t="s">
        <v>120</v>
      </c>
      <c r="J650" s="378"/>
      <c r="K650" s="321"/>
    </row>
    <row r="651" spans="2:11" x14ac:dyDescent="0.25">
      <c r="B651" s="409"/>
      <c r="C651" s="335">
        <v>10.199999999999999</v>
      </c>
      <c r="D651" s="336" t="s">
        <v>253</v>
      </c>
      <c r="E651" s="308" t="s">
        <v>77</v>
      </c>
      <c r="F651" s="308"/>
      <c r="G651" s="378" t="s">
        <v>254</v>
      </c>
      <c r="H651" s="322"/>
      <c r="I651" s="308"/>
      <c r="J651" s="378"/>
      <c r="K651" s="321"/>
    </row>
    <row r="652" spans="2:11" x14ac:dyDescent="0.25">
      <c r="B652" s="409"/>
      <c r="C652" s="335">
        <v>10.3</v>
      </c>
      <c r="D652" s="336" t="s">
        <v>255</v>
      </c>
      <c r="E652" s="308" t="s">
        <v>42</v>
      </c>
      <c r="F652" s="308"/>
      <c r="G652" s="378"/>
      <c r="H652" s="319">
        <v>5</v>
      </c>
      <c r="I652" s="308" t="s">
        <v>94</v>
      </c>
      <c r="J652" s="378"/>
      <c r="K652" s="321"/>
    </row>
    <row r="653" spans="2:11" x14ac:dyDescent="0.25">
      <c r="B653" s="317"/>
      <c r="C653" s="335">
        <v>10.4</v>
      </c>
      <c r="D653" s="336" t="s">
        <v>197</v>
      </c>
      <c r="E653" s="308" t="s">
        <v>77</v>
      </c>
      <c r="F653" s="308"/>
      <c r="G653" s="318" t="s">
        <v>188</v>
      </c>
      <c r="H653" s="322">
        <v>0.09</v>
      </c>
      <c r="I653" s="308" t="s">
        <v>88</v>
      </c>
      <c r="J653" s="378"/>
      <c r="K653" s="321"/>
    </row>
    <row r="654" spans="2:11" ht="30" x14ac:dyDescent="0.25">
      <c r="B654" s="317"/>
      <c r="C654" s="323">
        <v>11</v>
      </c>
      <c r="D654" s="299" t="s">
        <v>256</v>
      </c>
      <c r="E654" s="308"/>
      <c r="F654" s="334" t="s">
        <v>180</v>
      </c>
      <c r="G654" s="378"/>
      <c r="H654" s="319"/>
      <c r="I654" s="308"/>
      <c r="J654" s="378" t="s">
        <v>257</v>
      </c>
      <c r="K654" s="321"/>
    </row>
    <row r="655" spans="2:11" x14ac:dyDescent="0.25">
      <c r="B655" s="317"/>
      <c r="C655" s="335">
        <v>11.1</v>
      </c>
      <c r="D655" s="306" t="s">
        <v>258</v>
      </c>
      <c r="E655" s="308"/>
      <c r="F655" s="308"/>
      <c r="G655" s="378"/>
      <c r="H655" s="319"/>
      <c r="I655" s="308"/>
      <c r="J655" s="378"/>
      <c r="K655" s="321"/>
    </row>
    <row r="656" spans="2:11" x14ac:dyDescent="0.25">
      <c r="B656" s="317"/>
      <c r="C656" s="335"/>
      <c r="D656" s="336" t="s">
        <v>51</v>
      </c>
      <c r="E656" s="308" t="s">
        <v>42</v>
      </c>
      <c r="F656" s="308"/>
      <c r="G656" s="378"/>
      <c r="H656" s="319">
        <v>0</v>
      </c>
      <c r="I656" s="308" t="s">
        <v>120</v>
      </c>
      <c r="J656" s="378"/>
      <c r="K656" s="321"/>
    </row>
    <row r="657" spans="2:11" x14ac:dyDescent="0.25">
      <c r="B657" s="317"/>
      <c r="C657" s="335"/>
      <c r="D657" s="336" t="s">
        <v>53</v>
      </c>
      <c r="E657" s="308" t="s">
        <v>42</v>
      </c>
      <c r="F657" s="308"/>
      <c r="G657" s="378"/>
      <c r="H657" s="319">
        <v>0</v>
      </c>
      <c r="I657" s="308" t="s">
        <v>120</v>
      </c>
      <c r="J657" s="378"/>
      <c r="K657" s="321"/>
    </row>
    <row r="658" spans="2:11" x14ac:dyDescent="0.25">
      <c r="B658" s="317"/>
      <c r="C658" s="335"/>
      <c r="D658" s="336" t="s">
        <v>54</v>
      </c>
      <c r="E658" s="308" t="s">
        <v>42</v>
      </c>
      <c r="F658" s="308"/>
      <c r="G658" s="378"/>
      <c r="H658" s="319">
        <v>0</v>
      </c>
      <c r="I658" s="308" t="s">
        <v>120</v>
      </c>
      <c r="J658" s="378"/>
      <c r="K658" s="321"/>
    </row>
    <row r="659" spans="2:11" x14ac:dyDescent="0.25">
      <c r="B659" s="317"/>
      <c r="C659" s="335"/>
      <c r="D659" s="336" t="s">
        <v>55</v>
      </c>
      <c r="E659" s="308" t="s">
        <v>42</v>
      </c>
      <c r="F659" s="308"/>
      <c r="G659" s="378"/>
      <c r="H659" s="319">
        <v>0</v>
      </c>
      <c r="I659" s="308" t="s">
        <v>120</v>
      </c>
      <c r="J659" s="378"/>
      <c r="K659" s="321"/>
    </row>
    <row r="660" spans="2:11" x14ac:dyDescent="0.25">
      <c r="B660" s="317"/>
      <c r="C660" s="335"/>
      <c r="D660" s="336" t="s">
        <v>56</v>
      </c>
      <c r="E660" s="308" t="s">
        <v>42</v>
      </c>
      <c r="F660" s="308"/>
      <c r="G660" s="378"/>
      <c r="H660" s="319">
        <v>0</v>
      </c>
      <c r="I660" s="308" t="s">
        <v>120</v>
      </c>
      <c r="J660" s="378"/>
      <c r="K660" s="321"/>
    </row>
    <row r="661" spans="2:11" x14ac:dyDescent="0.25">
      <c r="B661" s="317"/>
      <c r="C661" s="335"/>
      <c r="D661" s="336" t="s">
        <v>57</v>
      </c>
      <c r="E661" s="308" t="s">
        <v>42</v>
      </c>
      <c r="F661" s="308"/>
      <c r="G661" s="378"/>
      <c r="H661" s="319">
        <v>0</v>
      </c>
      <c r="I661" s="308" t="s">
        <v>120</v>
      </c>
      <c r="J661" s="378"/>
      <c r="K661" s="321"/>
    </row>
    <row r="662" spans="2:11" x14ac:dyDescent="0.25">
      <c r="B662" s="317"/>
      <c r="C662" s="335"/>
      <c r="D662" s="336" t="s">
        <v>58</v>
      </c>
      <c r="E662" s="308" t="s">
        <v>42</v>
      </c>
      <c r="F662" s="308"/>
      <c r="G662" s="378"/>
      <c r="H662" s="319">
        <v>0</v>
      </c>
      <c r="I662" s="308" t="s">
        <v>120</v>
      </c>
      <c r="J662" s="378"/>
      <c r="K662" s="321"/>
    </row>
    <row r="663" spans="2:11" x14ac:dyDescent="0.25">
      <c r="B663" s="317"/>
      <c r="C663" s="335"/>
      <c r="D663" s="336" t="s">
        <v>59</v>
      </c>
      <c r="E663" s="308" t="s">
        <v>42</v>
      </c>
      <c r="F663" s="308"/>
      <c r="G663" s="378"/>
      <c r="H663" s="319">
        <v>0</v>
      </c>
      <c r="I663" s="308" t="s">
        <v>120</v>
      </c>
      <c r="J663" s="378"/>
      <c r="K663" s="321"/>
    </row>
    <row r="664" spans="2:11" x14ac:dyDescent="0.25">
      <c r="B664" s="317"/>
      <c r="C664" s="335"/>
      <c r="D664" s="336" t="s">
        <v>60</v>
      </c>
      <c r="E664" s="308" t="s">
        <v>42</v>
      </c>
      <c r="F664" s="308"/>
      <c r="G664" s="378"/>
      <c r="H664" s="319">
        <v>0</v>
      </c>
      <c r="I664" s="308" t="s">
        <v>120</v>
      </c>
      <c r="J664" s="378"/>
      <c r="K664" s="321"/>
    </row>
    <row r="665" spans="2:11" x14ac:dyDescent="0.25">
      <c r="B665" s="317"/>
      <c r="C665" s="335"/>
      <c r="D665" s="336" t="s">
        <v>61</v>
      </c>
      <c r="E665" s="308" t="s">
        <v>42</v>
      </c>
      <c r="F665" s="308"/>
      <c r="G665" s="378"/>
      <c r="H665" s="319">
        <v>0</v>
      </c>
      <c r="I665" s="308" t="s">
        <v>120</v>
      </c>
      <c r="J665" s="378"/>
      <c r="K665" s="321"/>
    </row>
    <row r="666" spans="2:11" x14ac:dyDescent="0.25">
      <c r="B666" s="317"/>
      <c r="C666" s="335"/>
      <c r="D666" s="336" t="s">
        <v>62</v>
      </c>
      <c r="E666" s="308" t="s">
        <v>42</v>
      </c>
      <c r="F666" s="308"/>
      <c r="G666" s="378"/>
      <c r="H666" s="319">
        <v>0</v>
      </c>
      <c r="I666" s="308" t="s">
        <v>120</v>
      </c>
      <c r="J666" s="378"/>
      <c r="K666" s="321"/>
    </row>
    <row r="667" spans="2:11" x14ac:dyDescent="0.25">
      <c r="B667" s="317"/>
      <c r="C667" s="335"/>
      <c r="D667" s="336" t="s">
        <v>63</v>
      </c>
      <c r="E667" s="308" t="s">
        <v>42</v>
      </c>
      <c r="F667" s="308"/>
      <c r="G667" s="378"/>
      <c r="H667" s="319">
        <v>500</v>
      </c>
      <c r="I667" s="308" t="s">
        <v>120</v>
      </c>
      <c r="J667" s="378"/>
      <c r="K667" s="321"/>
    </row>
    <row r="668" spans="2:11" x14ac:dyDescent="0.25">
      <c r="B668" s="317"/>
      <c r="C668" s="335"/>
      <c r="D668" s="336" t="s">
        <v>64</v>
      </c>
      <c r="E668" s="308" t="s">
        <v>42</v>
      </c>
      <c r="F668" s="308"/>
      <c r="G668" s="378"/>
      <c r="H668" s="319">
        <v>0</v>
      </c>
      <c r="I668" s="308" t="s">
        <v>120</v>
      </c>
      <c r="J668" s="378"/>
      <c r="K668" s="321"/>
    </row>
    <row r="669" spans="2:11" x14ac:dyDescent="0.25">
      <c r="B669" s="317"/>
      <c r="C669" s="335"/>
      <c r="D669" s="336" t="s">
        <v>65</v>
      </c>
      <c r="E669" s="308" t="s">
        <v>42</v>
      </c>
      <c r="F669" s="308"/>
      <c r="G669" s="378"/>
      <c r="H669" s="319">
        <v>0</v>
      </c>
      <c r="I669" s="308" t="s">
        <v>120</v>
      </c>
      <c r="J669" s="378"/>
      <c r="K669" s="321"/>
    </row>
    <row r="670" spans="2:11" x14ac:dyDescent="0.25">
      <c r="B670" s="317"/>
      <c r="C670" s="335"/>
      <c r="D670" s="336" t="s">
        <v>66</v>
      </c>
      <c r="E670" s="308" t="s">
        <v>42</v>
      </c>
      <c r="F670" s="308"/>
      <c r="G670" s="378"/>
      <c r="H670" s="319">
        <v>0</v>
      </c>
      <c r="I670" s="308" t="s">
        <v>120</v>
      </c>
      <c r="J670" s="378"/>
      <c r="K670" s="321"/>
    </row>
    <row r="671" spans="2:11" x14ac:dyDescent="0.25">
      <c r="B671" s="317"/>
      <c r="C671" s="335"/>
      <c r="D671" s="336" t="s">
        <v>67</v>
      </c>
      <c r="E671" s="308" t="s">
        <v>42</v>
      </c>
      <c r="F671" s="308"/>
      <c r="G671" s="378"/>
      <c r="H671" s="319">
        <v>0</v>
      </c>
      <c r="I671" s="308" t="s">
        <v>120</v>
      </c>
      <c r="J671" s="378"/>
      <c r="K671" s="321"/>
    </row>
    <row r="672" spans="2:11" x14ac:dyDescent="0.25">
      <c r="B672" s="317"/>
      <c r="C672" s="335"/>
      <c r="D672" s="336" t="s">
        <v>68</v>
      </c>
      <c r="E672" s="308" t="s">
        <v>42</v>
      </c>
      <c r="F672" s="308"/>
      <c r="G672" s="378"/>
      <c r="H672" s="319">
        <v>0</v>
      </c>
      <c r="I672" s="308" t="s">
        <v>120</v>
      </c>
      <c r="J672" s="378"/>
      <c r="K672" s="321"/>
    </row>
    <row r="673" spans="2:11" x14ac:dyDescent="0.25">
      <c r="B673" s="317"/>
      <c r="C673" s="335"/>
      <c r="D673" s="336" t="s">
        <v>69</v>
      </c>
      <c r="E673" s="308" t="s">
        <v>42</v>
      </c>
      <c r="F673" s="308"/>
      <c r="G673" s="378"/>
      <c r="H673" s="319">
        <v>0</v>
      </c>
      <c r="I673" s="308" t="s">
        <v>120</v>
      </c>
      <c r="J673" s="378"/>
      <c r="K673" s="321"/>
    </row>
    <row r="674" spans="2:11" x14ac:dyDescent="0.25">
      <c r="B674" s="317"/>
      <c r="C674" s="335"/>
      <c r="D674" s="336" t="s">
        <v>70</v>
      </c>
      <c r="E674" s="308" t="s">
        <v>42</v>
      </c>
      <c r="F674" s="308"/>
      <c r="G674" s="378"/>
      <c r="H674" s="319">
        <v>0</v>
      </c>
      <c r="I674" s="308" t="s">
        <v>120</v>
      </c>
      <c r="J674" s="378"/>
      <c r="K674" s="321"/>
    </row>
    <row r="675" spans="2:11" x14ac:dyDescent="0.25">
      <c r="B675" s="317"/>
      <c r="C675" s="335"/>
      <c r="D675" s="336" t="s">
        <v>71</v>
      </c>
      <c r="E675" s="308" t="s">
        <v>42</v>
      </c>
      <c r="F675" s="308"/>
      <c r="G675" s="378"/>
      <c r="H675" s="319">
        <v>0</v>
      </c>
      <c r="I675" s="308" t="s">
        <v>120</v>
      </c>
      <c r="J675" s="378"/>
      <c r="K675" s="321"/>
    </row>
    <row r="676" spans="2:11" x14ac:dyDescent="0.25">
      <c r="B676" s="317"/>
      <c r="C676" s="335">
        <v>11.2</v>
      </c>
      <c r="D676" s="306" t="s">
        <v>259</v>
      </c>
      <c r="E676" s="308" t="s">
        <v>77</v>
      </c>
      <c r="F676" s="308"/>
      <c r="G676" s="378" t="s">
        <v>254</v>
      </c>
      <c r="H676" s="319"/>
      <c r="I676" s="308"/>
      <c r="J676" s="378"/>
      <c r="K676" s="321"/>
    </row>
    <row r="677" spans="2:11" x14ac:dyDescent="0.25">
      <c r="B677" s="317"/>
      <c r="C677" s="335">
        <v>11.3</v>
      </c>
      <c r="D677" s="306" t="s">
        <v>260</v>
      </c>
      <c r="E677" s="308" t="s">
        <v>42</v>
      </c>
      <c r="F677" s="308"/>
      <c r="G677" s="378"/>
      <c r="H677" s="319">
        <v>10</v>
      </c>
      <c r="I677" s="308" t="s">
        <v>94</v>
      </c>
      <c r="J677" s="378"/>
      <c r="K677" s="321"/>
    </row>
    <row r="678" spans="2:11" x14ac:dyDescent="0.25">
      <c r="B678" s="317"/>
      <c r="C678" s="335"/>
      <c r="D678" s="380" t="s">
        <v>261</v>
      </c>
      <c r="E678" s="308" t="s">
        <v>42</v>
      </c>
      <c r="F678" s="308"/>
      <c r="G678" s="378"/>
      <c r="H678" s="322">
        <v>0.05</v>
      </c>
      <c r="I678" s="308"/>
      <c r="J678" s="378"/>
      <c r="K678" s="321"/>
    </row>
    <row r="679" spans="2:11" x14ac:dyDescent="0.25">
      <c r="B679" s="317"/>
      <c r="C679" s="335">
        <v>11.4</v>
      </c>
      <c r="D679" s="306" t="s">
        <v>197</v>
      </c>
      <c r="E679" s="308" t="s">
        <v>77</v>
      </c>
      <c r="F679" s="308"/>
      <c r="G679" s="318" t="s">
        <v>188</v>
      </c>
      <c r="H679" s="322">
        <v>0.13</v>
      </c>
      <c r="I679" s="308" t="s">
        <v>88</v>
      </c>
      <c r="J679" s="378"/>
      <c r="K679" s="321"/>
    </row>
    <row r="680" spans="2:11" ht="69.5" customHeight="1" x14ac:dyDescent="0.25">
      <c r="B680" s="317"/>
      <c r="C680" s="335">
        <v>11.5</v>
      </c>
      <c r="D680" s="306" t="s">
        <v>262</v>
      </c>
      <c r="E680" s="308" t="s">
        <v>138</v>
      </c>
      <c r="F680" s="326"/>
      <c r="G680" s="318" t="s">
        <v>263</v>
      </c>
      <c r="H680" s="341">
        <f>(SUM(H656:H675))/(1+H679)*H679</f>
        <v>57.522123893805322</v>
      </c>
      <c r="I680" s="308" t="s">
        <v>120</v>
      </c>
      <c r="J680" s="378"/>
      <c r="K680" s="321"/>
    </row>
    <row r="681" spans="2:11" ht="34.75" customHeight="1" x14ac:dyDescent="0.25">
      <c r="B681" s="317"/>
      <c r="C681" s="323">
        <v>12</v>
      </c>
      <c r="D681" s="299" t="s">
        <v>264</v>
      </c>
      <c r="E681" s="308"/>
      <c r="F681" s="334" t="s">
        <v>264</v>
      </c>
      <c r="G681" s="318"/>
      <c r="H681" s="341"/>
      <c r="I681" s="308"/>
      <c r="J681" s="378"/>
      <c r="K681" s="321"/>
    </row>
    <row r="682" spans="2:11" ht="24" customHeight="1" x14ac:dyDescent="0.25">
      <c r="B682" s="317"/>
      <c r="C682" s="335">
        <v>12.1</v>
      </c>
      <c r="D682" s="306" t="s">
        <v>265</v>
      </c>
      <c r="E682" s="308"/>
      <c r="F682" s="326"/>
      <c r="G682" s="318"/>
      <c r="H682" s="319"/>
      <c r="I682" s="308"/>
      <c r="J682" s="378" t="s">
        <v>266</v>
      </c>
      <c r="K682" s="321"/>
    </row>
    <row r="683" spans="2:11" ht="23" customHeight="1" x14ac:dyDescent="0.25">
      <c r="B683" s="317"/>
      <c r="C683" s="335"/>
      <c r="D683" s="336" t="s">
        <v>51</v>
      </c>
      <c r="E683" s="308" t="s">
        <v>42</v>
      </c>
      <c r="F683" s="326"/>
      <c r="G683" s="318"/>
      <c r="H683" s="319">
        <v>0</v>
      </c>
      <c r="I683" s="308" t="s">
        <v>120</v>
      </c>
      <c r="J683" s="378"/>
      <c r="K683" s="321"/>
    </row>
    <row r="684" spans="2:11" ht="23" customHeight="1" x14ac:dyDescent="0.25">
      <c r="B684" s="317"/>
      <c r="C684" s="335"/>
      <c r="D684" s="336" t="s">
        <v>267</v>
      </c>
      <c r="E684" s="308" t="s">
        <v>42</v>
      </c>
      <c r="F684" s="326"/>
      <c r="G684" s="318"/>
      <c r="H684" s="319">
        <v>0</v>
      </c>
      <c r="I684" s="308" t="s">
        <v>120</v>
      </c>
      <c r="J684" s="378"/>
      <c r="K684" s="321"/>
    </row>
    <row r="685" spans="2:11" ht="23" customHeight="1" x14ac:dyDescent="0.25">
      <c r="B685" s="317"/>
      <c r="C685" s="335"/>
      <c r="D685" s="336" t="s">
        <v>71</v>
      </c>
      <c r="E685" s="308" t="s">
        <v>42</v>
      </c>
      <c r="F685" s="326"/>
      <c r="G685" s="318"/>
      <c r="H685" s="319">
        <v>0</v>
      </c>
      <c r="I685" s="308" t="s">
        <v>120</v>
      </c>
      <c r="J685" s="378"/>
      <c r="K685" s="321"/>
    </row>
    <row r="686" spans="2:11" ht="22.5" customHeight="1" x14ac:dyDescent="0.25">
      <c r="B686" s="317"/>
      <c r="C686" s="335">
        <v>12.2</v>
      </c>
      <c r="D686" s="306" t="s">
        <v>197</v>
      </c>
      <c r="E686" s="308" t="s">
        <v>77</v>
      </c>
      <c r="F686" s="308"/>
      <c r="G686" s="318" t="s">
        <v>188</v>
      </c>
      <c r="H686" s="322">
        <v>0</v>
      </c>
      <c r="I686" s="308" t="s">
        <v>88</v>
      </c>
      <c r="J686" s="378"/>
      <c r="K686" s="321"/>
    </row>
    <row r="687" spans="2:11" ht="23" customHeight="1" x14ac:dyDescent="0.25">
      <c r="B687" s="404" t="s">
        <v>268</v>
      </c>
      <c r="C687" s="323">
        <v>1</v>
      </c>
      <c r="D687" s="299" t="s">
        <v>269</v>
      </c>
      <c r="E687" s="308" t="s">
        <v>77</v>
      </c>
      <c r="F687" s="308"/>
      <c r="G687" s="303" t="s">
        <v>270</v>
      </c>
      <c r="H687" s="319"/>
      <c r="I687" s="308"/>
      <c r="J687" s="321"/>
      <c r="K687" s="321"/>
    </row>
    <row r="688" spans="2:11" ht="23" customHeight="1" x14ac:dyDescent="0.25">
      <c r="B688" s="404"/>
      <c r="C688" s="323"/>
      <c r="D688" s="306" t="s">
        <v>271</v>
      </c>
      <c r="E688" s="308" t="s">
        <v>272</v>
      </c>
      <c r="F688" s="308"/>
      <c r="G688" s="303"/>
      <c r="H688" s="322">
        <v>0</v>
      </c>
      <c r="I688" s="308" t="s">
        <v>88</v>
      </c>
      <c r="J688" s="321" t="s">
        <v>273</v>
      </c>
      <c r="K688" s="321"/>
    </row>
    <row r="689" spans="2:11" ht="98" customHeight="1" x14ac:dyDescent="0.25">
      <c r="B689" s="404"/>
      <c r="C689" s="323">
        <v>2</v>
      </c>
      <c r="D689" s="332" t="s">
        <v>274</v>
      </c>
      <c r="E689" s="302" t="s">
        <v>275</v>
      </c>
      <c r="F689" s="302"/>
      <c r="G689" s="303" t="s">
        <v>276</v>
      </c>
      <c r="H689" s="322" t="s">
        <v>277</v>
      </c>
      <c r="I689" s="320"/>
      <c r="J689" s="318" t="s">
        <v>278</v>
      </c>
      <c r="K689" s="321"/>
    </row>
    <row r="690" spans="2:11" x14ac:dyDescent="0.25">
      <c r="B690" s="404"/>
      <c r="C690" s="323"/>
      <c r="D690" s="306" t="s">
        <v>277</v>
      </c>
      <c r="E690" s="308" t="s">
        <v>272</v>
      </c>
      <c r="F690" s="308"/>
      <c r="G690" s="303" t="s">
        <v>279</v>
      </c>
      <c r="H690" s="322">
        <v>0.25</v>
      </c>
      <c r="I690" s="320" t="s">
        <v>88</v>
      </c>
      <c r="J690" s="318"/>
      <c r="K690" s="321"/>
    </row>
    <row r="691" spans="2:11" ht="28" x14ac:dyDescent="0.25">
      <c r="B691" s="404"/>
      <c r="C691" s="323"/>
      <c r="D691" s="306" t="s">
        <v>280</v>
      </c>
      <c r="E691" s="308" t="s">
        <v>272</v>
      </c>
      <c r="F691" s="308"/>
      <c r="G691" s="303" t="s">
        <v>280</v>
      </c>
      <c r="H691" s="322">
        <v>0.25</v>
      </c>
      <c r="I691" s="320" t="s">
        <v>88</v>
      </c>
      <c r="J691" s="318" t="s">
        <v>281</v>
      </c>
      <c r="K691" s="321"/>
    </row>
    <row r="692" spans="2:11" ht="30" x14ac:dyDescent="0.25">
      <c r="B692" s="404"/>
      <c r="C692" s="323"/>
      <c r="D692" s="306" t="s">
        <v>282</v>
      </c>
      <c r="E692" s="308" t="s">
        <v>272</v>
      </c>
      <c r="F692" s="308"/>
      <c r="G692" s="303" t="s">
        <v>283</v>
      </c>
      <c r="H692" s="322">
        <v>0.15</v>
      </c>
      <c r="I692" s="320" t="s">
        <v>88</v>
      </c>
      <c r="J692" s="318" t="s">
        <v>284</v>
      </c>
      <c r="K692" s="321"/>
    </row>
    <row r="693" spans="2:11" ht="42" x14ac:dyDescent="0.25">
      <c r="B693" s="404"/>
      <c r="C693" s="323">
        <v>3</v>
      </c>
      <c r="D693" s="332" t="s">
        <v>285</v>
      </c>
      <c r="E693" s="308" t="s">
        <v>77</v>
      </c>
      <c r="F693" s="308"/>
      <c r="G693" s="303"/>
      <c r="H693" s="319"/>
      <c r="I693" s="320" t="s">
        <v>88</v>
      </c>
      <c r="J693" s="318" t="s">
        <v>286</v>
      </c>
      <c r="K693" s="321"/>
    </row>
    <row r="694" spans="2:11" x14ac:dyDescent="0.25">
      <c r="B694" s="404"/>
      <c r="C694" s="323"/>
      <c r="D694" s="306" t="s">
        <v>287</v>
      </c>
      <c r="E694" s="308" t="s">
        <v>272</v>
      </c>
      <c r="F694" s="308"/>
      <c r="G694" s="381">
        <v>7.0000000000000007E-2</v>
      </c>
      <c r="H694" s="322">
        <v>7.0000000000000007E-2</v>
      </c>
      <c r="I694" s="320" t="s">
        <v>88</v>
      </c>
      <c r="J694" s="318"/>
      <c r="K694" s="321"/>
    </row>
    <row r="695" spans="2:11" x14ac:dyDescent="0.25">
      <c r="B695" s="404"/>
      <c r="C695" s="323"/>
      <c r="D695" s="306" t="s">
        <v>288</v>
      </c>
      <c r="E695" s="308" t="s">
        <v>272</v>
      </c>
      <c r="F695" s="308"/>
      <c r="G695" s="381">
        <v>0.05</v>
      </c>
      <c r="H695" s="322">
        <v>0.05</v>
      </c>
      <c r="I695" s="320" t="s">
        <v>88</v>
      </c>
      <c r="J695" s="318"/>
      <c r="K695" s="321"/>
    </row>
    <row r="696" spans="2:11" x14ac:dyDescent="0.25">
      <c r="B696" s="404"/>
      <c r="C696" s="323"/>
      <c r="D696" s="306" t="s">
        <v>289</v>
      </c>
      <c r="E696" s="308" t="s">
        <v>272</v>
      </c>
      <c r="F696" s="308"/>
      <c r="G696" s="381">
        <v>0.01</v>
      </c>
      <c r="H696" s="322">
        <v>0.01</v>
      </c>
      <c r="I696" s="320" t="s">
        <v>88</v>
      </c>
      <c r="J696" s="318"/>
      <c r="K696" s="321"/>
    </row>
    <row r="697" spans="2:11" ht="30" x14ac:dyDescent="0.25">
      <c r="B697" s="404"/>
      <c r="C697" s="323">
        <v>4</v>
      </c>
      <c r="D697" s="332" t="s">
        <v>290</v>
      </c>
      <c r="E697" s="308" t="s">
        <v>77</v>
      </c>
      <c r="F697" s="308"/>
      <c r="G697" s="303"/>
      <c r="H697" s="319"/>
      <c r="I697" s="320" t="s">
        <v>88</v>
      </c>
      <c r="J697" s="303" t="s">
        <v>291</v>
      </c>
      <c r="K697" s="321"/>
    </row>
    <row r="698" spans="2:11" x14ac:dyDescent="0.25">
      <c r="B698" s="404"/>
      <c r="C698" s="323"/>
      <c r="D698" s="306" t="s">
        <v>292</v>
      </c>
      <c r="E698" s="308" t="s">
        <v>272</v>
      </c>
      <c r="F698" s="308"/>
      <c r="G698" s="381">
        <v>0.03</v>
      </c>
      <c r="H698" s="322">
        <v>0.03</v>
      </c>
      <c r="I698" s="320" t="s">
        <v>88</v>
      </c>
      <c r="J698" s="321"/>
      <c r="K698" s="321"/>
    </row>
    <row r="699" spans="2:11" x14ac:dyDescent="0.25">
      <c r="B699" s="404"/>
      <c r="C699" s="323"/>
      <c r="D699" s="306" t="s">
        <v>293</v>
      </c>
      <c r="E699" s="308" t="s">
        <v>272</v>
      </c>
      <c r="F699" s="308"/>
      <c r="G699" s="381">
        <v>0.02</v>
      </c>
      <c r="H699" s="322">
        <v>0.02</v>
      </c>
      <c r="I699" s="320" t="s">
        <v>88</v>
      </c>
      <c r="J699" s="321"/>
      <c r="K699" s="321"/>
    </row>
    <row r="700" spans="2:11" x14ac:dyDescent="0.25">
      <c r="B700" s="404"/>
      <c r="C700" s="323">
        <v>5</v>
      </c>
      <c r="D700" s="332" t="s">
        <v>294</v>
      </c>
      <c r="E700" s="308"/>
      <c r="F700" s="308"/>
      <c r="G700" s="318"/>
      <c r="H700" s="319"/>
      <c r="I700" s="320"/>
      <c r="J700" s="318"/>
      <c r="K700" s="321"/>
    </row>
    <row r="701" spans="2:11" x14ac:dyDescent="0.25">
      <c r="B701" s="404"/>
      <c r="C701" s="335">
        <v>5.0999999999999996</v>
      </c>
      <c r="D701" s="306" t="s">
        <v>295</v>
      </c>
      <c r="E701" s="308" t="s">
        <v>42</v>
      </c>
      <c r="F701" s="308"/>
      <c r="G701" s="318"/>
      <c r="H701" s="319">
        <v>0</v>
      </c>
      <c r="I701" s="320" t="s">
        <v>296</v>
      </c>
      <c r="J701" s="318"/>
      <c r="K701" s="321"/>
    </row>
    <row r="702" spans="2:11" x14ac:dyDescent="0.25">
      <c r="B702" s="404"/>
      <c r="C702" s="335">
        <v>5.2</v>
      </c>
      <c r="D702" s="306" t="s">
        <v>297</v>
      </c>
      <c r="E702" s="308" t="s">
        <v>42</v>
      </c>
      <c r="F702" s="308"/>
      <c r="G702" s="318"/>
      <c r="H702" s="319">
        <v>0</v>
      </c>
      <c r="I702" s="320" t="s">
        <v>298</v>
      </c>
      <c r="J702" s="318"/>
      <c r="K702" s="321"/>
    </row>
    <row r="703" spans="2:11" x14ac:dyDescent="0.25">
      <c r="B703" s="382"/>
      <c r="D703" s="383"/>
    </row>
    <row r="704" spans="2:11" x14ac:dyDescent="0.25">
      <c r="B704" s="382"/>
      <c r="D704" s="383"/>
    </row>
    <row r="705" spans="2:11" x14ac:dyDescent="0.25">
      <c r="B705" s="382"/>
      <c r="D705" s="383"/>
    </row>
    <row r="706" spans="2:11" ht="15" x14ac:dyDescent="0.25">
      <c r="B706" s="291"/>
      <c r="C706" s="384"/>
      <c r="E706" s="385"/>
      <c r="F706" s="384"/>
      <c r="G706" s="291"/>
      <c r="H706" s="384"/>
      <c r="I706" s="384"/>
      <c r="J706" s="291"/>
      <c r="K706" s="291"/>
    </row>
    <row r="707" spans="2:11" ht="15" x14ac:dyDescent="0.25">
      <c r="B707" s="297" t="s">
        <v>32</v>
      </c>
      <c r="C707" s="297" t="s">
        <v>14</v>
      </c>
      <c r="D707" s="297" t="s">
        <v>33</v>
      </c>
      <c r="E707" s="297" t="s">
        <v>34</v>
      </c>
      <c r="F707" s="297"/>
      <c r="G707" s="297"/>
      <c r="H707" s="297" t="s">
        <v>37</v>
      </c>
      <c r="I707" s="297"/>
      <c r="J707" s="291"/>
      <c r="K707" s="291"/>
    </row>
    <row r="708" spans="2:11" ht="15" x14ac:dyDescent="0.25">
      <c r="B708" s="405" t="s">
        <v>299</v>
      </c>
      <c r="C708" s="380">
        <v>1</v>
      </c>
      <c r="D708" s="299" t="s">
        <v>300</v>
      </c>
      <c r="E708" s="308" t="s">
        <v>77</v>
      </c>
      <c r="F708" s="308"/>
      <c r="G708" s="386"/>
      <c r="H708" s="380"/>
      <c r="I708" s="380"/>
      <c r="J708" s="291"/>
      <c r="K708" s="291"/>
    </row>
    <row r="709" spans="2:11" ht="15" x14ac:dyDescent="0.25">
      <c r="B709" s="405"/>
      <c r="C709" s="380"/>
      <c r="D709" s="306" t="s">
        <v>19</v>
      </c>
      <c r="E709" s="308" t="s">
        <v>77</v>
      </c>
      <c r="F709" s="308"/>
      <c r="G709" s="386"/>
      <c r="H709" s="387">
        <v>0.13</v>
      </c>
      <c r="I709" s="380"/>
      <c r="J709" s="291"/>
      <c r="K709" s="291"/>
    </row>
    <row r="710" spans="2:11" ht="15" x14ac:dyDescent="0.25">
      <c r="B710" s="405"/>
      <c r="C710" s="380"/>
      <c r="D710" s="306" t="s">
        <v>20</v>
      </c>
      <c r="E710" s="308" t="s">
        <v>77</v>
      </c>
      <c r="F710" s="308"/>
      <c r="G710" s="386"/>
      <c r="H710" s="387">
        <v>0.09</v>
      </c>
      <c r="I710" s="380"/>
      <c r="J710" s="291"/>
      <c r="K710" s="291"/>
    </row>
    <row r="711" spans="2:11" ht="15" x14ac:dyDescent="0.25">
      <c r="B711" s="405"/>
      <c r="C711" s="380"/>
      <c r="D711" s="306" t="s">
        <v>21</v>
      </c>
      <c r="E711" s="308" t="s">
        <v>77</v>
      </c>
      <c r="F711" s="308"/>
      <c r="G711" s="386"/>
      <c r="H711" s="387">
        <v>0.06</v>
      </c>
      <c r="I711" s="380"/>
      <c r="J711" s="291"/>
      <c r="K711" s="291"/>
    </row>
    <row r="712" spans="2:11" ht="15" x14ac:dyDescent="0.25">
      <c r="B712" s="405"/>
      <c r="C712" s="380"/>
      <c r="D712" s="306" t="s">
        <v>22</v>
      </c>
      <c r="E712" s="308" t="s">
        <v>77</v>
      </c>
      <c r="F712" s="308"/>
      <c r="G712" s="386"/>
      <c r="H712" s="387">
        <v>0</v>
      </c>
      <c r="I712" s="380"/>
      <c r="J712" s="291"/>
      <c r="K712" s="291"/>
    </row>
    <row r="713" spans="2:11" ht="15" x14ac:dyDescent="0.25">
      <c r="B713" s="405"/>
      <c r="C713" s="380"/>
      <c r="D713" s="306" t="s">
        <v>301</v>
      </c>
      <c r="E713" s="308" t="s">
        <v>77</v>
      </c>
      <c r="F713" s="308"/>
      <c r="G713" s="386"/>
      <c r="H713" s="387">
        <v>0.13</v>
      </c>
      <c r="I713" s="380"/>
      <c r="J713" s="291"/>
      <c r="K713" s="291"/>
    </row>
    <row r="714" spans="2:11" ht="15" x14ac:dyDescent="0.25">
      <c r="B714" s="405"/>
      <c r="C714" s="380"/>
      <c r="D714" s="306" t="s">
        <v>23</v>
      </c>
      <c r="E714" s="308" t="s">
        <v>77</v>
      </c>
      <c r="F714" s="308"/>
      <c r="G714" s="386"/>
      <c r="H714" s="387">
        <v>0.09</v>
      </c>
      <c r="I714" s="380"/>
      <c r="J714" s="291"/>
      <c r="K714" s="291"/>
    </row>
    <row r="715" spans="2:11" ht="15" x14ac:dyDescent="0.25">
      <c r="B715" s="405"/>
      <c r="C715" s="380"/>
      <c r="D715" s="306" t="s">
        <v>24</v>
      </c>
      <c r="E715" s="308" t="s">
        <v>77</v>
      </c>
      <c r="F715" s="308"/>
      <c r="G715" s="386"/>
      <c r="H715" s="387">
        <v>0</v>
      </c>
      <c r="I715" s="380"/>
      <c r="J715" s="291"/>
      <c r="K715" s="291"/>
    </row>
    <row r="716" spans="2:11" ht="15" x14ac:dyDescent="0.25">
      <c r="B716" s="405"/>
      <c r="C716" s="380"/>
      <c r="D716" s="306" t="s">
        <v>26</v>
      </c>
      <c r="E716" s="308" t="s">
        <v>77</v>
      </c>
      <c r="F716" s="308"/>
      <c r="G716" s="386"/>
      <c r="H716" s="387">
        <v>0</v>
      </c>
      <c r="I716" s="380"/>
      <c r="J716" s="291"/>
      <c r="K716" s="291"/>
    </row>
    <row r="717" spans="2:11" ht="15" x14ac:dyDescent="0.25">
      <c r="B717" s="405"/>
      <c r="C717" s="380">
        <v>2</v>
      </c>
      <c r="D717" s="299" t="s">
        <v>302</v>
      </c>
      <c r="E717" s="308" t="s">
        <v>77</v>
      </c>
      <c r="F717" s="308"/>
      <c r="G717" s="386"/>
      <c r="H717" s="380"/>
      <c r="I717" s="380"/>
      <c r="J717" s="291"/>
      <c r="K717" s="291"/>
    </row>
    <row r="718" spans="2:11" ht="15" x14ac:dyDescent="0.25">
      <c r="B718" s="405"/>
      <c r="C718" s="380"/>
      <c r="D718" s="306" t="s">
        <v>122</v>
      </c>
      <c r="E718" s="308"/>
      <c r="F718" s="308"/>
      <c r="G718" s="386"/>
      <c r="H718" s="387">
        <v>0.13</v>
      </c>
      <c r="I718" s="380"/>
      <c r="J718" s="291"/>
      <c r="K718" s="291"/>
    </row>
    <row r="719" spans="2:11" ht="15" x14ac:dyDescent="0.25">
      <c r="B719" s="405"/>
      <c r="C719" s="380"/>
      <c r="D719" s="306" t="s">
        <v>119</v>
      </c>
      <c r="E719" s="308" t="s">
        <v>77</v>
      </c>
      <c r="F719" s="308"/>
      <c r="G719" s="386"/>
      <c r="H719" s="387">
        <v>0.06</v>
      </c>
      <c r="I719" s="380"/>
      <c r="J719" s="291"/>
      <c r="K719" s="291"/>
    </row>
    <row r="720" spans="2:11" ht="15" x14ac:dyDescent="0.25">
      <c r="B720" s="291"/>
      <c r="C720" s="384"/>
      <c r="E720" s="385"/>
      <c r="F720" s="384"/>
      <c r="G720" s="291"/>
      <c r="H720" s="384"/>
      <c r="I720" s="384"/>
      <c r="J720" s="291"/>
      <c r="K720" s="291"/>
    </row>
    <row r="721" spans="2:11" ht="15" x14ac:dyDescent="0.25">
      <c r="B721" s="291"/>
      <c r="C721" s="384"/>
      <c r="E721" s="385"/>
      <c r="F721" s="384"/>
      <c r="G721" s="291"/>
      <c r="H721" s="384"/>
      <c r="I721" s="384"/>
      <c r="J721" s="291"/>
      <c r="K721" s="291"/>
    </row>
    <row r="722" spans="2:11" ht="17.5" x14ac:dyDescent="0.25">
      <c r="B722" s="291"/>
      <c r="C722" s="384"/>
      <c r="D722" s="388" t="s">
        <v>303</v>
      </c>
      <c r="E722" s="385"/>
      <c r="F722" s="384"/>
      <c r="G722" s="291"/>
      <c r="H722" s="384"/>
      <c r="I722" s="384"/>
      <c r="J722" s="291"/>
      <c r="K722" s="291"/>
    </row>
    <row r="723" spans="2:11" ht="17.5" x14ac:dyDescent="0.25">
      <c r="B723" s="291"/>
      <c r="C723" s="384"/>
      <c r="D723" s="388" t="s">
        <v>304</v>
      </c>
      <c r="E723" s="385"/>
      <c r="F723" s="384"/>
      <c r="G723" s="291"/>
      <c r="H723" s="384"/>
      <c r="I723" s="384"/>
      <c r="J723" s="291"/>
      <c r="K723" s="291"/>
    </row>
    <row r="724" spans="2:11" ht="15" x14ac:dyDescent="0.25">
      <c r="B724" s="291"/>
      <c r="C724" s="384"/>
      <c r="E724" s="385"/>
      <c r="F724" s="384"/>
      <c r="G724" s="291"/>
      <c r="H724" s="384"/>
      <c r="I724" s="384"/>
      <c r="J724" s="291"/>
      <c r="K724" s="291"/>
    </row>
    <row r="725" spans="2:11" ht="15" x14ac:dyDescent="0.25">
      <c r="B725" s="291"/>
      <c r="C725" s="384"/>
      <c r="E725" s="385"/>
      <c r="F725" s="384"/>
      <c r="G725" s="291"/>
      <c r="H725" s="384"/>
      <c r="I725" s="384"/>
      <c r="J725" s="291"/>
      <c r="K725" s="291"/>
    </row>
    <row r="726" spans="2:11" ht="15" x14ac:dyDescent="0.25">
      <c r="B726" s="291"/>
      <c r="C726" s="384"/>
      <c r="E726" s="385"/>
      <c r="F726" s="384"/>
      <c r="G726" s="291"/>
      <c r="H726" s="384"/>
      <c r="I726" s="384"/>
      <c r="J726" s="291"/>
      <c r="K726" s="291"/>
    </row>
  </sheetData>
  <mergeCells count="8">
    <mergeCell ref="B687:B702"/>
    <mergeCell ref="B708:B719"/>
    <mergeCell ref="J396:J402"/>
    <mergeCell ref="B99:B109"/>
    <mergeCell ref="B110:B339"/>
    <mergeCell ref="B340:B354"/>
    <mergeCell ref="B355:B368"/>
    <mergeCell ref="B372:B652"/>
  </mergeCells>
  <phoneticPr fontId="65" type="noConversion"/>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0000"/>
  </sheetPr>
  <dimension ref="B2:AA103"/>
  <sheetViews>
    <sheetView showGridLines="0" topLeftCell="A52" zoomScale="70" zoomScaleNormal="70" workbookViewId="0">
      <selection activeCell="H12" sqref="H12"/>
    </sheetView>
  </sheetViews>
  <sheetFormatPr defaultColWidth="8.81640625" defaultRowHeight="16.5" x14ac:dyDescent="0.25"/>
  <cols>
    <col min="1" max="1" width="2.81640625" style="91" customWidth="1"/>
    <col min="2" max="2" width="8.81640625" style="91"/>
    <col min="3" max="3" width="31.81640625" style="91" customWidth="1"/>
    <col min="4" max="4" width="18.453125" style="91" customWidth="1"/>
    <col min="5" max="5" width="8.81640625" style="91"/>
    <col min="6" max="6" width="11.81640625" style="91" customWidth="1"/>
    <col min="7" max="7" width="13.1796875" style="91" customWidth="1"/>
    <col min="8" max="9" width="13" style="91" customWidth="1"/>
    <col min="10" max="10" width="15.81640625" style="91" customWidth="1"/>
    <col min="11" max="16" width="11.81640625" style="91" customWidth="1"/>
    <col min="17" max="22" width="11.6328125" style="91" customWidth="1"/>
    <col min="23" max="27" width="11.81640625" style="91" customWidth="1"/>
    <col min="28" max="16384" width="8.81640625" style="91"/>
  </cols>
  <sheetData>
    <row r="2" spans="2:27" x14ac:dyDescent="0.25">
      <c r="B2" s="267" t="s">
        <v>305</v>
      </c>
      <c r="C2" s="268"/>
      <c r="D2" s="268"/>
      <c r="E2" s="268"/>
      <c r="F2" s="268"/>
      <c r="G2" s="268"/>
      <c r="H2" s="268"/>
      <c r="I2" s="268"/>
      <c r="J2" s="268"/>
      <c r="K2" s="268"/>
      <c r="L2" s="268"/>
      <c r="M2" s="268"/>
      <c r="N2" s="268"/>
      <c r="O2" s="268"/>
      <c r="P2" s="268"/>
      <c r="Q2" s="268"/>
      <c r="R2" s="268"/>
      <c r="S2" s="268"/>
      <c r="T2" s="268"/>
      <c r="U2" s="268"/>
      <c r="V2" s="268"/>
      <c r="W2" s="268"/>
      <c r="X2" s="268"/>
      <c r="Y2" s="268"/>
      <c r="Z2" s="268"/>
      <c r="AA2" s="268"/>
    </row>
    <row r="3" spans="2:27" x14ac:dyDescent="0.25">
      <c r="B3" s="420" t="s">
        <v>14</v>
      </c>
      <c r="C3" s="269" t="s">
        <v>93</v>
      </c>
      <c r="D3" s="269" t="s">
        <v>306</v>
      </c>
      <c r="E3" s="419" t="s">
        <v>38</v>
      </c>
      <c r="F3" s="417" t="s">
        <v>93</v>
      </c>
      <c r="G3" s="417"/>
      <c r="H3" s="418" t="s">
        <v>103</v>
      </c>
      <c r="I3" s="418"/>
      <c r="J3" s="418"/>
      <c r="K3" s="418"/>
      <c r="L3" s="418"/>
      <c r="M3" s="418"/>
      <c r="N3" s="418"/>
      <c r="O3" s="418"/>
      <c r="P3" s="418"/>
      <c r="Q3" s="418"/>
      <c r="R3" s="418"/>
      <c r="S3" s="418"/>
      <c r="T3" s="418"/>
      <c r="U3" s="418"/>
      <c r="V3" s="418"/>
      <c r="W3" s="418"/>
      <c r="X3" s="418"/>
      <c r="Y3" s="418"/>
      <c r="Z3" s="418"/>
      <c r="AA3" s="418"/>
    </row>
    <row r="4" spans="2:27" x14ac:dyDescent="0.25">
      <c r="B4" s="421"/>
      <c r="C4" s="269"/>
      <c r="D4" s="269"/>
      <c r="E4" s="419"/>
      <c r="F4" s="93">
        <v>1</v>
      </c>
      <c r="G4" s="93">
        <v>2</v>
      </c>
      <c r="H4" s="94">
        <v>1</v>
      </c>
      <c r="I4" s="94">
        <v>2</v>
      </c>
      <c r="J4" s="94">
        <v>3</v>
      </c>
      <c r="K4" s="94">
        <v>4</v>
      </c>
      <c r="L4" s="94">
        <v>5</v>
      </c>
      <c r="M4" s="94">
        <v>6</v>
      </c>
      <c r="N4" s="94">
        <v>7</v>
      </c>
      <c r="O4" s="94">
        <v>8</v>
      </c>
      <c r="P4" s="94">
        <v>9</v>
      </c>
      <c r="Q4" s="94">
        <v>10</v>
      </c>
      <c r="R4" s="94">
        <v>11</v>
      </c>
      <c r="S4" s="94">
        <v>12</v>
      </c>
      <c r="T4" s="94">
        <v>13</v>
      </c>
      <c r="U4" s="94">
        <v>14</v>
      </c>
      <c r="V4" s="94">
        <v>15</v>
      </c>
      <c r="W4" s="94">
        <v>16</v>
      </c>
      <c r="X4" s="94">
        <v>17</v>
      </c>
      <c r="Y4" s="94">
        <v>18</v>
      </c>
      <c r="Z4" s="94">
        <v>19</v>
      </c>
      <c r="AA4" s="94">
        <v>20</v>
      </c>
    </row>
    <row r="5" spans="2:27" x14ac:dyDescent="0.25">
      <c r="B5" s="422"/>
      <c r="C5" s="269" t="s">
        <v>98</v>
      </c>
      <c r="D5" s="270">
        <f>SUM(F5:M5)</f>
        <v>1</v>
      </c>
      <c r="E5" s="419"/>
      <c r="F5" s="271">
        <f>参数输入表!H102</f>
        <v>0.6</v>
      </c>
      <c r="G5" s="271">
        <f>参数输入表!H103</f>
        <v>0.4</v>
      </c>
      <c r="H5" s="271"/>
      <c r="I5" s="272"/>
      <c r="J5" s="272"/>
      <c r="K5" s="272"/>
      <c r="L5" s="272"/>
      <c r="M5" s="272"/>
      <c r="N5" s="243"/>
      <c r="O5" s="243"/>
      <c r="P5" s="243"/>
      <c r="Q5" s="243"/>
      <c r="R5" s="243"/>
      <c r="S5" s="243"/>
      <c r="T5" s="243"/>
      <c r="U5" s="243"/>
      <c r="V5" s="243"/>
      <c r="W5" s="243"/>
      <c r="X5" s="243"/>
      <c r="Y5" s="243"/>
      <c r="Z5" s="243"/>
      <c r="AA5" s="243"/>
    </row>
    <row r="6" spans="2:27" x14ac:dyDescent="0.25">
      <c r="B6" s="136">
        <v>1</v>
      </c>
      <c r="C6" s="273" t="s">
        <v>307</v>
      </c>
      <c r="D6" s="274">
        <f ca="1">D7+D8+D9</f>
        <v>67671.182327609407</v>
      </c>
      <c r="E6" s="112" t="s">
        <v>120</v>
      </c>
      <c r="F6" s="274">
        <f ca="1">SUM(F7:F9)</f>
        <v>39711.142809200603</v>
      </c>
      <c r="G6" s="274">
        <f t="shared" ref="G6:H6" ca="1" si="0">SUM(G7:G9)</f>
        <v>27579.039518408801</v>
      </c>
      <c r="H6" s="274">
        <f t="shared" si="0"/>
        <v>381</v>
      </c>
      <c r="I6" s="275"/>
      <c r="J6" s="275"/>
      <c r="K6" s="275"/>
      <c r="L6" s="275"/>
      <c r="M6" s="275"/>
      <c r="N6" s="243"/>
      <c r="O6" s="243"/>
      <c r="P6" s="243"/>
      <c r="Q6" s="243"/>
      <c r="R6" s="243"/>
      <c r="S6" s="243"/>
      <c r="T6" s="243"/>
      <c r="U6" s="243"/>
      <c r="V6" s="243"/>
      <c r="W6" s="243"/>
      <c r="X6" s="243"/>
      <c r="Y6" s="243"/>
      <c r="Z6" s="243"/>
      <c r="AA6" s="243"/>
    </row>
    <row r="7" spans="2:27" x14ac:dyDescent="0.25">
      <c r="B7" s="112">
        <v>1.1000000000000001</v>
      </c>
      <c r="C7" s="197" t="s">
        <v>139</v>
      </c>
      <c r="D7" s="276">
        <f>SUM(F7:AA7)</f>
        <v>65278.39</v>
      </c>
      <c r="E7" s="112" t="s">
        <v>120</v>
      </c>
      <c r="F7" s="277">
        <f>参数输入表!H348*F5</f>
        <v>39167.034</v>
      </c>
      <c r="G7" s="277">
        <f>参数输入表!$H$348*G5</f>
        <v>26111.356</v>
      </c>
      <c r="H7" s="277">
        <v>0</v>
      </c>
      <c r="I7" s="275"/>
      <c r="J7" s="275"/>
      <c r="K7" s="275"/>
      <c r="L7" s="275"/>
      <c r="M7" s="275"/>
      <c r="N7" s="243"/>
      <c r="O7" s="243"/>
      <c r="P7" s="243"/>
      <c r="Q7" s="243"/>
      <c r="R7" s="243"/>
      <c r="S7" s="243"/>
      <c r="T7" s="243"/>
      <c r="U7" s="243"/>
      <c r="V7" s="243"/>
      <c r="W7" s="243"/>
      <c r="X7" s="243"/>
      <c r="Y7" s="243"/>
      <c r="Z7" s="243"/>
      <c r="AA7" s="243"/>
    </row>
    <row r="8" spans="2:27" x14ac:dyDescent="0.25">
      <c r="B8" s="112">
        <v>1.2</v>
      </c>
      <c r="C8" s="197" t="s">
        <v>26</v>
      </c>
      <c r="D8" s="277">
        <f ca="1">SUM(F8:AA8)</f>
        <v>2011.7923276094061</v>
      </c>
      <c r="E8" s="112" t="s">
        <v>120</v>
      </c>
      <c r="F8" s="277">
        <f ca="1">F17</f>
        <v>544.10880920060515</v>
      </c>
      <c r="G8" s="277">
        <f ca="1">G17</f>
        <v>1467.6835184088009</v>
      </c>
      <c r="H8" s="277">
        <f>H17</f>
        <v>0</v>
      </c>
      <c r="I8" s="275"/>
      <c r="J8" s="275"/>
      <c r="K8" s="275"/>
      <c r="L8" s="275"/>
      <c r="M8" s="275"/>
      <c r="N8" s="243"/>
      <c r="O8" s="243"/>
      <c r="P8" s="243"/>
      <c r="Q8" s="243"/>
      <c r="R8" s="243"/>
      <c r="S8" s="243"/>
      <c r="T8" s="243"/>
      <c r="U8" s="243"/>
      <c r="V8" s="243"/>
      <c r="W8" s="243"/>
      <c r="X8" s="243"/>
      <c r="Y8" s="243"/>
      <c r="Z8" s="243"/>
      <c r="AA8" s="243"/>
    </row>
    <row r="9" spans="2:27" x14ac:dyDescent="0.25">
      <c r="B9" s="112">
        <v>1.3</v>
      </c>
      <c r="C9" s="197" t="s">
        <v>28</v>
      </c>
      <c r="D9" s="277">
        <f>SUM(F9:AA9)</f>
        <v>381</v>
      </c>
      <c r="E9" s="112" t="s">
        <v>120</v>
      </c>
      <c r="F9" s="277">
        <v>0</v>
      </c>
      <c r="G9" s="277">
        <v>0</v>
      </c>
      <c r="H9" s="277">
        <f>参数输入表!H351</f>
        <v>381</v>
      </c>
      <c r="I9" s="275"/>
      <c r="J9" s="275"/>
      <c r="K9" s="275"/>
      <c r="L9" s="275"/>
      <c r="M9" s="275"/>
      <c r="N9" s="243"/>
      <c r="O9" s="243"/>
      <c r="P9" s="243"/>
      <c r="Q9" s="243"/>
      <c r="R9" s="243"/>
      <c r="S9" s="243"/>
      <c r="T9" s="243"/>
      <c r="U9" s="243"/>
      <c r="V9" s="243"/>
      <c r="W9" s="243"/>
      <c r="X9" s="243"/>
      <c r="Y9" s="243"/>
      <c r="Z9" s="243"/>
      <c r="AA9" s="243"/>
    </row>
    <row r="10" spans="2:27" x14ac:dyDescent="0.25">
      <c r="B10" s="136">
        <v>2</v>
      </c>
      <c r="C10" s="273" t="s">
        <v>308</v>
      </c>
      <c r="D10" s="273"/>
      <c r="E10" s="136"/>
      <c r="F10" s="277"/>
      <c r="G10" s="277"/>
      <c r="H10" s="277"/>
      <c r="I10" s="136"/>
      <c r="J10" s="136"/>
      <c r="K10" s="136"/>
      <c r="L10" s="136"/>
      <c r="M10" s="136"/>
      <c r="N10" s="243"/>
      <c r="O10" s="243"/>
      <c r="P10" s="243"/>
      <c r="Q10" s="243"/>
      <c r="R10" s="243"/>
      <c r="S10" s="243"/>
      <c r="T10" s="243"/>
      <c r="U10" s="243"/>
      <c r="V10" s="243"/>
      <c r="W10" s="243"/>
      <c r="X10" s="243"/>
      <c r="Y10" s="243"/>
      <c r="Z10" s="243"/>
      <c r="AA10" s="243"/>
    </row>
    <row r="11" spans="2:27" x14ac:dyDescent="0.25">
      <c r="B11" s="136">
        <v>2.1</v>
      </c>
      <c r="C11" s="273" t="s">
        <v>152</v>
      </c>
      <c r="D11" s="274">
        <f ca="1">SUM(F11:AA11)</f>
        <v>13705.209949361466</v>
      </c>
      <c r="E11" s="112" t="s">
        <v>120</v>
      </c>
      <c r="F11" s="278">
        <f ca="1">F6*(参数输入表!$H$355+0.3346%)</f>
        <v>8075.102045679706</v>
      </c>
      <c r="G11" s="274">
        <f ca="1">G6*参数输入表!$H$355</f>
        <v>5515.8079036817608</v>
      </c>
      <c r="H11" s="274">
        <f>H6*参数输入表!$H$363</f>
        <v>114.3</v>
      </c>
      <c r="I11" s="275"/>
      <c r="J11" s="275"/>
      <c r="K11" s="275"/>
      <c r="L11" s="275"/>
      <c r="M11" s="275"/>
      <c r="N11" s="243"/>
      <c r="O11" s="243"/>
      <c r="P11" s="243"/>
      <c r="Q11" s="243"/>
      <c r="R11" s="243"/>
      <c r="S11" s="243"/>
      <c r="T11" s="243"/>
      <c r="U11" s="243"/>
      <c r="V11" s="243"/>
      <c r="W11" s="243"/>
      <c r="X11" s="243"/>
      <c r="Y11" s="243"/>
      <c r="Z11" s="243"/>
      <c r="AA11" s="243"/>
    </row>
    <row r="12" spans="2:27" x14ac:dyDescent="0.25">
      <c r="B12" s="112" t="s">
        <v>309</v>
      </c>
      <c r="C12" s="197" t="s">
        <v>310</v>
      </c>
      <c r="D12" s="277">
        <f ca="1">SUM(F12:AA12)</f>
        <v>13590.909949361467</v>
      </c>
      <c r="E12" s="112" t="s">
        <v>120</v>
      </c>
      <c r="F12" s="277">
        <f ca="1">F11-F13-F14</f>
        <v>8075.102045679706</v>
      </c>
      <c r="G12" s="277">
        <f ca="1">G11-G13-G14</f>
        <v>5515.8079036817608</v>
      </c>
      <c r="H12" s="277">
        <v>0</v>
      </c>
      <c r="I12" s="279"/>
      <c r="J12" s="279"/>
      <c r="K12" s="279"/>
      <c r="L12" s="279"/>
      <c r="M12" s="279"/>
      <c r="N12" s="243"/>
      <c r="O12" s="243"/>
      <c r="P12" s="243"/>
      <c r="Q12" s="243"/>
      <c r="R12" s="243"/>
      <c r="S12" s="243"/>
      <c r="T12" s="243"/>
      <c r="U12" s="243"/>
      <c r="V12" s="243"/>
      <c r="W12" s="243"/>
      <c r="X12" s="243"/>
      <c r="Y12" s="243"/>
      <c r="Z12" s="243"/>
      <c r="AA12" s="243"/>
    </row>
    <row r="13" spans="2:27" x14ac:dyDescent="0.25">
      <c r="B13" s="112" t="s">
        <v>311</v>
      </c>
      <c r="C13" s="197" t="s">
        <v>312</v>
      </c>
      <c r="D13" s="277">
        <f>SUM(F13:AA13)</f>
        <v>0</v>
      </c>
      <c r="E13" s="112" t="s">
        <v>120</v>
      </c>
      <c r="F13" s="277">
        <v>0</v>
      </c>
      <c r="G13" s="277">
        <v>0</v>
      </c>
      <c r="H13" s="277">
        <v>0</v>
      </c>
      <c r="I13" s="279"/>
      <c r="J13" s="279"/>
      <c r="K13" s="279"/>
      <c r="L13" s="279"/>
      <c r="M13" s="279"/>
      <c r="N13" s="243"/>
      <c r="O13" s="243"/>
      <c r="P13" s="243"/>
      <c r="Q13" s="243"/>
      <c r="R13" s="243"/>
      <c r="S13" s="243"/>
      <c r="T13" s="243"/>
      <c r="U13" s="243"/>
      <c r="V13" s="243"/>
      <c r="W13" s="243"/>
      <c r="X13" s="243"/>
      <c r="Y13" s="243"/>
      <c r="Z13" s="243"/>
      <c r="AA13" s="243"/>
    </row>
    <row r="14" spans="2:27" x14ac:dyDescent="0.25">
      <c r="B14" s="112" t="s">
        <v>313</v>
      </c>
      <c r="C14" s="197" t="s">
        <v>314</v>
      </c>
      <c r="D14" s="277">
        <f>SUM(F14:AA14)</f>
        <v>114.3</v>
      </c>
      <c r="E14" s="112"/>
      <c r="F14" s="277">
        <v>0</v>
      </c>
      <c r="G14" s="277">
        <v>0</v>
      </c>
      <c r="H14" s="277">
        <f>H9*参数输入表!H363</f>
        <v>114.3</v>
      </c>
      <c r="I14" s="279"/>
      <c r="J14" s="279"/>
      <c r="K14" s="279"/>
      <c r="L14" s="279"/>
      <c r="M14" s="279"/>
      <c r="N14" s="243"/>
      <c r="O14" s="243"/>
      <c r="P14" s="243"/>
      <c r="Q14" s="243"/>
      <c r="R14" s="243"/>
      <c r="S14" s="243"/>
      <c r="T14" s="243"/>
      <c r="U14" s="243"/>
      <c r="V14" s="243"/>
      <c r="W14" s="243"/>
      <c r="X14" s="243"/>
      <c r="Y14" s="243"/>
      <c r="Z14" s="243"/>
      <c r="AA14" s="243"/>
    </row>
    <row r="15" spans="2:27" x14ac:dyDescent="0.25">
      <c r="B15" s="136">
        <v>2.2000000000000002</v>
      </c>
      <c r="C15" s="273" t="s">
        <v>315</v>
      </c>
      <c r="D15" s="274">
        <f t="shared" ref="D15" ca="1" si="1">SUM(F15:M15)</f>
        <v>53965.972378247941</v>
      </c>
      <c r="E15" s="112" t="s">
        <v>120</v>
      </c>
      <c r="F15" s="274">
        <f ca="1">SUM(F16:F18)</f>
        <v>31636.040763520901</v>
      </c>
      <c r="G15" s="274">
        <f t="shared" ref="G15:H15" ca="1" si="2">SUM(G16:G18)</f>
        <v>22063.231614727039</v>
      </c>
      <c r="H15" s="274">
        <f t="shared" si="2"/>
        <v>266.7</v>
      </c>
      <c r="I15" s="275"/>
      <c r="J15" s="280"/>
      <c r="K15" s="275"/>
      <c r="L15" s="275"/>
      <c r="M15" s="275"/>
      <c r="N15" s="243"/>
      <c r="O15" s="243"/>
      <c r="P15" s="243"/>
      <c r="Q15" s="243"/>
      <c r="R15" s="243"/>
      <c r="S15" s="243"/>
      <c r="T15" s="243"/>
      <c r="U15" s="243"/>
      <c r="V15" s="243"/>
      <c r="W15" s="243"/>
      <c r="X15" s="243"/>
      <c r="Y15" s="243"/>
      <c r="Z15" s="243"/>
      <c r="AA15" s="243"/>
    </row>
    <row r="16" spans="2:27" x14ac:dyDescent="0.25">
      <c r="B16" s="112" t="s">
        <v>316</v>
      </c>
      <c r="C16" s="197" t="s">
        <v>310</v>
      </c>
      <c r="D16" s="277">
        <f ca="1">SUM(F16:AA16)</f>
        <v>51687.480050638536</v>
      </c>
      <c r="E16" s="112" t="s">
        <v>120</v>
      </c>
      <c r="F16" s="277">
        <f ca="1">F7-F12</f>
        <v>31091.931954320295</v>
      </c>
      <c r="G16" s="277">
        <f ca="1">G7-G12</f>
        <v>20595.548096318238</v>
      </c>
      <c r="H16" s="277">
        <f t="shared" ref="H16" si="3">H7-H12</f>
        <v>0</v>
      </c>
      <c r="I16" s="279"/>
      <c r="J16" s="279"/>
      <c r="K16" s="279"/>
      <c r="L16" s="279"/>
      <c r="M16" s="279"/>
      <c r="N16" s="243"/>
      <c r="O16" s="243"/>
      <c r="P16" s="243"/>
      <c r="Q16" s="243"/>
      <c r="R16" s="243"/>
      <c r="S16" s="243"/>
      <c r="T16" s="243"/>
      <c r="U16" s="243"/>
      <c r="V16" s="243"/>
      <c r="W16" s="243"/>
      <c r="X16" s="243"/>
      <c r="Y16" s="243"/>
      <c r="Z16" s="243"/>
      <c r="AA16" s="243"/>
    </row>
    <row r="17" spans="2:27" x14ac:dyDescent="0.25">
      <c r="B17" s="112" t="s">
        <v>311</v>
      </c>
      <c r="C17" s="197" t="s">
        <v>312</v>
      </c>
      <c r="D17" s="277">
        <f ca="1">SUM(F17:AA17)</f>
        <v>2011.7923276094061</v>
      </c>
      <c r="E17" s="112" t="s">
        <v>120</v>
      </c>
      <c r="F17" s="281">
        <f ca="1">F16/2*参数输入表!$H$358*(12/12)</f>
        <v>544.10880920060515</v>
      </c>
      <c r="G17" s="277">
        <f ca="1">IF(G5&gt;0,((G16/2+F15)*参数输入表!$H$358)*(12/12),0)</f>
        <v>1467.6835184088009</v>
      </c>
      <c r="H17" s="277">
        <v>0</v>
      </c>
      <c r="I17" s="279"/>
      <c r="J17" s="279"/>
      <c r="K17" s="279"/>
      <c r="L17" s="279"/>
      <c r="M17" s="279"/>
      <c r="N17" s="243"/>
      <c r="O17" s="243"/>
      <c r="P17" s="243"/>
      <c r="Q17" s="243"/>
      <c r="R17" s="243"/>
      <c r="S17" s="243"/>
      <c r="T17" s="243"/>
      <c r="U17" s="243"/>
      <c r="V17" s="243"/>
      <c r="W17" s="243"/>
      <c r="X17" s="243"/>
      <c r="Y17" s="243"/>
      <c r="Z17" s="243"/>
      <c r="AA17" s="243"/>
    </row>
    <row r="18" spans="2:27" x14ac:dyDescent="0.25">
      <c r="B18" s="112" t="s">
        <v>313</v>
      </c>
      <c r="C18" s="197" t="s">
        <v>314</v>
      </c>
      <c r="D18" s="277">
        <f>SUM(F18:AA18)</f>
        <v>266.7</v>
      </c>
      <c r="E18" s="112" t="s">
        <v>120</v>
      </c>
      <c r="F18" s="277">
        <v>0</v>
      </c>
      <c r="G18" s="277">
        <v>0</v>
      </c>
      <c r="H18" s="277">
        <f>H9-H14</f>
        <v>266.7</v>
      </c>
      <c r="I18" s="279"/>
      <c r="J18" s="279"/>
      <c r="K18" s="279"/>
      <c r="L18" s="279"/>
      <c r="M18" s="279"/>
      <c r="N18" s="243"/>
      <c r="O18" s="243"/>
      <c r="P18" s="243"/>
      <c r="Q18" s="243"/>
      <c r="R18" s="243"/>
      <c r="S18" s="243"/>
      <c r="T18" s="243"/>
      <c r="U18" s="243"/>
      <c r="V18" s="243"/>
      <c r="W18" s="243"/>
      <c r="X18" s="243"/>
      <c r="Y18" s="243"/>
      <c r="Z18" s="243"/>
      <c r="AA18" s="243"/>
    </row>
    <row r="19" spans="2:27" x14ac:dyDescent="0.25">
      <c r="B19" s="165"/>
      <c r="C19" s="282"/>
      <c r="D19" s="283"/>
      <c r="E19" s="165"/>
      <c r="F19" s="283"/>
      <c r="G19" s="283"/>
      <c r="H19" s="283"/>
      <c r="I19" s="284"/>
      <c r="J19" s="284"/>
      <c r="K19" s="284"/>
      <c r="L19" s="284"/>
      <c r="M19" s="284"/>
    </row>
    <row r="20" spans="2:27" hidden="1" x14ac:dyDescent="0.25">
      <c r="B20" s="267" t="s">
        <v>317</v>
      </c>
      <c r="C20" s="268"/>
      <c r="D20" s="268"/>
      <c r="E20" s="268"/>
      <c r="F20" s="268"/>
      <c r="G20" s="268"/>
      <c r="H20" s="268"/>
      <c r="I20" s="268"/>
      <c r="J20" s="268"/>
      <c r="K20" s="268"/>
      <c r="L20" s="268"/>
      <c r="M20" s="268"/>
      <c r="N20" s="268"/>
      <c r="O20" s="268"/>
      <c r="P20" s="268"/>
      <c r="Q20" s="268"/>
      <c r="R20" s="268"/>
      <c r="S20" s="268"/>
      <c r="T20" s="268"/>
      <c r="U20" s="268"/>
      <c r="V20" s="268"/>
      <c r="W20" s="268"/>
      <c r="X20" s="268"/>
      <c r="Y20" s="268"/>
      <c r="Z20" s="268"/>
      <c r="AA20" s="268"/>
    </row>
    <row r="21" spans="2:27" hidden="1" x14ac:dyDescent="0.25">
      <c r="B21" s="419" t="s">
        <v>14</v>
      </c>
      <c r="C21" s="419" t="s">
        <v>318</v>
      </c>
      <c r="D21" s="419" t="s">
        <v>306</v>
      </c>
      <c r="E21" s="419" t="s">
        <v>38</v>
      </c>
      <c r="F21" s="417" t="s">
        <v>93</v>
      </c>
      <c r="G21" s="417"/>
      <c r="H21" s="418" t="s">
        <v>103</v>
      </c>
      <c r="I21" s="418"/>
      <c r="J21" s="418"/>
      <c r="K21" s="418"/>
      <c r="L21" s="418"/>
      <c r="M21" s="418"/>
      <c r="N21" s="418"/>
      <c r="O21" s="418"/>
      <c r="P21" s="418"/>
      <c r="Q21" s="418"/>
      <c r="R21" s="418"/>
      <c r="S21" s="418"/>
      <c r="T21" s="418"/>
      <c r="U21" s="418"/>
      <c r="V21" s="418"/>
      <c r="W21" s="418"/>
      <c r="X21" s="418"/>
      <c r="Y21" s="418"/>
      <c r="Z21" s="418"/>
      <c r="AA21" s="418"/>
    </row>
    <row r="22" spans="2:27" hidden="1" x14ac:dyDescent="0.25">
      <c r="B22" s="419"/>
      <c r="C22" s="419"/>
      <c r="D22" s="419"/>
      <c r="E22" s="419"/>
      <c r="F22" s="93">
        <v>1</v>
      </c>
      <c r="G22" s="93">
        <v>2</v>
      </c>
      <c r="H22" s="94">
        <v>1</v>
      </c>
      <c r="I22" s="94">
        <v>2</v>
      </c>
      <c r="J22" s="94">
        <v>3</v>
      </c>
      <c r="K22" s="94">
        <v>4</v>
      </c>
      <c r="L22" s="94">
        <v>5</v>
      </c>
      <c r="M22" s="94">
        <v>6</v>
      </c>
      <c r="N22" s="94">
        <v>7</v>
      </c>
      <c r="O22" s="94">
        <v>8</v>
      </c>
      <c r="P22" s="94">
        <v>9</v>
      </c>
      <c r="Q22" s="94">
        <v>10</v>
      </c>
      <c r="R22" s="94">
        <v>11</v>
      </c>
      <c r="S22" s="94">
        <v>12</v>
      </c>
      <c r="T22" s="94">
        <v>13</v>
      </c>
      <c r="U22" s="94">
        <v>14</v>
      </c>
      <c r="V22" s="94">
        <v>15</v>
      </c>
      <c r="W22" s="94">
        <v>16</v>
      </c>
      <c r="X22" s="94">
        <v>17</v>
      </c>
      <c r="Y22" s="94">
        <v>18</v>
      </c>
      <c r="Z22" s="94">
        <v>19</v>
      </c>
      <c r="AA22" s="94">
        <v>20</v>
      </c>
    </row>
    <row r="23" spans="2:27" hidden="1" x14ac:dyDescent="0.25">
      <c r="B23" s="136">
        <v>1</v>
      </c>
      <c r="C23" s="273" t="s">
        <v>319</v>
      </c>
      <c r="D23" s="274">
        <f t="shared" ref="D23:D28" ca="1" si="4">SUM(F23:AA23)</f>
        <v>217051.74258923245</v>
      </c>
      <c r="E23" s="112" t="s">
        <v>120</v>
      </c>
      <c r="F23" s="274">
        <f ca="1">SUM(F24:F27)</f>
        <v>2674.2060000000001</v>
      </c>
      <c r="G23" s="274">
        <f t="shared" ref="G23:AA23" ca="1" si="5">SUM(G24:G27)</f>
        <v>4457.01</v>
      </c>
      <c r="H23" s="274">
        <f t="shared" ca="1" si="5"/>
        <v>9309.126706032519</v>
      </c>
      <c r="I23" s="274">
        <f t="shared" ca="1" si="5"/>
        <v>8550.2023682975778</v>
      </c>
      <c r="J23" s="274">
        <f t="shared" ca="1" si="5"/>
        <v>7998.4677214952717</v>
      </c>
      <c r="K23" s="274">
        <f t="shared" ca="1" si="5"/>
        <v>7634.4897137527751</v>
      </c>
      <c r="L23" s="274">
        <f t="shared" ca="1" si="5"/>
        <v>7440.778523295694</v>
      </c>
      <c r="M23" s="274">
        <f t="shared" ca="1" si="5"/>
        <v>6648.9003749974736</v>
      </c>
      <c r="N23" s="274">
        <f t="shared" ca="1" si="5"/>
        <v>6928.8422966654498</v>
      </c>
      <c r="O23" s="274">
        <f t="shared" ca="1" si="5"/>
        <v>7277.432970283211</v>
      </c>
      <c r="P23" s="274">
        <f t="shared" ca="1" si="5"/>
        <v>7732.3716316315458</v>
      </c>
      <c r="Q23" s="274">
        <f t="shared" ca="1" si="5"/>
        <v>8285.1162702643887</v>
      </c>
      <c r="R23" s="274">
        <f t="shared" ca="1" si="5"/>
        <v>8585.1571120508634</v>
      </c>
      <c r="S23" s="274">
        <f t="shared" ca="1" si="5"/>
        <v>8367.330784133399</v>
      </c>
      <c r="T23" s="274">
        <f t="shared" ca="1" si="5"/>
        <v>8609.3708150548391</v>
      </c>
      <c r="U23" s="274">
        <f t="shared" ca="1" si="5"/>
        <v>8871.9465865611201</v>
      </c>
      <c r="V23" s="274">
        <f t="shared" ca="1" si="5"/>
        <v>9154.0076889921475</v>
      </c>
      <c r="W23" s="274">
        <f t="shared" ca="1" si="5"/>
        <v>12283.835431598141</v>
      </c>
      <c r="X23" s="274">
        <f t="shared" ca="1" si="5"/>
        <v>15202.193057473161</v>
      </c>
      <c r="Y23" s="274">
        <f t="shared" ca="1" si="5"/>
        <v>17930.290415669293</v>
      </c>
      <c r="Z23" s="274">
        <f t="shared" ca="1" si="5"/>
        <v>20487.216175515743</v>
      </c>
      <c r="AA23" s="274">
        <f t="shared" ca="1" si="5"/>
        <v>22623.449945467826</v>
      </c>
    </row>
    <row r="24" spans="2:27" hidden="1" x14ac:dyDescent="0.25">
      <c r="B24" s="112"/>
      <c r="C24" s="197" t="s">
        <v>320</v>
      </c>
      <c r="D24" s="277">
        <f t="shared" ca="1" si="4"/>
        <v>198161.49103490822</v>
      </c>
      <c r="E24" s="112" t="s">
        <v>120</v>
      </c>
      <c r="F24" s="277">
        <f ca="1">'表9-现金流量表-财务计划'!F34</f>
        <v>0</v>
      </c>
      <c r="G24" s="277">
        <f ca="1">'表9-现金流量表-财务计划'!G34</f>
        <v>0</v>
      </c>
      <c r="H24" s="277">
        <f ca="1">'表9-现金流量表-财务计划'!H34</f>
        <v>5894.3292654748302</v>
      </c>
      <c r="I24" s="277">
        <f ca="1">'表9-现金流量表-财务计划'!I34</f>
        <v>5725.3675356710946</v>
      </c>
      <c r="J24" s="277">
        <f ca="1">'表9-现金流量表-财务计划'!J34</f>
        <v>5764.1740733964571</v>
      </c>
      <c r="K24" s="277">
        <f ca="1">'表9-现金流量表-财务计划'!K34</f>
        <v>5991.3141736789794</v>
      </c>
      <c r="L24" s="277">
        <f ca="1">'表9-现金流量表-财务计划'!L34</f>
        <v>6389.2963690841052</v>
      </c>
      <c r="M24" s="277">
        <f ca="1">'表9-现金流量表-财务计划'!M34</f>
        <v>6082.1576946907817</v>
      </c>
      <c r="N24" s="277">
        <f ca="1">'表9-现金流量表-财务计划'!N34</f>
        <v>6905.1330382162814</v>
      </c>
      <c r="O24" s="277">
        <f ca="1">'表9-现金流量表-财务计划'!O34</f>
        <v>7277.432970283211</v>
      </c>
      <c r="P24" s="277">
        <f ca="1">'表9-现金流量表-财务计划'!P34</f>
        <v>7732.3716316315458</v>
      </c>
      <c r="Q24" s="277">
        <f ca="1">'表9-现金流量表-财务计划'!Q34</f>
        <v>8285.1162702643887</v>
      </c>
      <c r="R24" s="277">
        <f ca="1">'表9-现金流量表-财务计划'!R34</f>
        <v>8585.1571120508634</v>
      </c>
      <c r="S24" s="277">
        <f ca="1">'表9-现金流量表-财务计划'!S34</f>
        <v>8367.330784133399</v>
      </c>
      <c r="T24" s="277">
        <f ca="1">'表9-现金流量表-财务计划'!T34</f>
        <v>8609.3708150548391</v>
      </c>
      <c r="U24" s="277">
        <f ca="1">'表9-现金流量表-财务计划'!U34</f>
        <v>8871.9465865611201</v>
      </c>
      <c r="V24" s="277">
        <f ca="1">'表9-现金流量表-财务计划'!V34</f>
        <v>9154.0076889921475</v>
      </c>
      <c r="W24" s="277">
        <f ca="1">'表9-现金流量表-财务计划'!W34</f>
        <v>12283.835431598141</v>
      </c>
      <c r="X24" s="277">
        <f ca="1">'表9-现金流量表-财务计划'!X34</f>
        <v>15202.193057473161</v>
      </c>
      <c r="Y24" s="277">
        <f ca="1">'表9-现金流量表-财务计划'!Y34</f>
        <v>17930.290415669293</v>
      </c>
      <c r="Z24" s="277">
        <f ca="1">'表9-现金流量表-财务计划'!Z34</f>
        <v>20487.216175515743</v>
      </c>
      <c r="AA24" s="277">
        <f ca="1">'表9-现金流量表-财务计划'!AA34</f>
        <v>22623.449945467826</v>
      </c>
    </row>
    <row r="25" spans="2:27" hidden="1" x14ac:dyDescent="0.25">
      <c r="B25" s="112"/>
      <c r="C25" s="197" t="s">
        <v>321</v>
      </c>
      <c r="D25" s="277">
        <f t="shared" si="4"/>
        <v>0</v>
      </c>
      <c r="E25" s="112" t="s">
        <v>120</v>
      </c>
      <c r="F25" s="277"/>
      <c r="G25" s="277"/>
      <c r="H25" s="277">
        <f>'表4-收入税金表'!H54</f>
        <v>0</v>
      </c>
      <c r="I25" s="277">
        <f>'表4-收入税金表'!I54</f>
        <v>0</v>
      </c>
      <c r="J25" s="277">
        <f>'表4-收入税金表'!J54</f>
        <v>0</v>
      </c>
      <c r="K25" s="277">
        <f>'表4-收入税金表'!K54</f>
        <v>0</v>
      </c>
      <c r="L25" s="277">
        <f>'表4-收入税金表'!L54</f>
        <v>0</v>
      </c>
      <c r="M25" s="277">
        <f>'表4-收入税金表'!M54</f>
        <v>0</v>
      </c>
      <c r="N25" s="277">
        <f>'表4-收入税金表'!N54</f>
        <v>0</v>
      </c>
      <c r="O25" s="277">
        <f>'表4-收入税金表'!O54</f>
        <v>0</v>
      </c>
      <c r="P25" s="277">
        <f>'表4-收入税金表'!P54</f>
        <v>0</v>
      </c>
      <c r="Q25" s="277">
        <f>'表4-收入税金表'!Q54</f>
        <v>0</v>
      </c>
      <c r="R25" s="277">
        <f>'表4-收入税金表'!R54</f>
        <v>0</v>
      </c>
      <c r="S25" s="277">
        <f>'表4-收入税金表'!S54</f>
        <v>0</v>
      </c>
      <c r="T25" s="277">
        <f>'表4-收入税金表'!T54</f>
        <v>0</v>
      </c>
      <c r="U25" s="277">
        <f>'表4-收入税金表'!U54</f>
        <v>0</v>
      </c>
      <c r="V25" s="277">
        <f>'表4-收入税金表'!V54</f>
        <v>0</v>
      </c>
      <c r="W25" s="277">
        <f>'表4-收入税金表'!W54</f>
        <v>0</v>
      </c>
      <c r="X25" s="277">
        <f>'表4-收入税金表'!X54</f>
        <v>0</v>
      </c>
      <c r="Y25" s="277">
        <f>'表4-收入税金表'!Y54</f>
        <v>0</v>
      </c>
      <c r="Z25" s="277">
        <f>'表4-收入税金表'!Z54</f>
        <v>0</v>
      </c>
      <c r="AA25" s="277">
        <f>'表4-收入税金表'!AA54</f>
        <v>0</v>
      </c>
    </row>
    <row r="26" spans="2:27" hidden="1" x14ac:dyDescent="0.25">
      <c r="B26" s="112"/>
      <c r="C26" s="197" t="s">
        <v>322</v>
      </c>
      <c r="D26" s="277">
        <f t="shared" si="4"/>
        <v>0</v>
      </c>
      <c r="E26" s="112" t="s">
        <v>120</v>
      </c>
      <c r="F26" s="277"/>
      <c r="G26" s="277"/>
      <c r="H26" s="277"/>
      <c r="I26" s="277"/>
      <c r="J26" s="277"/>
      <c r="K26" s="277"/>
      <c r="L26" s="277"/>
      <c r="M26" s="277"/>
      <c r="N26" s="277"/>
      <c r="O26" s="277"/>
      <c r="P26" s="277"/>
      <c r="Q26" s="277"/>
      <c r="R26" s="277"/>
      <c r="S26" s="277"/>
      <c r="T26" s="277"/>
      <c r="U26" s="277"/>
      <c r="V26" s="277"/>
      <c r="W26" s="277"/>
      <c r="X26" s="277"/>
      <c r="Y26" s="277"/>
      <c r="Z26" s="277"/>
      <c r="AA26" s="277"/>
    </row>
    <row r="27" spans="2:27" hidden="1" x14ac:dyDescent="0.25">
      <c r="B27" s="112"/>
      <c r="C27" s="197" t="s">
        <v>323</v>
      </c>
      <c r="D27" s="277">
        <f t="shared" ca="1" si="4"/>
        <v>18890.251554324233</v>
      </c>
      <c r="E27" s="112" t="s">
        <v>120</v>
      </c>
      <c r="F27" s="277">
        <f>'表4-收入税金表'!F39</f>
        <v>2674.2060000000001</v>
      </c>
      <c r="G27" s="277">
        <f>'表4-收入税金表'!G39</f>
        <v>4457.01</v>
      </c>
      <c r="H27" s="277">
        <f ca="1">'表4-收入税金表'!H39</f>
        <v>3414.7974405576897</v>
      </c>
      <c r="I27" s="277">
        <f ca="1">'表4-收入税金表'!I39</f>
        <v>2824.8348326264822</v>
      </c>
      <c r="J27" s="277">
        <f ca="1">'表4-收入税金表'!J39</f>
        <v>2234.2936480988146</v>
      </c>
      <c r="K27" s="277">
        <f ca="1">'表4-收入税金表'!K39</f>
        <v>1643.1755400737959</v>
      </c>
      <c r="L27" s="277">
        <f ca="1">'表4-收入税金表'!L39</f>
        <v>1051.4821542115887</v>
      </c>
      <c r="M27" s="277">
        <f ca="1">'表4-收入税金表'!M39</f>
        <v>566.74268030669157</v>
      </c>
      <c r="N27" s="277">
        <f ca="1">'表4-收入税金表'!N39</f>
        <v>23.709258449168715</v>
      </c>
      <c r="O27" s="277">
        <f ca="1">'表4-收入税金表'!O39</f>
        <v>0</v>
      </c>
      <c r="P27" s="277">
        <f ca="1">'表4-收入税金表'!P39</f>
        <v>0</v>
      </c>
      <c r="Q27" s="277">
        <f ca="1">'表4-收入税金表'!Q39</f>
        <v>0</v>
      </c>
      <c r="R27" s="277">
        <f ca="1">'表4-收入税金表'!R39</f>
        <v>0</v>
      </c>
      <c r="S27" s="277">
        <f ca="1">'表4-收入税金表'!S39</f>
        <v>0</v>
      </c>
      <c r="T27" s="277">
        <f ca="1">'表4-收入税金表'!T39</f>
        <v>0</v>
      </c>
      <c r="U27" s="277">
        <f ca="1">'表4-收入税金表'!U39</f>
        <v>0</v>
      </c>
      <c r="V27" s="277">
        <f ca="1">'表4-收入税金表'!V39</f>
        <v>0</v>
      </c>
      <c r="W27" s="277">
        <f ca="1">'表4-收入税金表'!W39</f>
        <v>0</v>
      </c>
      <c r="X27" s="277">
        <f ca="1">'表4-收入税金表'!X39</f>
        <v>0</v>
      </c>
      <c r="Y27" s="277">
        <f ca="1">'表4-收入税金表'!Y39</f>
        <v>0</v>
      </c>
      <c r="Z27" s="277">
        <f ca="1">'表4-收入税金表'!Z39</f>
        <v>0</v>
      </c>
      <c r="AA27" s="277">
        <f ca="1">'表4-收入税金表'!AA39</f>
        <v>0</v>
      </c>
    </row>
    <row r="28" spans="2:27" hidden="1" x14ac:dyDescent="0.25">
      <c r="B28" s="136">
        <v>2</v>
      </c>
      <c r="C28" s="273" t="s">
        <v>324</v>
      </c>
      <c r="D28" s="274">
        <f t="shared" ca="1" si="4"/>
        <v>43563.636369783744</v>
      </c>
      <c r="E28" s="112" t="s">
        <v>120</v>
      </c>
      <c r="F28" s="274">
        <f>SUM(F29:F34)</f>
        <v>0</v>
      </c>
      <c r="G28" s="274">
        <f t="shared" ref="G28:AA28" si="6">SUM(G29:G34)</f>
        <v>0</v>
      </c>
      <c r="H28" s="274">
        <f t="shared" ca="1" si="6"/>
        <v>3203.0305383253535</v>
      </c>
      <c r="I28" s="274">
        <f t="shared" ca="1" si="6"/>
        <v>1129.9634358198323</v>
      </c>
      <c r="J28" s="274">
        <f t="shared" ca="1" si="6"/>
        <v>1052.5226363066433</v>
      </c>
      <c r="K28" s="274">
        <f t="shared" ca="1" si="6"/>
        <v>994.50217251929473</v>
      </c>
      <c r="L28" s="274">
        <f t="shared" ca="1" si="6"/>
        <v>953.95887158201288</v>
      </c>
      <c r="M28" s="274">
        <f t="shared" ca="1" si="6"/>
        <v>854.70173196744588</v>
      </c>
      <c r="N28" s="274">
        <f t="shared" ca="1" si="6"/>
        <v>864.57753192241103</v>
      </c>
      <c r="O28" s="274">
        <f t="shared" ca="1" si="6"/>
        <v>1455.1900751843104</v>
      </c>
      <c r="P28" s="274">
        <f t="shared" ca="1" si="6"/>
        <v>1512.4360287230863</v>
      </c>
      <c r="Q28" s="274">
        <f t="shared" ca="1" si="6"/>
        <v>1554.4625212960432</v>
      </c>
      <c r="R28" s="274">
        <f t="shared" ca="1" si="6"/>
        <v>1910.4746418538966</v>
      </c>
      <c r="S28" s="274">
        <f t="shared" ca="1" si="6"/>
        <v>2074.7077274491371</v>
      </c>
      <c r="T28" s="274">
        <f t="shared" ca="1" si="6"/>
        <v>2254.5186051050423</v>
      </c>
      <c r="U28" s="274">
        <f t="shared" ca="1" si="6"/>
        <v>2373.6088215607519</v>
      </c>
      <c r="V28" s="274">
        <f t="shared" ca="1" si="6"/>
        <v>2493.6983989798487</v>
      </c>
      <c r="W28" s="274">
        <f t="shared" ca="1" si="6"/>
        <v>3365.4073400543443</v>
      </c>
      <c r="X28" s="274">
        <f t="shared" ca="1" si="6"/>
        <v>3591.052653643495</v>
      </c>
      <c r="Y28" s="274">
        <f t="shared" ca="1" si="6"/>
        <v>3795.4377555447027</v>
      </c>
      <c r="Z28" s="274">
        <f t="shared" ca="1" si="6"/>
        <v>3980.684052112696</v>
      </c>
      <c r="AA28" s="274">
        <f t="shared" ca="1" si="6"/>
        <v>4148.7008298333967</v>
      </c>
    </row>
    <row r="29" spans="2:27" hidden="1" x14ac:dyDescent="0.25">
      <c r="B29" s="112"/>
      <c r="C29" s="197" t="s">
        <v>174</v>
      </c>
      <c r="D29" s="277">
        <f t="shared" ref="D29:D34" si="7">SUM(F29:AA29)</f>
        <v>266.7</v>
      </c>
      <c r="E29" s="112" t="s">
        <v>120</v>
      </c>
      <c r="F29" s="277">
        <f>F64+F74</f>
        <v>0</v>
      </c>
      <c r="G29" s="277">
        <f t="shared" ref="G29:AA29" si="8">G60+G70</f>
        <v>0</v>
      </c>
      <c r="H29" s="277">
        <f t="shared" si="8"/>
        <v>266.7</v>
      </c>
      <c r="I29" s="277">
        <f t="shared" si="8"/>
        <v>0</v>
      </c>
      <c r="J29" s="277">
        <f t="shared" si="8"/>
        <v>0</v>
      </c>
      <c r="K29" s="277">
        <f t="shared" si="8"/>
        <v>0</v>
      </c>
      <c r="L29" s="277">
        <f t="shared" si="8"/>
        <v>0</v>
      </c>
      <c r="M29" s="277">
        <f t="shared" si="8"/>
        <v>0</v>
      </c>
      <c r="N29" s="277">
        <f t="shared" si="8"/>
        <v>0</v>
      </c>
      <c r="O29" s="277">
        <f t="shared" si="8"/>
        <v>0</v>
      </c>
      <c r="P29" s="277">
        <f t="shared" si="8"/>
        <v>0</v>
      </c>
      <c r="Q29" s="277">
        <f t="shared" si="8"/>
        <v>0</v>
      </c>
      <c r="R29" s="277">
        <f t="shared" si="8"/>
        <v>0</v>
      </c>
      <c r="S29" s="277">
        <f t="shared" si="8"/>
        <v>0</v>
      </c>
      <c r="T29" s="277">
        <f t="shared" si="8"/>
        <v>0</v>
      </c>
      <c r="U29" s="277">
        <f t="shared" si="8"/>
        <v>0</v>
      </c>
      <c r="V29" s="277">
        <f t="shared" si="8"/>
        <v>0</v>
      </c>
      <c r="W29" s="277">
        <f t="shared" si="8"/>
        <v>0</v>
      </c>
      <c r="X29" s="277">
        <f t="shared" si="8"/>
        <v>0</v>
      </c>
      <c r="Y29" s="277">
        <f t="shared" si="8"/>
        <v>0</v>
      </c>
      <c r="Z29" s="277">
        <f t="shared" si="8"/>
        <v>0</v>
      </c>
      <c r="AA29" s="277">
        <f t="shared" si="8"/>
        <v>0</v>
      </c>
    </row>
    <row r="30" spans="2:27" hidden="1" x14ac:dyDescent="0.25">
      <c r="B30" s="112"/>
      <c r="C30" s="197" t="s">
        <v>325</v>
      </c>
      <c r="D30" s="277">
        <f t="shared" si="7"/>
        <v>0</v>
      </c>
      <c r="E30" s="112" t="s">
        <v>120</v>
      </c>
      <c r="F30" s="277"/>
      <c r="G30" s="277"/>
      <c r="H30" s="277"/>
      <c r="I30" s="277"/>
      <c r="J30" s="277"/>
      <c r="K30" s="277"/>
      <c r="L30" s="277"/>
      <c r="M30" s="277"/>
      <c r="N30" s="277"/>
      <c r="O30" s="277"/>
      <c r="P30" s="277"/>
      <c r="Q30" s="277"/>
      <c r="R30" s="277"/>
      <c r="S30" s="277"/>
      <c r="T30" s="277"/>
      <c r="U30" s="277"/>
      <c r="V30" s="277"/>
      <c r="W30" s="277"/>
      <c r="X30" s="277"/>
      <c r="Y30" s="277"/>
      <c r="Z30" s="277"/>
      <c r="AA30" s="277"/>
    </row>
    <row r="31" spans="2:27" hidden="1" x14ac:dyDescent="0.25">
      <c r="B31" s="112"/>
      <c r="C31" s="197" t="s">
        <v>326</v>
      </c>
      <c r="D31" s="277">
        <f t="shared" si="7"/>
        <v>15360</v>
      </c>
      <c r="E31" s="112" t="s">
        <v>120</v>
      </c>
      <c r="F31" s="277"/>
      <c r="G31" s="277"/>
      <c r="H31" s="277">
        <f>'表3-成本费用表'!H52</f>
        <v>768</v>
      </c>
      <c r="I31" s="277">
        <f>'表3-成本费用表'!I52</f>
        <v>768</v>
      </c>
      <c r="J31" s="277">
        <f>'表3-成本费用表'!J52</f>
        <v>768</v>
      </c>
      <c r="K31" s="277">
        <f>'表3-成本费用表'!K52</f>
        <v>768</v>
      </c>
      <c r="L31" s="277">
        <f>'表3-成本费用表'!L52</f>
        <v>768</v>
      </c>
      <c r="M31" s="277">
        <f>'表3-成本费用表'!M52</f>
        <v>768</v>
      </c>
      <c r="N31" s="277">
        <f>'表3-成本费用表'!N52</f>
        <v>768</v>
      </c>
      <c r="O31" s="277">
        <f>'表3-成本费用表'!O52</f>
        <v>768</v>
      </c>
      <c r="P31" s="277">
        <f>'表3-成本费用表'!P52</f>
        <v>768</v>
      </c>
      <c r="Q31" s="277">
        <f>'表3-成本费用表'!Q52</f>
        <v>768</v>
      </c>
      <c r="R31" s="277">
        <f>'表3-成本费用表'!R52</f>
        <v>768</v>
      </c>
      <c r="S31" s="277">
        <f>'表3-成本费用表'!S52</f>
        <v>768</v>
      </c>
      <c r="T31" s="277">
        <f>'表3-成本费用表'!T52</f>
        <v>768</v>
      </c>
      <c r="U31" s="277">
        <f>'表3-成本费用表'!U52</f>
        <v>768</v>
      </c>
      <c r="V31" s="277">
        <f>'表3-成本费用表'!V52</f>
        <v>768</v>
      </c>
      <c r="W31" s="277">
        <f>'表3-成本费用表'!W52</f>
        <v>768</v>
      </c>
      <c r="X31" s="277">
        <f>'表3-成本费用表'!X52</f>
        <v>768</v>
      </c>
      <c r="Y31" s="277">
        <f>'表3-成本费用表'!Y52</f>
        <v>768</v>
      </c>
      <c r="Z31" s="277">
        <f>'表3-成本费用表'!Z52</f>
        <v>768</v>
      </c>
      <c r="AA31" s="277">
        <f>'表3-成本费用表'!AA52</f>
        <v>768</v>
      </c>
    </row>
    <row r="32" spans="2:27" hidden="1" x14ac:dyDescent="0.25">
      <c r="B32" s="112"/>
      <c r="C32" s="197" t="s">
        <v>327</v>
      </c>
      <c r="D32" s="277">
        <f t="shared" ca="1" si="7"/>
        <v>17278.057809714115</v>
      </c>
      <c r="E32" s="112" t="s">
        <v>120</v>
      </c>
      <c r="F32" s="277"/>
      <c r="G32" s="277"/>
      <c r="H32" s="277">
        <f ca="1">'表6-现金流量表-资本金'!H24+'表6-现金流量表-资本金'!H25+'表6-现金流量表-资本金'!H29</f>
        <v>1707.3468805711445</v>
      </c>
      <c r="I32" s="277">
        <f ca="1">'表6-现金流量表-资本金'!I24+'表6-现金流量表-资本金'!I25+'表6-现金流量表-资本金'!I29</f>
        <v>0</v>
      </c>
      <c r="J32" s="277">
        <f ca="1">'表6-现金流量表-资本金'!J24+'表6-现金流量表-资本金'!J25+'表6-现金流量表-资本金'!J29</f>
        <v>0</v>
      </c>
      <c r="K32" s="277">
        <f ca="1">'表6-现金流量表-资本金'!K24+'表6-现金流量表-资本金'!K25+'表6-现金流量表-资本金'!K29</f>
        <v>0</v>
      </c>
      <c r="L32" s="277">
        <f ca="1">'表6-现金流量表-资本金'!L24+'表6-现金流量表-资本金'!L25+'表6-现金流量表-资本金'!L29</f>
        <v>0</v>
      </c>
      <c r="M32" s="277">
        <f ca="1">'表6-现金流量表-资本金'!M24+'表6-现金流量表-资本金'!M25+'表6-现金流量表-资本金'!M29</f>
        <v>0</v>
      </c>
      <c r="N32" s="277">
        <f ca="1">'表6-现金流量表-资本金'!N24+'表6-现金流量表-资本金'!N25+'表6-现金流量表-资本金'!N29</f>
        <v>0</v>
      </c>
      <c r="O32" s="277">
        <f ca="1">'表6-现金流量表-资本金'!O24+'表6-现金流量表-资本金'!O25+'表6-现金流量表-资本金'!O29</f>
        <v>573.10910420140237</v>
      </c>
      <c r="P32" s="277">
        <f ca="1">'表6-现金流量表-资本金'!P24+'表6-现金流量表-资本金'!P25+'表6-现金流量表-资本金'!P29</f>
        <v>601.03517559850638</v>
      </c>
      <c r="Q32" s="277">
        <f ca="1">'表6-现金流量表-资本金'!Q24+'表6-现金流量表-资本金'!Q25+'表6-现金流量表-资本金'!Q29</f>
        <v>602.87445522040207</v>
      </c>
      <c r="R32" s="277">
        <f ca="1">'表6-现金流量表-资本金'!R24+'表6-现金流量表-资本金'!R25+'表6-现金流量表-资本金'!R29</f>
        <v>860.15260798078111</v>
      </c>
      <c r="S32" s="277">
        <f ca="1">'表6-现金流量表-资本金'!S24+'表6-现金流量表-资本金'!S25+'表6-现金流量表-资本金'!S29</f>
        <v>943.52630990889975</v>
      </c>
      <c r="T32" s="277">
        <f ca="1">'表6-现金流量表-资本金'!T24+'表6-现金流量表-资本金'!T25+'表6-现金流量表-资本金'!T29</f>
        <v>1041.6466285028778</v>
      </c>
      <c r="U32" s="277">
        <f ca="1">'表6-现金流量表-资本金'!U24+'表6-现金流量表-资本金'!U25+'表6-现金流量表-资本金'!U29</f>
        <v>1077.9129770373017</v>
      </c>
      <c r="V32" s="277">
        <f ca="1">'表6-现金流量表-资本金'!V24+'表6-现金流量表-资本金'!V25+'表6-现金流量表-资本金'!V29</f>
        <v>1114.1617182889433</v>
      </c>
      <c r="W32" s="277">
        <f ca="1">'表6-现金流量表-资本金'!W24+'表6-现金流量表-资本金'!W25+'表6-现金流量表-资本金'!W29</f>
        <v>1741.5146767404472</v>
      </c>
      <c r="X32" s="277">
        <f ca="1">'表6-现金流量表-资本金'!X24+'表6-现金流量表-资本金'!X25+'表6-现金流量表-资本金'!X29</f>
        <v>1746.4038652143181</v>
      </c>
      <c r="Y32" s="277">
        <f ca="1">'表6-现金流量表-资本金'!Y24+'表6-现金流量表-资本金'!Y25+'表6-现金流量表-资本金'!Y29</f>
        <v>1751.2756830356882</v>
      </c>
      <c r="Z32" s="277">
        <f ca="1">'表6-现金流量表-资本金'!Z24+'表6-现金流量表-资本金'!Z25+'表6-现金流量表-资本金'!Z29</f>
        <v>1756.1302083724922</v>
      </c>
      <c r="AA32" s="277">
        <f ca="1">'表6-现金流量表-资本金'!AA24+'表6-现金流量表-资本金'!AA25+'表6-现金流量表-资本金'!AA29</f>
        <v>1760.9675190409102</v>
      </c>
    </row>
    <row r="33" spans="2:27" hidden="1" x14ac:dyDescent="0.25">
      <c r="B33" s="112"/>
      <c r="C33" s="197" t="s">
        <v>328</v>
      </c>
      <c r="D33" s="277">
        <f t="shared" ca="1" si="7"/>
        <v>10658.878560069628</v>
      </c>
      <c r="E33" s="112" t="s">
        <v>120</v>
      </c>
      <c r="F33" s="277"/>
      <c r="G33" s="277"/>
      <c r="H33" s="277">
        <f ca="1">'表5-利润表-资本金'!H31</f>
        <v>460.98365775420899</v>
      </c>
      <c r="I33" s="277">
        <f ca="1">'表5-利润表-资本金'!I31</f>
        <v>361.96343581983217</v>
      </c>
      <c r="J33" s="277">
        <f ca="1">'表5-利润表-资本金'!J31</f>
        <v>284.52263630664328</v>
      </c>
      <c r="K33" s="277">
        <f ca="1">'表5-利润表-资本金'!K31</f>
        <v>226.50217251929476</v>
      </c>
      <c r="L33" s="277">
        <f ca="1">'表5-利润表-资本金'!L31</f>
        <v>185.95887158201288</v>
      </c>
      <c r="M33" s="277">
        <f ca="1">'表5-利润表-资本金'!M31</f>
        <v>86.70173196744588</v>
      </c>
      <c r="N33" s="277">
        <f ca="1">'表5-利润表-资本金'!N31</f>
        <v>96.577531922411069</v>
      </c>
      <c r="O33" s="277">
        <f ca="1">'表5-利润表-资本金'!O31</f>
        <v>114.08097098290807</v>
      </c>
      <c r="P33" s="277">
        <f ca="1">'表5-利润表-资本金'!P31</f>
        <v>143.40085312458001</v>
      </c>
      <c r="Q33" s="277">
        <f ca="1">'表5-利润表-资本金'!Q31</f>
        <v>183.58806607564122</v>
      </c>
      <c r="R33" s="277">
        <f ca="1">'表5-利润表-资本金'!R31</f>
        <v>282.32203387311546</v>
      </c>
      <c r="S33" s="277">
        <f ca="1">'表5-利润表-资本金'!S31</f>
        <v>363.18141754023736</v>
      </c>
      <c r="T33" s="277">
        <f ca="1">'表5-利润表-资本金'!T31</f>
        <v>444.8719766021643</v>
      </c>
      <c r="U33" s="277">
        <f ca="1">'表5-利润表-资本金'!U31</f>
        <v>527.69584452345032</v>
      </c>
      <c r="V33" s="277">
        <f ca="1">'表5-利润表-资本金'!V31</f>
        <v>611.53668069090543</v>
      </c>
      <c r="W33" s="277">
        <f ca="1">'表5-利润表-资本金'!W31</f>
        <v>855.89266331389706</v>
      </c>
      <c r="X33" s="277">
        <f ca="1">'表5-利润表-资本金'!X31</f>
        <v>1076.6487884291769</v>
      </c>
      <c r="Y33" s="277">
        <f ca="1">'表5-利润表-资本金'!Y31</f>
        <v>1276.162072509014</v>
      </c>
      <c r="Z33" s="277">
        <f ca="1">'表5-利润表-资本金'!Z31</f>
        <v>1456.5538437402035</v>
      </c>
      <c r="AA33" s="277">
        <f ca="1">'表5-利润表-资本金'!AA31</f>
        <v>1619.7333107924862</v>
      </c>
    </row>
    <row r="34" spans="2:27" hidden="1" x14ac:dyDescent="0.25">
      <c r="B34" s="112"/>
      <c r="C34" s="197" t="s">
        <v>329</v>
      </c>
      <c r="D34" s="277">
        <f t="shared" si="7"/>
        <v>0</v>
      </c>
      <c r="E34" s="112" t="s">
        <v>120</v>
      </c>
      <c r="F34" s="277"/>
      <c r="G34" s="277"/>
      <c r="H34" s="277"/>
      <c r="I34" s="277"/>
      <c r="J34" s="277"/>
      <c r="K34" s="277"/>
      <c r="L34" s="277"/>
      <c r="M34" s="277"/>
      <c r="N34" s="277"/>
      <c r="O34" s="277"/>
      <c r="P34" s="277"/>
      <c r="Q34" s="277"/>
      <c r="R34" s="277"/>
      <c r="S34" s="277"/>
      <c r="T34" s="277"/>
      <c r="U34" s="277"/>
      <c r="V34" s="277"/>
      <c r="W34" s="277"/>
      <c r="X34" s="277"/>
      <c r="Y34" s="277"/>
      <c r="Z34" s="277"/>
      <c r="AA34" s="277"/>
    </row>
    <row r="35" spans="2:27" hidden="1" x14ac:dyDescent="0.25"/>
    <row r="36" spans="2:27" ht="20" customHeight="1" x14ac:dyDescent="0.25">
      <c r="B36" s="416" t="s">
        <v>330</v>
      </c>
      <c r="C36" s="416"/>
      <c r="D36" s="416"/>
      <c r="E36" s="416"/>
      <c r="F36" s="416"/>
      <c r="G36" s="416"/>
      <c r="H36" s="416"/>
      <c r="I36" s="416"/>
      <c r="J36" s="416"/>
      <c r="K36" s="416"/>
      <c r="L36" s="416"/>
      <c r="M36" s="416"/>
      <c r="N36" s="416"/>
      <c r="O36" s="416"/>
      <c r="P36" s="416"/>
      <c r="Q36" s="416"/>
      <c r="R36" s="416"/>
      <c r="S36" s="416"/>
      <c r="T36" s="416"/>
      <c r="U36" s="416"/>
      <c r="V36" s="416"/>
      <c r="W36" s="416"/>
      <c r="X36" s="416"/>
      <c r="Y36" s="416"/>
      <c r="Z36" s="416"/>
      <c r="AA36" s="416"/>
    </row>
    <row r="37" spans="2:27" x14ac:dyDescent="0.25">
      <c r="B37" s="419" t="s">
        <v>14</v>
      </c>
      <c r="C37" s="419" t="s">
        <v>318</v>
      </c>
      <c r="D37" s="419" t="s">
        <v>306</v>
      </c>
      <c r="E37" s="419" t="s">
        <v>38</v>
      </c>
      <c r="F37" s="417" t="s">
        <v>93</v>
      </c>
      <c r="G37" s="417"/>
      <c r="H37" s="418" t="s">
        <v>103</v>
      </c>
      <c r="I37" s="418"/>
      <c r="J37" s="418"/>
      <c r="K37" s="418"/>
      <c r="L37" s="418"/>
      <c r="M37" s="418"/>
      <c r="N37" s="418"/>
      <c r="O37" s="418"/>
      <c r="P37" s="418"/>
      <c r="Q37" s="418"/>
      <c r="R37" s="418"/>
      <c r="S37" s="418"/>
      <c r="T37" s="418"/>
      <c r="U37" s="418"/>
      <c r="V37" s="418"/>
      <c r="W37" s="418"/>
      <c r="X37" s="418"/>
      <c r="Y37" s="418"/>
      <c r="Z37" s="418"/>
      <c r="AA37" s="418"/>
    </row>
    <row r="38" spans="2:27" x14ac:dyDescent="0.25">
      <c r="B38" s="419"/>
      <c r="C38" s="419"/>
      <c r="D38" s="419"/>
      <c r="E38" s="419"/>
      <c r="F38" s="93">
        <v>1</v>
      </c>
      <c r="G38" s="93">
        <v>2</v>
      </c>
      <c r="H38" s="94">
        <v>1</v>
      </c>
      <c r="I38" s="94">
        <v>2</v>
      </c>
      <c r="J38" s="94">
        <v>3</v>
      </c>
      <c r="K38" s="94">
        <v>4</v>
      </c>
      <c r="L38" s="94">
        <v>5</v>
      </c>
      <c r="M38" s="94">
        <v>6</v>
      </c>
      <c r="N38" s="94">
        <v>7</v>
      </c>
      <c r="O38" s="94">
        <v>8</v>
      </c>
      <c r="P38" s="94">
        <v>9</v>
      </c>
      <c r="Q38" s="94">
        <v>10</v>
      </c>
      <c r="R38" s="94">
        <v>11</v>
      </c>
      <c r="S38" s="94">
        <v>12</v>
      </c>
      <c r="T38" s="94">
        <v>13</v>
      </c>
      <c r="U38" s="94">
        <v>14</v>
      </c>
      <c r="V38" s="94">
        <v>15</v>
      </c>
      <c r="W38" s="94">
        <v>16</v>
      </c>
      <c r="X38" s="94">
        <v>17</v>
      </c>
      <c r="Y38" s="94">
        <v>18</v>
      </c>
      <c r="Z38" s="94">
        <v>19</v>
      </c>
      <c r="AA38" s="94">
        <v>20</v>
      </c>
    </row>
    <row r="39" spans="2:27" x14ac:dyDescent="0.25">
      <c r="B39" s="112">
        <v>1</v>
      </c>
      <c r="C39" s="285" t="s">
        <v>331</v>
      </c>
      <c r="D39" s="277"/>
      <c r="E39" s="112" t="s">
        <v>120</v>
      </c>
      <c r="F39" s="277">
        <v>0</v>
      </c>
      <c r="G39" s="277">
        <f ca="1">F44</f>
        <v>31636.040763520901</v>
      </c>
      <c r="H39" s="277">
        <f ca="1">G44</f>
        <v>53699.272378247944</v>
      </c>
      <c r="I39" s="277">
        <f ca="1">H44</f>
        <v>50916.303862339744</v>
      </c>
      <c r="J39" s="277">
        <f t="shared" ref="J39:AA39" ca="1" si="9">I44</f>
        <v>48035.931448374758</v>
      </c>
      <c r="K39" s="277">
        <f t="shared" ca="1" si="9"/>
        <v>45054.745999920997</v>
      </c>
      <c r="L39" s="277">
        <f t="shared" ca="1" si="9"/>
        <v>41969.219060771356</v>
      </c>
      <c r="M39" s="277">
        <f t="shared" ca="1" si="9"/>
        <v>38775.698678751476</v>
      </c>
      <c r="N39" s="277">
        <f t="shared" ca="1" si="9"/>
        <v>35470.4050833609</v>
      </c>
      <c r="O39" s="277">
        <f t="shared" ca="1" si="9"/>
        <v>32049.426212131657</v>
      </c>
      <c r="P39" s="277">
        <f t="shared" ca="1" si="9"/>
        <v>28508.71308040939</v>
      </c>
      <c r="Q39" s="277">
        <f t="shared" ca="1" si="9"/>
        <v>24844.074989076842</v>
      </c>
      <c r="R39" s="277">
        <f t="shared" ca="1" si="9"/>
        <v>21051.174564547655</v>
      </c>
      <c r="S39" s="277">
        <f t="shared" ca="1" si="9"/>
        <v>17125.522625159945</v>
      </c>
      <c r="T39" s="277">
        <f t="shared" ca="1" si="9"/>
        <v>13062.472867893668</v>
      </c>
      <c r="U39" s="277">
        <f t="shared" ca="1" si="9"/>
        <v>8857.2163691230708</v>
      </c>
      <c r="V39" s="277">
        <f t="shared" ca="1" si="9"/>
        <v>4504.7758928955027</v>
      </c>
      <c r="W39" s="277">
        <f t="shared" ca="1" si="9"/>
        <v>-3.0013325158506632E-11</v>
      </c>
      <c r="X39" s="277">
        <f t="shared" si="9"/>
        <v>0</v>
      </c>
      <c r="Y39" s="277">
        <f t="shared" si="9"/>
        <v>0</v>
      </c>
      <c r="Z39" s="277">
        <f t="shared" si="9"/>
        <v>0</v>
      </c>
      <c r="AA39" s="277">
        <f t="shared" si="9"/>
        <v>0</v>
      </c>
    </row>
    <row r="40" spans="2:27" x14ac:dyDescent="0.25">
      <c r="B40" s="112">
        <v>2</v>
      </c>
      <c r="C40" s="285" t="s">
        <v>332</v>
      </c>
      <c r="D40" s="277">
        <f ca="1">SUM(F40:AA40)</f>
        <v>53699.272378247944</v>
      </c>
      <c r="E40" s="112" t="s">
        <v>120</v>
      </c>
      <c r="F40" s="277">
        <f ca="1">F15</f>
        <v>31636.040763520901</v>
      </c>
      <c r="G40" s="277">
        <f ca="1">G15</f>
        <v>22063.231614727039</v>
      </c>
      <c r="H40" s="277"/>
      <c r="I40" s="277"/>
      <c r="J40" s="277"/>
      <c r="K40" s="277"/>
      <c r="L40" s="277"/>
      <c r="M40" s="277"/>
      <c r="N40" s="277"/>
      <c r="O40" s="277"/>
      <c r="P40" s="277"/>
      <c r="Q40" s="277"/>
      <c r="R40" s="277"/>
      <c r="S40" s="277"/>
      <c r="T40" s="277"/>
      <c r="U40" s="277"/>
      <c r="V40" s="277"/>
      <c r="W40" s="277"/>
      <c r="X40" s="277"/>
      <c r="Y40" s="277"/>
      <c r="Z40" s="277"/>
      <c r="AA40" s="277"/>
    </row>
    <row r="41" spans="2:27" x14ac:dyDescent="0.25">
      <c r="B41" s="112">
        <v>3</v>
      </c>
      <c r="C41" s="285" t="s">
        <v>333</v>
      </c>
      <c r="D41" s="277">
        <f ca="1">SUM(F41:AA41)</f>
        <v>69936.645737203115</v>
      </c>
      <c r="E41" s="112" t="s">
        <v>120</v>
      </c>
      <c r="F41" s="277"/>
      <c r="G41" s="277"/>
      <c r="H41" s="277">
        <f ca="1">-PMT(参数输入表!$H$359,参数输入表!$H$362,'表1-资金筹措及还本付息表'!$D$40)</f>
        <v>4662.4430491468756</v>
      </c>
      <c r="I41" s="277">
        <f ca="1">-PMT(参数输入表!$H$359,参数输入表!$H$362,'表1-资金筹措及还本付息表'!$D$40)</f>
        <v>4662.4430491468756</v>
      </c>
      <c r="J41" s="277">
        <f ca="1">-PMT(参数输入表!$H$359,参数输入表!$H$362,'表1-资金筹措及还本付息表'!$D$40)</f>
        <v>4662.4430491468756</v>
      </c>
      <c r="K41" s="277">
        <f ca="1">-PMT(参数输入表!$H$359,参数输入表!$H$362,'表1-资金筹措及还本付息表'!$D$40)</f>
        <v>4662.4430491468756</v>
      </c>
      <c r="L41" s="277">
        <f ca="1">-PMT(参数输入表!$H$359,参数输入表!$H$362,'表1-资金筹措及还本付息表'!$D$40)</f>
        <v>4662.4430491468756</v>
      </c>
      <c r="M41" s="277">
        <f ca="1">-PMT(参数输入表!$H$359,参数输入表!$H$362,'表1-资金筹措及还本付息表'!$D$40)</f>
        <v>4662.4430491468756</v>
      </c>
      <c r="N41" s="277">
        <f ca="1">-PMT(参数输入表!$H$359,参数输入表!$H$362,'表1-资金筹措及还本付息表'!$D$40)</f>
        <v>4662.4430491468756</v>
      </c>
      <c r="O41" s="277">
        <f ca="1">-PMT(参数输入表!$H$359,参数输入表!$H$362,'表1-资金筹措及还本付息表'!$D$40)</f>
        <v>4662.4430491468756</v>
      </c>
      <c r="P41" s="277">
        <f ca="1">-PMT(参数输入表!$H$359,参数输入表!$H$362,'表1-资金筹措及还本付息表'!$D$40)</f>
        <v>4662.4430491468756</v>
      </c>
      <c r="Q41" s="277">
        <f ca="1">-PMT(参数输入表!$H$359,参数输入表!$H$362,'表1-资金筹措及还本付息表'!$D$40)</f>
        <v>4662.4430491468756</v>
      </c>
      <c r="R41" s="277">
        <f ca="1">-PMT(参数输入表!$H$359,参数输入表!$H$362,'表1-资金筹措及还本付息表'!$D$40)</f>
        <v>4662.4430491468756</v>
      </c>
      <c r="S41" s="277">
        <f ca="1">-PMT(参数输入表!$H$359,参数输入表!$H$362,'表1-资金筹措及还本付息表'!$D$40)</f>
        <v>4662.4430491468756</v>
      </c>
      <c r="T41" s="277">
        <f ca="1">-PMT(参数输入表!$H$359,参数输入表!$H$362,'表1-资金筹措及还本付息表'!$D$40)</f>
        <v>4662.4430491468756</v>
      </c>
      <c r="U41" s="277">
        <f ca="1">-PMT(参数输入表!$H$359,参数输入表!$H$362,'表1-资金筹措及还本付息表'!$D$40)</f>
        <v>4662.4430491468756</v>
      </c>
      <c r="V41" s="277">
        <f ca="1">-PMT(参数输入表!$H$359,参数输入表!$H$362,'表1-资金筹措及还本付息表'!$D$40)</f>
        <v>4662.4430491468756</v>
      </c>
      <c r="W41" s="277"/>
      <c r="X41" s="277"/>
      <c r="Y41" s="277"/>
      <c r="Z41" s="277"/>
      <c r="AA41" s="277"/>
    </row>
    <row r="42" spans="2:27" x14ac:dyDescent="0.25">
      <c r="B42" s="112"/>
      <c r="C42" s="286" t="s">
        <v>334</v>
      </c>
      <c r="D42" s="277">
        <f ca="1">SUM(F42:AA42)</f>
        <v>53699.272378247959</v>
      </c>
      <c r="E42" s="112" t="s">
        <v>120</v>
      </c>
      <c r="F42" s="277"/>
      <c r="G42" s="277"/>
      <c r="H42" s="277">
        <f ca="1">H41-H43</f>
        <v>2782.9685159081973</v>
      </c>
      <c r="I42" s="277">
        <f t="shared" ref="I42:V42" ca="1" si="10">I41-I43</f>
        <v>2880.3724139649844</v>
      </c>
      <c r="J42" s="277">
        <f t="shared" ca="1" si="10"/>
        <v>2981.1854484537589</v>
      </c>
      <c r="K42" s="277">
        <f t="shared" ca="1" si="10"/>
        <v>3085.5269391496404</v>
      </c>
      <c r="L42" s="277">
        <f t="shared" ca="1" si="10"/>
        <v>3193.5203820198781</v>
      </c>
      <c r="M42" s="277">
        <f t="shared" ca="1" si="10"/>
        <v>3305.293595390574</v>
      </c>
      <c r="N42" s="277">
        <f t="shared" ca="1" si="10"/>
        <v>3420.9788712292439</v>
      </c>
      <c r="O42" s="277">
        <f t="shared" ca="1" si="10"/>
        <v>3540.7131317222675</v>
      </c>
      <c r="P42" s="277">
        <f t="shared" ca="1" si="10"/>
        <v>3664.638091332547</v>
      </c>
      <c r="Q42" s="277">
        <f t="shared" ca="1" si="10"/>
        <v>3792.9004245291862</v>
      </c>
      <c r="R42" s="277">
        <f t="shared" ca="1" si="10"/>
        <v>3925.6519393877079</v>
      </c>
      <c r="S42" s="277">
        <f t="shared" ca="1" si="10"/>
        <v>4063.0497572662775</v>
      </c>
      <c r="T42" s="277">
        <f t="shared" ca="1" si="10"/>
        <v>4205.2564987705973</v>
      </c>
      <c r="U42" s="277">
        <f t="shared" ca="1" si="10"/>
        <v>4352.4404762275681</v>
      </c>
      <c r="V42" s="277">
        <f t="shared" ca="1" si="10"/>
        <v>4504.7758928955327</v>
      </c>
      <c r="W42" s="277"/>
      <c r="X42" s="277"/>
      <c r="Y42" s="277"/>
      <c r="Z42" s="277"/>
      <c r="AA42" s="277"/>
    </row>
    <row r="43" spans="2:27" x14ac:dyDescent="0.25">
      <c r="B43" s="112"/>
      <c r="C43" s="197" t="s">
        <v>335</v>
      </c>
      <c r="D43" s="277">
        <f ca="1">SUM(F43:AA43)</f>
        <v>16237.373358955172</v>
      </c>
      <c r="E43" s="112" t="s">
        <v>120</v>
      </c>
      <c r="F43" s="277"/>
      <c r="G43" s="277"/>
      <c r="H43" s="277">
        <f ca="1">(H39+H40/2)*参数输入表!$H$359</f>
        <v>1879.4745332386783</v>
      </c>
      <c r="I43" s="277">
        <f ca="1">(I39+I40/2)*参数输入表!$H$359</f>
        <v>1782.0706351818912</v>
      </c>
      <c r="J43" s="277">
        <f ca="1">(J39+J40/2)*参数输入表!$H$359</f>
        <v>1681.2576006931167</v>
      </c>
      <c r="K43" s="277">
        <f ca="1">(K39+K40/2)*参数输入表!$H$359</f>
        <v>1576.916109997235</v>
      </c>
      <c r="L43" s="277">
        <f ca="1">(L39+L40/2)*参数输入表!$H$359</f>
        <v>1468.9226671269976</v>
      </c>
      <c r="M43" s="277">
        <f ca="1">(M39+M40/2)*参数输入表!$H$359</f>
        <v>1357.1494537563017</v>
      </c>
      <c r="N43" s="277">
        <f ca="1">(N39+N40/2)*参数输入表!$H$359</f>
        <v>1241.4641779176316</v>
      </c>
      <c r="O43" s="277">
        <f ca="1">(O39+O40/2)*参数输入表!$H$359</f>
        <v>1121.7299174246082</v>
      </c>
      <c r="P43" s="277">
        <f ca="1">(P39+P40/2)*参数输入表!$H$359</f>
        <v>997.80495781432876</v>
      </c>
      <c r="Q43" s="277">
        <f ca="1">(Q39+Q40/2)*参数输入表!$H$359</f>
        <v>869.54262461768951</v>
      </c>
      <c r="R43" s="277">
        <f ca="1">(R39+R40/2)*参数输入表!$H$359</f>
        <v>736.79110975916797</v>
      </c>
      <c r="S43" s="277">
        <f ca="1">(S39+S40/2)*参数输入表!$H$359</f>
        <v>599.3932918805981</v>
      </c>
      <c r="T43" s="277">
        <f ca="1">(T39+T40/2)*参数输入表!$H$359</f>
        <v>457.18655037627843</v>
      </c>
      <c r="U43" s="277">
        <f ca="1">(U39+U40/2)*参数输入表!$H$359</f>
        <v>310.00257291930751</v>
      </c>
      <c r="V43" s="277">
        <f ca="1">(V39+V40/2)*参数输入表!$H$359</f>
        <v>157.66715625134262</v>
      </c>
      <c r="W43" s="277"/>
      <c r="X43" s="277"/>
      <c r="Y43" s="277"/>
      <c r="Z43" s="277"/>
      <c r="AA43" s="277"/>
    </row>
    <row r="44" spans="2:27" x14ac:dyDescent="0.25">
      <c r="B44" s="112">
        <v>4</v>
      </c>
      <c r="C44" s="285" t="s">
        <v>336</v>
      </c>
      <c r="D44" s="287">
        <f ca="1">V44</f>
        <v>-3.0013325158506632E-11</v>
      </c>
      <c r="E44" s="112" t="s">
        <v>120</v>
      </c>
      <c r="F44" s="277">
        <f ca="1">F39+F40-F42</f>
        <v>31636.040763520901</v>
      </c>
      <c r="G44" s="277">
        <f ca="1">G39+G40-G42</f>
        <v>53699.272378247944</v>
      </c>
      <c r="H44" s="277">
        <f t="shared" ref="H44:V44" ca="1" si="11">H39+H40-H42</f>
        <v>50916.303862339744</v>
      </c>
      <c r="I44" s="277">
        <f t="shared" ca="1" si="11"/>
        <v>48035.931448374758</v>
      </c>
      <c r="J44" s="277">
        <f t="shared" ca="1" si="11"/>
        <v>45054.745999920997</v>
      </c>
      <c r="K44" s="277">
        <f t="shared" ca="1" si="11"/>
        <v>41969.219060771356</v>
      </c>
      <c r="L44" s="277">
        <f t="shared" ca="1" si="11"/>
        <v>38775.698678751476</v>
      </c>
      <c r="M44" s="277">
        <f t="shared" ca="1" si="11"/>
        <v>35470.4050833609</v>
      </c>
      <c r="N44" s="277">
        <f t="shared" ca="1" si="11"/>
        <v>32049.426212131657</v>
      </c>
      <c r="O44" s="277">
        <f t="shared" ca="1" si="11"/>
        <v>28508.71308040939</v>
      </c>
      <c r="P44" s="277">
        <f t="shared" ca="1" si="11"/>
        <v>24844.074989076842</v>
      </c>
      <c r="Q44" s="277">
        <f t="shared" ca="1" si="11"/>
        <v>21051.174564547655</v>
      </c>
      <c r="R44" s="277">
        <f t="shared" ca="1" si="11"/>
        <v>17125.522625159945</v>
      </c>
      <c r="S44" s="277">
        <f t="shared" ca="1" si="11"/>
        <v>13062.472867893668</v>
      </c>
      <c r="T44" s="277">
        <f t="shared" ca="1" si="11"/>
        <v>8857.2163691230708</v>
      </c>
      <c r="U44" s="277">
        <f t="shared" ca="1" si="11"/>
        <v>4504.7758928955027</v>
      </c>
      <c r="V44" s="287">
        <f t="shared" ca="1" si="11"/>
        <v>-3.0013325158506632E-11</v>
      </c>
      <c r="W44" s="277"/>
      <c r="X44" s="277"/>
      <c r="Y44" s="277"/>
      <c r="Z44" s="277"/>
      <c r="AA44" s="277"/>
    </row>
    <row r="46" spans="2:27" x14ac:dyDescent="0.25">
      <c r="B46" s="416" t="s">
        <v>330</v>
      </c>
      <c r="C46" s="416"/>
      <c r="D46" s="416"/>
      <c r="E46" s="416"/>
      <c r="F46" s="416"/>
      <c r="G46" s="416"/>
      <c r="H46" s="416"/>
      <c r="I46" s="416"/>
      <c r="J46" s="416"/>
      <c r="K46" s="416"/>
      <c r="L46" s="416"/>
      <c r="M46" s="416"/>
      <c r="N46" s="416"/>
      <c r="O46" s="416"/>
      <c r="P46" s="416"/>
      <c r="Q46" s="416"/>
      <c r="R46" s="416"/>
      <c r="S46" s="416"/>
      <c r="T46" s="416"/>
      <c r="U46" s="416"/>
      <c r="V46" s="416"/>
      <c r="W46" s="416"/>
      <c r="X46" s="416"/>
      <c r="Y46" s="416"/>
      <c r="Z46" s="416"/>
      <c r="AA46" s="416"/>
    </row>
    <row r="47" spans="2:27" x14ac:dyDescent="0.25">
      <c r="B47" s="419" t="s">
        <v>14</v>
      </c>
      <c r="C47" s="419" t="s">
        <v>318</v>
      </c>
      <c r="D47" s="419" t="s">
        <v>306</v>
      </c>
      <c r="E47" s="419" t="s">
        <v>38</v>
      </c>
      <c r="F47" s="417" t="s">
        <v>93</v>
      </c>
      <c r="G47" s="417"/>
      <c r="H47" s="418" t="s">
        <v>103</v>
      </c>
      <c r="I47" s="418"/>
      <c r="J47" s="418"/>
      <c r="K47" s="418"/>
      <c r="L47" s="418"/>
      <c r="M47" s="418"/>
      <c r="N47" s="418"/>
      <c r="O47" s="418"/>
      <c r="P47" s="418"/>
      <c r="Q47" s="418"/>
      <c r="R47" s="418"/>
      <c r="S47" s="418"/>
      <c r="T47" s="418"/>
      <c r="U47" s="418"/>
      <c r="V47" s="418"/>
      <c r="W47" s="418"/>
      <c r="X47" s="418"/>
      <c r="Y47" s="418"/>
      <c r="Z47" s="418"/>
      <c r="AA47" s="418"/>
    </row>
    <row r="48" spans="2:27" x14ac:dyDescent="0.25">
      <c r="B48" s="419"/>
      <c r="C48" s="419"/>
      <c r="D48" s="419"/>
      <c r="E48" s="419"/>
      <c r="F48" s="93">
        <v>1</v>
      </c>
      <c r="G48" s="93">
        <v>2</v>
      </c>
      <c r="H48" s="94">
        <v>1</v>
      </c>
      <c r="I48" s="94">
        <v>2</v>
      </c>
      <c r="J48" s="94">
        <v>3</v>
      </c>
      <c r="K48" s="94">
        <v>4</v>
      </c>
      <c r="L48" s="94">
        <v>5</v>
      </c>
      <c r="M48" s="94">
        <v>6</v>
      </c>
      <c r="N48" s="94">
        <v>7</v>
      </c>
      <c r="O48" s="94">
        <v>8</v>
      </c>
      <c r="P48" s="94">
        <v>9</v>
      </c>
      <c r="Q48" s="94">
        <v>10</v>
      </c>
      <c r="R48" s="94">
        <v>11</v>
      </c>
      <c r="S48" s="94">
        <v>12</v>
      </c>
      <c r="T48" s="94">
        <v>13</v>
      </c>
      <c r="U48" s="94">
        <v>14</v>
      </c>
      <c r="V48" s="94">
        <v>15</v>
      </c>
      <c r="W48" s="94">
        <v>16</v>
      </c>
      <c r="X48" s="94">
        <v>17</v>
      </c>
      <c r="Y48" s="94">
        <v>18</v>
      </c>
      <c r="Z48" s="94">
        <v>19</v>
      </c>
      <c r="AA48" s="94">
        <v>20</v>
      </c>
    </row>
    <row r="49" spans="2:27" x14ac:dyDescent="0.25">
      <c r="B49" s="112">
        <v>1</v>
      </c>
      <c r="C49" s="285" t="s">
        <v>331</v>
      </c>
      <c r="D49" s="277"/>
      <c r="E49" s="112" t="s">
        <v>120</v>
      </c>
      <c r="F49" s="277">
        <v>0</v>
      </c>
      <c r="G49" s="277">
        <f t="shared" ref="G49:V49" ca="1" si="12">F54</f>
        <v>31636.040763520901</v>
      </c>
      <c r="H49" s="277">
        <f t="shared" ca="1" si="12"/>
        <v>53699.272378247944</v>
      </c>
      <c r="I49" s="277">
        <f t="shared" ca="1" si="12"/>
        <v>50119.320886364745</v>
      </c>
      <c r="J49" s="277">
        <f t="shared" ca="1" si="12"/>
        <v>46539.369394481546</v>
      </c>
      <c r="K49" s="277">
        <f t="shared" ca="1" si="12"/>
        <v>42959.417902598347</v>
      </c>
      <c r="L49" s="277">
        <f t="shared" ca="1" si="12"/>
        <v>39379.466410715148</v>
      </c>
      <c r="M49" s="277">
        <f t="shared" ca="1" si="12"/>
        <v>35799.514918831948</v>
      </c>
      <c r="N49" s="277">
        <f t="shared" ca="1" si="12"/>
        <v>32219.563426948753</v>
      </c>
      <c r="O49" s="277">
        <f t="shared" ca="1" si="12"/>
        <v>28639.611935065557</v>
      </c>
      <c r="P49" s="277">
        <f t="shared" ca="1" si="12"/>
        <v>25059.660443182362</v>
      </c>
      <c r="Q49" s="277">
        <f t="shared" ca="1" si="12"/>
        <v>21479.708951299166</v>
      </c>
      <c r="R49" s="277">
        <f t="shared" ca="1" si="12"/>
        <v>17899.757459415971</v>
      </c>
      <c r="S49" s="277">
        <f t="shared" ca="1" si="12"/>
        <v>14319.805967532775</v>
      </c>
      <c r="T49" s="277">
        <f t="shared" ca="1" si="12"/>
        <v>10739.854475649579</v>
      </c>
      <c r="U49" s="277">
        <f t="shared" ca="1" si="12"/>
        <v>7159.9029837663829</v>
      </c>
      <c r="V49" s="277">
        <f t="shared" ca="1" si="12"/>
        <v>3579.9514918831865</v>
      </c>
      <c r="W49" s="277"/>
      <c r="X49" s="277"/>
      <c r="Y49" s="277"/>
      <c r="Z49" s="277"/>
      <c r="AA49" s="277"/>
    </row>
    <row r="50" spans="2:27" x14ac:dyDescent="0.25">
      <c r="B50" s="112">
        <v>2</v>
      </c>
      <c r="C50" s="285" t="s">
        <v>332</v>
      </c>
      <c r="D50" s="277">
        <f ca="1">SUM(F50:AA50)</f>
        <v>53699.272378247944</v>
      </c>
      <c r="E50" s="112" t="s">
        <v>120</v>
      </c>
      <c r="F50" s="277">
        <f ca="1">F15</f>
        <v>31636.040763520901</v>
      </c>
      <c r="G50" s="277">
        <f ca="1">G15</f>
        <v>22063.231614727039</v>
      </c>
      <c r="H50" s="277"/>
      <c r="I50" s="277"/>
      <c r="J50" s="277"/>
      <c r="K50" s="277"/>
      <c r="L50" s="277"/>
      <c r="M50" s="277"/>
      <c r="N50" s="277"/>
      <c r="O50" s="277"/>
      <c r="P50" s="277"/>
      <c r="Q50" s="277"/>
      <c r="R50" s="277"/>
      <c r="S50" s="277"/>
      <c r="T50" s="277"/>
      <c r="U50" s="277"/>
      <c r="V50" s="277"/>
      <c r="W50" s="277"/>
      <c r="X50" s="277"/>
      <c r="Y50" s="277"/>
      <c r="Z50" s="277"/>
      <c r="AA50" s="277"/>
    </row>
    <row r="51" spans="2:27" x14ac:dyDescent="0.25">
      <c r="B51" s="112">
        <v>3</v>
      </c>
      <c r="C51" s="285" t="s">
        <v>333</v>
      </c>
      <c r="D51" s="277">
        <f ca="1">SUM(F51:AA51)</f>
        <v>68735.068644157363</v>
      </c>
      <c r="E51" s="112" t="s">
        <v>120</v>
      </c>
      <c r="F51" s="277"/>
      <c r="G51" s="277"/>
      <c r="H51" s="277">
        <f ca="1">SUM(H52:H53)</f>
        <v>5459.4260251218748</v>
      </c>
      <c r="I51" s="277">
        <f t="shared" ref="I51:V51" ca="1" si="13">SUM(I52:I53)</f>
        <v>5334.1277229059624</v>
      </c>
      <c r="J51" s="277">
        <f t="shared" ca="1" si="13"/>
        <v>5208.8294206900509</v>
      </c>
      <c r="K51" s="277">
        <f t="shared" ca="1" si="13"/>
        <v>5083.5311184741386</v>
      </c>
      <c r="L51" s="277">
        <f t="shared" ca="1" si="13"/>
        <v>4958.2328162582271</v>
      </c>
      <c r="M51" s="277">
        <f t="shared" ca="1" si="13"/>
        <v>4832.9345140423147</v>
      </c>
      <c r="N51" s="277">
        <f t="shared" ca="1" si="13"/>
        <v>4707.6362118264024</v>
      </c>
      <c r="O51" s="277">
        <f t="shared" ca="1" si="13"/>
        <v>4582.3379096104909</v>
      </c>
      <c r="P51" s="277">
        <f t="shared" ca="1" si="13"/>
        <v>4457.0396073945794</v>
      </c>
      <c r="Q51" s="277">
        <f t="shared" ca="1" si="13"/>
        <v>4331.7413051786671</v>
      </c>
      <c r="R51" s="277">
        <f t="shared" ca="1" si="13"/>
        <v>4206.4430029627556</v>
      </c>
      <c r="S51" s="277">
        <f t="shared" ca="1" si="13"/>
        <v>4081.1447007468437</v>
      </c>
      <c r="T51" s="277">
        <f t="shared" ca="1" si="13"/>
        <v>3955.8463985309318</v>
      </c>
      <c r="U51" s="277">
        <f t="shared" ca="1" si="13"/>
        <v>3830.5480963150198</v>
      </c>
      <c r="V51" s="277">
        <f t="shared" ca="1" si="13"/>
        <v>3705.2497940991079</v>
      </c>
      <c r="W51" s="277"/>
      <c r="X51" s="277"/>
      <c r="Y51" s="277"/>
      <c r="Z51" s="277"/>
      <c r="AA51" s="277"/>
    </row>
    <row r="52" spans="2:27" x14ac:dyDescent="0.25">
      <c r="B52" s="112"/>
      <c r="C52" s="286" t="s">
        <v>337</v>
      </c>
      <c r="D52" s="277">
        <f ca="1">SUM(F52:AA52)</f>
        <v>53699.272378247959</v>
      </c>
      <c r="E52" s="112" t="s">
        <v>120</v>
      </c>
      <c r="F52" s="277"/>
      <c r="G52" s="277"/>
      <c r="H52" s="277">
        <f ca="1">$D$50/参数输入表!$H$362</f>
        <v>3579.9514918831965</v>
      </c>
      <c r="I52" s="277">
        <f ca="1">$D$50/参数输入表!$H$362</f>
        <v>3579.9514918831965</v>
      </c>
      <c r="J52" s="277">
        <f ca="1">$D$50/参数输入表!$H$362</f>
        <v>3579.9514918831965</v>
      </c>
      <c r="K52" s="277">
        <f ca="1">$D$50/参数输入表!$H$362</f>
        <v>3579.9514918831965</v>
      </c>
      <c r="L52" s="277">
        <f ca="1">$D$50/参数输入表!$H$362</f>
        <v>3579.9514918831965</v>
      </c>
      <c r="M52" s="277">
        <f ca="1">$D$50/参数输入表!$H$362</f>
        <v>3579.9514918831965</v>
      </c>
      <c r="N52" s="277">
        <f ca="1">$D$50/参数输入表!$H$362</f>
        <v>3579.9514918831965</v>
      </c>
      <c r="O52" s="277">
        <f ca="1">$D$50/参数输入表!$H$362</f>
        <v>3579.9514918831965</v>
      </c>
      <c r="P52" s="277">
        <f ca="1">$D$50/参数输入表!$H$362</f>
        <v>3579.9514918831965</v>
      </c>
      <c r="Q52" s="277">
        <f ca="1">$D$50/参数输入表!$H$362</f>
        <v>3579.9514918831965</v>
      </c>
      <c r="R52" s="277">
        <f ca="1">$D$50/参数输入表!$H$362</f>
        <v>3579.9514918831965</v>
      </c>
      <c r="S52" s="277">
        <f ca="1">$D$50/参数输入表!$H$362</f>
        <v>3579.9514918831965</v>
      </c>
      <c r="T52" s="277">
        <f ca="1">$D$50/参数输入表!$H$362</f>
        <v>3579.9514918831965</v>
      </c>
      <c r="U52" s="277">
        <f ca="1">$D$50/参数输入表!$H$362</f>
        <v>3579.9514918831965</v>
      </c>
      <c r="V52" s="277">
        <f ca="1">$D$50/参数输入表!$H$362</f>
        <v>3579.9514918831965</v>
      </c>
      <c r="W52" s="277"/>
      <c r="X52" s="277"/>
      <c r="Y52" s="277"/>
      <c r="Z52" s="277"/>
      <c r="AA52" s="277"/>
    </row>
    <row r="53" spans="2:27" x14ac:dyDescent="0.25">
      <c r="B53" s="112"/>
      <c r="C53" s="197" t="s">
        <v>335</v>
      </c>
      <c r="D53" s="277">
        <f ca="1">SUM(F53:AA53)</f>
        <v>15035.796265909421</v>
      </c>
      <c r="E53" s="112" t="s">
        <v>120</v>
      </c>
      <c r="F53" s="277"/>
      <c r="G53" s="277"/>
      <c r="H53" s="277">
        <f ca="1">(H49+H50/2)*参数输入表!$H$359</f>
        <v>1879.4745332386783</v>
      </c>
      <c r="I53" s="277">
        <f ca="1">(I49+I50/2)*参数输入表!$H$359</f>
        <v>1754.1762310227662</v>
      </c>
      <c r="J53" s="277">
        <f ca="1">(J49+J50/2)*参数输入表!$H$359</f>
        <v>1628.8779288068542</v>
      </c>
      <c r="K53" s="277">
        <f ca="1">(K49+K50/2)*参数输入表!$H$359</f>
        <v>1503.5796265909423</v>
      </c>
      <c r="L53" s="277">
        <f ca="1">(L49+L50/2)*参数输入表!$H$359</f>
        <v>1378.2813243750302</v>
      </c>
      <c r="M53" s="277">
        <f ca="1">(M49+M50/2)*参数输入表!$H$359</f>
        <v>1252.9830221591183</v>
      </c>
      <c r="N53" s="277">
        <f ca="1">(N49+N50/2)*参数输入表!$H$359</f>
        <v>1127.6847199432063</v>
      </c>
      <c r="O53" s="277">
        <f ca="1">(O49+O50/2)*参数输入表!$H$359</f>
        <v>1002.3864177272945</v>
      </c>
      <c r="P53" s="277">
        <f ca="1">(P49+P50/2)*参数输入表!$H$359</f>
        <v>877.08811551138274</v>
      </c>
      <c r="Q53" s="277">
        <f ca="1">(Q49+Q50/2)*参数输入表!$H$359</f>
        <v>751.78981329547094</v>
      </c>
      <c r="R53" s="277">
        <f ca="1">(R49+R50/2)*参数输入表!$H$359</f>
        <v>626.49151107955902</v>
      </c>
      <c r="S53" s="277">
        <f ca="1">(S49+S50/2)*参数输入表!$H$359</f>
        <v>501.19320886364716</v>
      </c>
      <c r="T53" s="277">
        <f ca="1">(T49+T50/2)*参数输入表!$H$359</f>
        <v>375.8949066477353</v>
      </c>
      <c r="U53" s="277">
        <f ca="1">(U49+U50/2)*参数输入表!$H$359</f>
        <v>250.59660443182344</v>
      </c>
      <c r="V53" s="277">
        <f ca="1">(V49+V50/2)*参数输入表!$H$359</f>
        <v>125.29830221591153</v>
      </c>
      <c r="W53" s="277"/>
      <c r="X53" s="277"/>
      <c r="Y53" s="277"/>
      <c r="Z53" s="277"/>
      <c r="AA53" s="277"/>
    </row>
    <row r="54" spans="2:27" x14ac:dyDescent="0.25">
      <c r="B54" s="112">
        <v>4</v>
      </c>
      <c r="C54" s="285" t="s">
        <v>336</v>
      </c>
      <c r="D54" s="287">
        <f ca="1">V54</f>
        <v>-1.0004441719502211E-11</v>
      </c>
      <c r="E54" s="112" t="s">
        <v>120</v>
      </c>
      <c r="F54" s="277">
        <f ca="1">F49+F50-F52</f>
        <v>31636.040763520901</v>
      </c>
      <c r="G54" s="277">
        <f ca="1">G49+G50-G52</f>
        <v>53699.272378247944</v>
      </c>
      <c r="H54" s="277">
        <f t="shared" ref="H54:V54" ca="1" si="14">H49+H50-H52</f>
        <v>50119.320886364745</v>
      </c>
      <c r="I54" s="277">
        <f t="shared" ca="1" si="14"/>
        <v>46539.369394481546</v>
      </c>
      <c r="J54" s="277">
        <f t="shared" ca="1" si="14"/>
        <v>42959.417902598347</v>
      </c>
      <c r="K54" s="277">
        <f t="shared" ca="1" si="14"/>
        <v>39379.466410715148</v>
      </c>
      <c r="L54" s="277">
        <f t="shared" ca="1" si="14"/>
        <v>35799.514918831948</v>
      </c>
      <c r="M54" s="277">
        <f t="shared" ca="1" si="14"/>
        <v>32219.563426948753</v>
      </c>
      <c r="N54" s="277">
        <f t="shared" ca="1" si="14"/>
        <v>28639.611935065557</v>
      </c>
      <c r="O54" s="277">
        <f t="shared" ca="1" si="14"/>
        <v>25059.660443182362</v>
      </c>
      <c r="P54" s="277">
        <f t="shared" ca="1" si="14"/>
        <v>21479.708951299166</v>
      </c>
      <c r="Q54" s="277">
        <f t="shared" ca="1" si="14"/>
        <v>17899.757459415971</v>
      </c>
      <c r="R54" s="277">
        <f t="shared" ca="1" si="14"/>
        <v>14319.805967532775</v>
      </c>
      <c r="S54" s="277">
        <f t="shared" ca="1" si="14"/>
        <v>10739.854475649579</v>
      </c>
      <c r="T54" s="277">
        <f t="shared" ca="1" si="14"/>
        <v>7159.9029837663829</v>
      </c>
      <c r="U54" s="277">
        <f t="shared" ca="1" si="14"/>
        <v>3579.9514918831865</v>
      </c>
      <c r="V54" s="287">
        <f t="shared" ca="1" si="14"/>
        <v>-1.0004441719502211E-11</v>
      </c>
      <c r="W54" s="277"/>
      <c r="X54" s="277"/>
      <c r="Y54" s="277"/>
      <c r="Z54" s="277"/>
      <c r="AA54" s="277"/>
    </row>
    <row r="56" spans="2:27" x14ac:dyDescent="0.25">
      <c r="B56" s="416" t="s">
        <v>338</v>
      </c>
      <c r="C56" s="416"/>
      <c r="D56" s="416"/>
      <c r="E56" s="416"/>
      <c r="F56" s="416"/>
      <c r="G56" s="416"/>
      <c r="H56" s="416"/>
      <c r="I56" s="416"/>
      <c r="J56" s="416"/>
      <c r="K56" s="416"/>
      <c r="L56" s="416"/>
      <c r="M56" s="416"/>
      <c r="N56" s="416"/>
      <c r="O56" s="416"/>
      <c r="P56" s="416"/>
      <c r="Q56" s="416"/>
      <c r="R56" s="416"/>
      <c r="S56" s="416"/>
      <c r="T56" s="416"/>
      <c r="U56" s="416"/>
      <c r="V56" s="416"/>
      <c r="W56" s="416"/>
      <c r="X56" s="416"/>
      <c r="Y56" s="416"/>
      <c r="Z56" s="416"/>
      <c r="AA56" s="416"/>
    </row>
    <row r="57" spans="2:27" x14ac:dyDescent="0.25">
      <c r="B57" s="419" t="s">
        <v>14</v>
      </c>
      <c r="C57" s="419" t="s">
        <v>318</v>
      </c>
      <c r="D57" s="419" t="s">
        <v>306</v>
      </c>
      <c r="E57" s="419" t="s">
        <v>38</v>
      </c>
      <c r="F57" s="417" t="s">
        <v>93</v>
      </c>
      <c r="G57" s="417"/>
      <c r="H57" s="418" t="s">
        <v>103</v>
      </c>
      <c r="I57" s="418"/>
      <c r="J57" s="418"/>
      <c r="K57" s="418"/>
      <c r="L57" s="418"/>
      <c r="M57" s="418"/>
      <c r="N57" s="418"/>
      <c r="O57" s="418"/>
      <c r="P57" s="418"/>
      <c r="Q57" s="418"/>
      <c r="R57" s="418"/>
      <c r="S57" s="418"/>
      <c r="T57" s="418"/>
      <c r="U57" s="418"/>
      <c r="V57" s="418"/>
      <c r="W57" s="418"/>
      <c r="X57" s="418"/>
      <c r="Y57" s="418"/>
      <c r="Z57" s="418"/>
      <c r="AA57" s="418"/>
    </row>
    <row r="58" spans="2:27" x14ac:dyDescent="0.25">
      <c r="B58" s="419"/>
      <c r="C58" s="419"/>
      <c r="D58" s="419"/>
      <c r="E58" s="419"/>
      <c r="F58" s="93">
        <v>1</v>
      </c>
      <c r="G58" s="93">
        <v>2</v>
      </c>
      <c r="H58" s="94">
        <v>1</v>
      </c>
      <c r="I58" s="94">
        <v>2</v>
      </c>
      <c r="J58" s="94">
        <v>3</v>
      </c>
      <c r="K58" s="94">
        <v>4</v>
      </c>
      <c r="L58" s="94">
        <v>5</v>
      </c>
      <c r="M58" s="94">
        <v>6</v>
      </c>
      <c r="N58" s="94">
        <v>7</v>
      </c>
      <c r="O58" s="94">
        <v>8</v>
      </c>
      <c r="P58" s="94">
        <v>9</v>
      </c>
      <c r="Q58" s="94">
        <v>10</v>
      </c>
      <c r="R58" s="94">
        <v>11</v>
      </c>
      <c r="S58" s="94">
        <v>12</v>
      </c>
      <c r="T58" s="94">
        <v>13</v>
      </c>
      <c r="U58" s="94">
        <v>14</v>
      </c>
      <c r="V58" s="94">
        <v>15</v>
      </c>
      <c r="W58" s="94">
        <v>16</v>
      </c>
      <c r="X58" s="94">
        <v>17</v>
      </c>
      <c r="Y58" s="94">
        <v>18</v>
      </c>
      <c r="Z58" s="94">
        <v>19</v>
      </c>
      <c r="AA58" s="94">
        <v>20</v>
      </c>
    </row>
    <row r="59" spans="2:27" x14ac:dyDescent="0.25">
      <c r="B59" s="112" t="s">
        <v>339</v>
      </c>
      <c r="C59" s="285" t="s">
        <v>331</v>
      </c>
      <c r="D59" s="277"/>
      <c r="E59" s="112" t="s">
        <v>120</v>
      </c>
      <c r="F59" s="277">
        <v>0</v>
      </c>
      <c r="G59" s="277">
        <f t="shared" ref="G59:AA59" si="15">F64</f>
        <v>0</v>
      </c>
      <c r="H59" s="277">
        <f t="shared" si="15"/>
        <v>0</v>
      </c>
      <c r="I59" s="277">
        <f t="shared" si="15"/>
        <v>266.7</v>
      </c>
      <c r="J59" s="277">
        <f t="shared" si="15"/>
        <v>266.7</v>
      </c>
      <c r="K59" s="277">
        <f t="shared" si="15"/>
        <v>266.7</v>
      </c>
      <c r="L59" s="277">
        <f t="shared" si="15"/>
        <v>266.7</v>
      </c>
      <c r="M59" s="277">
        <f t="shared" si="15"/>
        <v>266.7</v>
      </c>
      <c r="N59" s="277">
        <f t="shared" si="15"/>
        <v>266.7</v>
      </c>
      <c r="O59" s="277">
        <f t="shared" si="15"/>
        <v>266.7</v>
      </c>
      <c r="P59" s="277">
        <f t="shared" si="15"/>
        <v>266.7</v>
      </c>
      <c r="Q59" s="277">
        <f t="shared" si="15"/>
        <v>266.7</v>
      </c>
      <c r="R59" s="277">
        <f t="shared" si="15"/>
        <v>266.7</v>
      </c>
      <c r="S59" s="277">
        <f t="shared" si="15"/>
        <v>266.7</v>
      </c>
      <c r="T59" s="277">
        <f t="shared" si="15"/>
        <v>266.7</v>
      </c>
      <c r="U59" s="277">
        <f t="shared" si="15"/>
        <v>266.7</v>
      </c>
      <c r="V59" s="277">
        <f t="shared" si="15"/>
        <v>266.7</v>
      </c>
      <c r="W59" s="277">
        <f t="shared" si="15"/>
        <v>266.7</v>
      </c>
      <c r="X59" s="277">
        <f t="shared" si="15"/>
        <v>266.7</v>
      </c>
      <c r="Y59" s="277">
        <f t="shared" si="15"/>
        <v>266.7</v>
      </c>
      <c r="Z59" s="277">
        <f t="shared" si="15"/>
        <v>266.7</v>
      </c>
      <c r="AA59" s="277">
        <f t="shared" si="15"/>
        <v>266.7</v>
      </c>
    </row>
    <row r="60" spans="2:27" x14ac:dyDescent="0.25">
      <c r="B60" s="112" t="s">
        <v>340</v>
      </c>
      <c r="C60" s="285" t="s">
        <v>332</v>
      </c>
      <c r="D60" s="277">
        <f>SUM(F60:AA60)</f>
        <v>266.7</v>
      </c>
      <c r="E60" s="112" t="s">
        <v>120</v>
      </c>
      <c r="F60" s="277">
        <v>0</v>
      </c>
      <c r="G60" s="277">
        <v>0</v>
      </c>
      <c r="H60" s="277">
        <f>$H$15</f>
        <v>266.7</v>
      </c>
      <c r="I60" s="277"/>
      <c r="J60" s="277"/>
      <c r="K60" s="277"/>
      <c r="L60" s="277"/>
      <c r="M60" s="277"/>
      <c r="N60" s="277"/>
      <c r="O60" s="277"/>
      <c r="P60" s="277"/>
      <c r="Q60" s="277"/>
      <c r="R60" s="277"/>
      <c r="S60" s="277"/>
      <c r="T60" s="277"/>
      <c r="U60" s="277"/>
      <c r="V60" s="277"/>
      <c r="W60" s="277"/>
      <c r="X60" s="277"/>
      <c r="Y60" s="277"/>
      <c r="Z60" s="277"/>
      <c r="AA60" s="277"/>
    </row>
    <row r="61" spans="2:27" x14ac:dyDescent="0.25">
      <c r="B61" s="112" t="s">
        <v>341</v>
      </c>
      <c r="C61" s="285" t="s">
        <v>333</v>
      </c>
      <c r="D61" s="277">
        <f>SUM(F61:AA61)</f>
        <v>418.71899999999999</v>
      </c>
      <c r="E61" s="112" t="s">
        <v>120</v>
      </c>
      <c r="F61" s="277"/>
      <c r="G61" s="277"/>
      <c r="H61" s="277">
        <v>0</v>
      </c>
      <c r="I61" s="277">
        <f t="shared" ref="I61:AA61" si="16">SUM(I62:I63)</f>
        <v>8.0009999999999994</v>
      </c>
      <c r="J61" s="277">
        <f t="shared" si="16"/>
        <v>8.0009999999999994</v>
      </c>
      <c r="K61" s="277">
        <f t="shared" si="16"/>
        <v>8.0009999999999994</v>
      </c>
      <c r="L61" s="277">
        <f t="shared" si="16"/>
        <v>8.0009999999999994</v>
      </c>
      <c r="M61" s="277">
        <f t="shared" si="16"/>
        <v>8.0009999999999994</v>
      </c>
      <c r="N61" s="277">
        <f t="shared" si="16"/>
        <v>8.0009999999999994</v>
      </c>
      <c r="O61" s="277">
        <f t="shared" si="16"/>
        <v>8.0009999999999994</v>
      </c>
      <c r="P61" s="277">
        <f t="shared" si="16"/>
        <v>8.0009999999999994</v>
      </c>
      <c r="Q61" s="277">
        <f t="shared" si="16"/>
        <v>8.0009999999999994</v>
      </c>
      <c r="R61" s="277">
        <f t="shared" si="16"/>
        <v>8.0009999999999994</v>
      </c>
      <c r="S61" s="277">
        <f t="shared" si="16"/>
        <v>8.0009999999999994</v>
      </c>
      <c r="T61" s="277">
        <f t="shared" si="16"/>
        <v>8.0009999999999994</v>
      </c>
      <c r="U61" s="277">
        <f t="shared" si="16"/>
        <v>8.0009999999999994</v>
      </c>
      <c r="V61" s="277">
        <f t="shared" si="16"/>
        <v>8.0009999999999994</v>
      </c>
      <c r="W61" s="277">
        <f t="shared" si="16"/>
        <v>8.0009999999999994</v>
      </c>
      <c r="X61" s="277">
        <f t="shared" si="16"/>
        <v>8.0009999999999994</v>
      </c>
      <c r="Y61" s="277">
        <f t="shared" si="16"/>
        <v>8.0009999999999994</v>
      </c>
      <c r="Z61" s="277">
        <f t="shared" si="16"/>
        <v>8.0009999999999994</v>
      </c>
      <c r="AA61" s="277">
        <f t="shared" si="16"/>
        <v>274.70099999999996</v>
      </c>
    </row>
    <row r="62" spans="2:27" ht="16" customHeight="1" x14ac:dyDescent="0.25">
      <c r="B62" s="112"/>
      <c r="C62" s="286" t="s">
        <v>342</v>
      </c>
      <c r="D62" s="277">
        <f>SUM(F62:AA62)</f>
        <v>266.7</v>
      </c>
      <c r="E62" s="112" t="s">
        <v>120</v>
      </c>
      <c r="F62" s="277"/>
      <c r="G62" s="277"/>
      <c r="H62" s="277">
        <v>0</v>
      </c>
      <c r="I62" s="277"/>
      <c r="J62" s="277"/>
      <c r="K62" s="277"/>
      <c r="L62" s="277"/>
      <c r="M62" s="277"/>
      <c r="N62" s="277"/>
      <c r="O62" s="277"/>
      <c r="P62" s="277"/>
      <c r="Q62" s="277"/>
      <c r="R62" s="277"/>
      <c r="S62" s="277"/>
      <c r="T62" s="277"/>
      <c r="U62" s="277"/>
      <c r="V62" s="277"/>
      <c r="W62" s="277"/>
      <c r="X62" s="277"/>
      <c r="Y62" s="277"/>
      <c r="Z62" s="277"/>
      <c r="AA62" s="277">
        <f>H64</f>
        <v>266.7</v>
      </c>
    </row>
    <row r="63" spans="2:27" x14ac:dyDescent="0.25">
      <c r="B63" s="112"/>
      <c r="C63" s="197" t="s">
        <v>335</v>
      </c>
      <c r="D63" s="277">
        <f>SUM(F63:AA63)</f>
        <v>160.02000000000004</v>
      </c>
      <c r="E63" s="112" t="s">
        <v>120</v>
      </c>
      <c r="F63" s="277"/>
      <c r="G63" s="277"/>
      <c r="H63" s="277">
        <f>(H59+H60)*参数输入表!$H$360</f>
        <v>8.0009999999999994</v>
      </c>
      <c r="I63" s="277">
        <f>(I59+I60)*参数输入表!$H$360</f>
        <v>8.0009999999999994</v>
      </c>
      <c r="J63" s="277">
        <f>(J59+J60)*参数输入表!$H$360</f>
        <v>8.0009999999999994</v>
      </c>
      <c r="K63" s="277">
        <f>(K59+K60)*参数输入表!$H$360</f>
        <v>8.0009999999999994</v>
      </c>
      <c r="L63" s="277">
        <f>(L59+L60)*参数输入表!$H$360</f>
        <v>8.0009999999999994</v>
      </c>
      <c r="M63" s="277">
        <f>(M59+M60)*参数输入表!$H$360</f>
        <v>8.0009999999999994</v>
      </c>
      <c r="N63" s="277">
        <f>(N59+N60)*参数输入表!$H$360</f>
        <v>8.0009999999999994</v>
      </c>
      <c r="O63" s="277">
        <f>(O59+O60)*参数输入表!$H$360</f>
        <v>8.0009999999999994</v>
      </c>
      <c r="P63" s="277">
        <f>(P59+P60)*参数输入表!$H$360</f>
        <v>8.0009999999999994</v>
      </c>
      <c r="Q63" s="277">
        <f>(Q59+Q60)*参数输入表!$H$360</f>
        <v>8.0009999999999994</v>
      </c>
      <c r="R63" s="277">
        <f>(R59+R60)*参数输入表!$H$360</f>
        <v>8.0009999999999994</v>
      </c>
      <c r="S63" s="277">
        <f>(S59+S60)*参数输入表!$H$360</f>
        <v>8.0009999999999994</v>
      </c>
      <c r="T63" s="277">
        <f>(T59+T60)*参数输入表!$H$360</f>
        <v>8.0009999999999994</v>
      </c>
      <c r="U63" s="277">
        <f>(U59+U60)*参数输入表!$H$360</f>
        <v>8.0009999999999994</v>
      </c>
      <c r="V63" s="277">
        <f>(V59+V60)*参数输入表!$H$360</f>
        <v>8.0009999999999994</v>
      </c>
      <c r="W63" s="277">
        <f>(W59+W60)*参数输入表!$H$360</f>
        <v>8.0009999999999994</v>
      </c>
      <c r="X63" s="277">
        <f>(X59+X60)*参数输入表!$H$360</f>
        <v>8.0009999999999994</v>
      </c>
      <c r="Y63" s="277">
        <f>(Y59+Y60)*参数输入表!$H$360</f>
        <v>8.0009999999999994</v>
      </c>
      <c r="Z63" s="277">
        <f>(Z59+Z60)*参数输入表!$H$360</f>
        <v>8.0009999999999994</v>
      </c>
      <c r="AA63" s="277">
        <f>(AA59+AA60)*参数输入表!$H$360</f>
        <v>8.0009999999999994</v>
      </c>
    </row>
    <row r="64" spans="2:27" x14ac:dyDescent="0.25">
      <c r="B64" s="112" t="s">
        <v>343</v>
      </c>
      <c r="C64" s="285" t="s">
        <v>336</v>
      </c>
      <c r="D64" s="287">
        <f>AA64</f>
        <v>0</v>
      </c>
      <c r="E64" s="112" t="s">
        <v>120</v>
      </c>
      <c r="F64" s="277">
        <f>F59+F60-F62</f>
        <v>0</v>
      </c>
      <c r="G64" s="277">
        <f>G59+G60-G62</f>
        <v>0</v>
      </c>
      <c r="H64" s="277">
        <f>H59+H60-H62</f>
        <v>266.7</v>
      </c>
      <c r="I64" s="277">
        <f t="shared" ref="I64:AA64" si="17">I59+I60-I62</f>
        <v>266.7</v>
      </c>
      <c r="J64" s="277">
        <f t="shared" si="17"/>
        <v>266.7</v>
      </c>
      <c r="K64" s="277">
        <f t="shared" si="17"/>
        <v>266.7</v>
      </c>
      <c r="L64" s="277">
        <f t="shared" si="17"/>
        <v>266.7</v>
      </c>
      <c r="M64" s="277">
        <f t="shared" si="17"/>
        <v>266.7</v>
      </c>
      <c r="N64" s="277">
        <f t="shared" si="17"/>
        <v>266.7</v>
      </c>
      <c r="O64" s="277">
        <f t="shared" si="17"/>
        <v>266.7</v>
      </c>
      <c r="P64" s="277">
        <f t="shared" si="17"/>
        <v>266.7</v>
      </c>
      <c r="Q64" s="277">
        <f t="shared" si="17"/>
        <v>266.7</v>
      </c>
      <c r="R64" s="277">
        <f t="shared" si="17"/>
        <v>266.7</v>
      </c>
      <c r="S64" s="277">
        <f t="shared" si="17"/>
        <v>266.7</v>
      </c>
      <c r="T64" s="277">
        <f t="shared" si="17"/>
        <v>266.7</v>
      </c>
      <c r="U64" s="277">
        <f t="shared" si="17"/>
        <v>266.7</v>
      </c>
      <c r="V64" s="277">
        <f t="shared" si="17"/>
        <v>266.7</v>
      </c>
      <c r="W64" s="277">
        <f t="shared" si="17"/>
        <v>266.7</v>
      </c>
      <c r="X64" s="277">
        <f t="shared" si="17"/>
        <v>266.7</v>
      </c>
      <c r="Y64" s="277">
        <f t="shared" si="17"/>
        <v>266.7</v>
      </c>
      <c r="Z64" s="277">
        <f t="shared" si="17"/>
        <v>266.7</v>
      </c>
      <c r="AA64" s="277">
        <f t="shared" si="17"/>
        <v>0</v>
      </c>
    </row>
    <row r="66" spans="2:27" x14ac:dyDescent="0.25">
      <c r="B66" s="416" t="s">
        <v>344</v>
      </c>
      <c r="C66" s="416"/>
      <c r="D66" s="416"/>
      <c r="E66" s="416"/>
      <c r="F66" s="416"/>
      <c r="G66" s="416"/>
      <c r="H66" s="416"/>
      <c r="I66" s="416"/>
      <c r="J66" s="416"/>
      <c r="K66" s="416"/>
      <c r="L66" s="416"/>
      <c r="M66" s="416"/>
      <c r="N66" s="416"/>
      <c r="O66" s="416"/>
      <c r="P66" s="416"/>
      <c r="Q66" s="416"/>
      <c r="R66" s="416"/>
      <c r="S66" s="416"/>
      <c r="T66" s="416"/>
      <c r="U66" s="416"/>
      <c r="V66" s="416"/>
      <c r="W66" s="416"/>
      <c r="X66" s="416"/>
      <c r="Y66" s="416"/>
      <c r="Z66" s="416"/>
      <c r="AA66" s="416"/>
    </row>
    <row r="67" spans="2:27" x14ac:dyDescent="0.25">
      <c r="B67" s="419" t="s">
        <v>14</v>
      </c>
      <c r="C67" s="419" t="s">
        <v>318</v>
      </c>
      <c r="D67" s="419" t="s">
        <v>306</v>
      </c>
      <c r="E67" s="419" t="s">
        <v>38</v>
      </c>
      <c r="F67" s="417" t="s">
        <v>93</v>
      </c>
      <c r="G67" s="417"/>
      <c r="H67" s="418" t="s">
        <v>103</v>
      </c>
      <c r="I67" s="418"/>
      <c r="J67" s="418"/>
      <c r="K67" s="418"/>
      <c r="L67" s="418"/>
      <c r="M67" s="418"/>
      <c r="N67" s="418"/>
      <c r="O67" s="418"/>
      <c r="P67" s="418"/>
      <c r="Q67" s="418"/>
      <c r="R67" s="418"/>
      <c r="S67" s="418"/>
      <c r="T67" s="418"/>
      <c r="U67" s="418"/>
      <c r="V67" s="418"/>
      <c r="W67" s="418"/>
      <c r="X67" s="418"/>
      <c r="Y67" s="418"/>
      <c r="Z67" s="418"/>
      <c r="AA67" s="418"/>
    </row>
    <row r="68" spans="2:27" x14ac:dyDescent="0.25">
      <c r="B68" s="419"/>
      <c r="C68" s="419"/>
      <c r="D68" s="419"/>
      <c r="E68" s="419"/>
      <c r="F68" s="93">
        <v>1</v>
      </c>
      <c r="G68" s="93">
        <v>2</v>
      </c>
      <c r="H68" s="94">
        <v>1</v>
      </c>
      <c r="I68" s="94">
        <v>2</v>
      </c>
      <c r="J68" s="94">
        <v>3</v>
      </c>
      <c r="K68" s="94">
        <v>4</v>
      </c>
      <c r="L68" s="94">
        <v>5</v>
      </c>
      <c r="M68" s="94">
        <v>6</v>
      </c>
      <c r="N68" s="94">
        <v>7</v>
      </c>
      <c r="O68" s="94">
        <v>8</v>
      </c>
      <c r="P68" s="94">
        <v>9</v>
      </c>
      <c r="Q68" s="94">
        <v>10</v>
      </c>
      <c r="R68" s="94">
        <v>11</v>
      </c>
      <c r="S68" s="94">
        <v>12</v>
      </c>
      <c r="T68" s="94">
        <v>13</v>
      </c>
      <c r="U68" s="94">
        <v>14</v>
      </c>
      <c r="V68" s="94">
        <v>15</v>
      </c>
      <c r="W68" s="94">
        <v>16</v>
      </c>
      <c r="X68" s="94">
        <v>17</v>
      </c>
      <c r="Y68" s="94">
        <v>18</v>
      </c>
      <c r="Z68" s="94">
        <v>19</v>
      </c>
      <c r="AA68" s="94">
        <v>20</v>
      </c>
    </row>
    <row r="69" spans="2:27" x14ac:dyDescent="0.25">
      <c r="B69" s="112" t="s">
        <v>339</v>
      </c>
      <c r="C69" s="285" t="s">
        <v>331</v>
      </c>
      <c r="D69" s="277"/>
      <c r="E69" s="112" t="s">
        <v>120</v>
      </c>
      <c r="F69" s="277">
        <v>0</v>
      </c>
      <c r="G69" s="277">
        <f t="shared" ref="G69:I69" si="18">F74</f>
        <v>0</v>
      </c>
      <c r="H69" s="277">
        <f t="shared" si="18"/>
        <v>0</v>
      </c>
      <c r="I69" s="277">
        <f t="shared" si="18"/>
        <v>0</v>
      </c>
      <c r="J69" s="277">
        <f t="shared" ref="J69" si="19">I74</f>
        <v>0</v>
      </c>
      <c r="K69" s="277">
        <f t="shared" ref="K69" si="20">J74</f>
        <v>0</v>
      </c>
      <c r="L69" s="277">
        <f t="shared" ref="L69" si="21">K74</f>
        <v>0</v>
      </c>
      <c r="M69" s="277">
        <f t="shared" ref="M69" si="22">L74</f>
        <v>0</v>
      </c>
      <c r="N69" s="277">
        <f t="shared" ref="N69" si="23">M74</f>
        <v>0</v>
      </c>
      <c r="O69" s="277">
        <f t="shared" ref="O69" si="24">N74</f>
        <v>0</v>
      </c>
      <c r="P69" s="277">
        <f t="shared" ref="P69" si="25">O74</f>
        <v>0</v>
      </c>
      <c r="Q69" s="277">
        <f t="shared" ref="Q69" si="26">P74</f>
        <v>0</v>
      </c>
      <c r="R69" s="277">
        <f t="shared" ref="R69:T69" si="27">Q74</f>
        <v>0</v>
      </c>
      <c r="S69" s="277">
        <f t="shared" si="27"/>
        <v>0</v>
      </c>
      <c r="T69" s="277">
        <f t="shared" si="27"/>
        <v>0</v>
      </c>
      <c r="U69" s="277">
        <f t="shared" ref="U69:AA69" si="28">T74</f>
        <v>0</v>
      </c>
      <c r="V69" s="277">
        <f t="shared" si="28"/>
        <v>0</v>
      </c>
      <c r="W69" s="277">
        <f t="shared" si="28"/>
        <v>0</v>
      </c>
      <c r="X69" s="277">
        <f t="shared" si="28"/>
        <v>0</v>
      </c>
      <c r="Y69" s="277">
        <f t="shared" si="28"/>
        <v>0</v>
      </c>
      <c r="Z69" s="277">
        <f t="shared" si="28"/>
        <v>0</v>
      </c>
      <c r="AA69" s="277">
        <f t="shared" si="28"/>
        <v>0</v>
      </c>
    </row>
    <row r="70" spans="2:27" x14ac:dyDescent="0.25">
      <c r="B70" s="112" t="s">
        <v>340</v>
      </c>
      <c r="C70" s="285" t="s">
        <v>332</v>
      </c>
      <c r="D70" s="277">
        <f>SUM(F70:AA70)</f>
        <v>0</v>
      </c>
      <c r="E70" s="112" t="s">
        <v>120</v>
      </c>
      <c r="F70" s="277">
        <v>0</v>
      </c>
      <c r="G70" s="277">
        <v>0</v>
      </c>
      <c r="H70" s="277">
        <f>'表9-现金流量表-财务计划'!H28</f>
        <v>0</v>
      </c>
      <c r="I70" s="277">
        <f>'表9-现金流量表-财务计划'!I28</f>
        <v>0</v>
      </c>
      <c r="J70" s="277">
        <f>'表9-现金流量表-财务计划'!J28</f>
        <v>0</v>
      </c>
      <c r="K70" s="277">
        <f>'表9-现金流量表-财务计划'!K28</f>
        <v>0</v>
      </c>
      <c r="L70" s="277">
        <f>'表9-现金流量表-财务计划'!L28</f>
        <v>0</v>
      </c>
      <c r="M70" s="277">
        <f>'表9-现金流量表-财务计划'!M28</f>
        <v>0</v>
      </c>
      <c r="N70" s="277">
        <f>'表9-现金流量表-财务计划'!N28</f>
        <v>0</v>
      </c>
      <c r="O70" s="277">
        <f>'表9-现金流量表-财务计划'!O28</f>
        <v>0</v>
      </c>
      <c r="P70" s="277">
        <f>'表9-现金流量表-财务计划'!P28</f>
        <v>0</v>
      </c>
      <c r="Q70" s="277">
        <f>'表9-现金流量表-财务计划'!Q28</f>
        <v>0</v>
      </c>
      <c r="R70" s="277">
        <f>'表9-现金流量表-财务计划'!R28</f>
        <v>0</v>
      </c>
      <c r="S70" s="277">
        <f>'表9-现金流量表-财务计划'!S28</f>
        <v>0</v>
      </c>
      <c r="T70" s="277">
        <f>'表9-现金流量表-财务计划'!T28</f>
        <v>0</v>
      </c>
      <c r="U70" s="277">
        <f>'表9-现金流量表-财务计划'!U28</f>
        <v>0</v>
      </c>
      <c r="V70" s="277">
        <f>'表9-现金流量表-财务计划'!V28</f>
        <v>0</v>
      </c>
      <c r="W70" s="277">
        <f>'表9-现金流量表-财务计划'!W28</f>
        <v>0</v>
      </c>
      <c r="X70" s="277">
        <f>'表9-现金流量表-财务计划'!X28</f>
        <v>0</v>
      </c>
      <c r="Y70" s="277">
        <f>'表9-现金流量表-财务计划'!Y28</f>
        <v>0</v>
      </c>
      <c r="Z70" s="277">
        <f>'表9-现金流量表-财务计划'!Z28</f>
        <v>0</v>
      </c>
      <c r="AA70" s="277">
        <f>'表9-现金流量表-财务计划'!AA28</f>
        <v>0</v>
      </c>
    </row>
    <row r="71" spans="2:27" x14ac:dyDescent="0.25">
      <c r="B71" s="112" t="s">
        <v>341</v>
      </c>
      <c r="C71" s="285" t="s">
        <v>333</v>
      </c>
      <c r="D71" s="277">
        <f>SUM(F71:AA71)</f>
        <v>0</v>
      </c>
      <c r="E71" s="112" t="s">
        <v>120</v>
      </c>
      <c r="F71" s="277"/>
      <c r="G71" s="277"/>
      <c r="H71" s="277">
        <f>SUM(H72:H73)</f>
        <v>0</v>
      </c>
      <c r="I71" s="277">
        <f t="shared" ref="I71:AA71" si="29">SUM(I72:I73)</f>
        <v>0</v>
      </c>
      <c r="J71" s="277">
        <f t="shared" si="29"/>
        <v>0</v>
      </c>
      <c r="K71" s="277">
        <f t="shared" si="29"/>
        <v>0</v>
      </c>
      <c r="L71" s="277">
        <f t="shared" si="29"/>
        <v>0</v>
      </c>
      <c r="M71" s="277">
        <f t="shared" si="29"/>
        <v>0</v>
      </c>
      <c r="N71" s="277">
        <f t="shared" si="29"/>
        <v>0</v>
      </c>
      <c r="O71" s="277">
        <f t="shared" si="29"/>
        <v>0</v>
      </c>
      <c r="P71" s="277">
        <f t="shared" si="29"/>
        <v>0</v>
      </c>
      <c r="Q71" s="277">
        <f t="shared" si="29"/>
        <v>0</v>
      </c>
      <c r="R71" s="277">
        <f t="shared" si="29"/>
        <v>0</v>
      </c>
      <c r="S71" s="277">
        <f t="shared" si="29"/>
        <v>0</v>
      </c>
      <c r="T71" s="277">
        <f t="shared" si="29"/>
        <v>0</v>
      </c>
      <c r="U71" s="277">
        <f t="shared" si="29"/>
        <v>0</v>
      </c>
      <c r="V71" s="277">
        <f t="shared" si="29"/>
        <v>0</v>
      </c>
      <c r="W71" s="277">
        <f t="shared" si="29"/>
        <v>0</v>
      </c>
      <c r="X71" s="277">
        <f t="shared" si="29"/>
        <v>0</v>
      </c>
      <c r="Y71" s="277">
        <f t="shared" si="29"/>
        <v>0</v>
      </c>
      <c r="Z71" s="277">
        <f t="shared" si="29"/>
        <v>0</v>
      </c>
      <c r="AA71" s="277">
        <f t="shared" si="29"/>
        <v>0</v>
      </c>
    </row>
    <row r="72" spans="2:27" s="266" customFormat="1" x14ac:dyDescent="0.25">
      <c r="B72" s="105"/>
      <c r="C72" s="176" t="s">
        <v>342</v>
      </c>
      <c r="D72" s="287">
        <f>SUM(F72:AA72)</f>
        <v>0</v>
      </c>
      <c r="E72" s="105" t="s">
        <v>120</v>
      </c>
      <c r="F72" s="287"/>
      <c r="G72" s="287"/>
      <c r="H72" s="287">
        <f>G74</f>
        <v>0</v>
      </c>
      <c r="I72" s="287">
        <f>H74</f>
        <v>0</v>
      </c>
      <c r="J72" s="287">
        <f t="shared" ref="J72:AA72" si="30">I74</f>
        <v>0</v>
      </c>
      <c r="K72" s="287">
        <f t="shared" si="30"/>
        <v>0</v>
      </c>
      <c r="L72" s="287">
        <f t="shared" si="30"/>
        <v>0</v>
      </c>
      <c r="M72" s="287">
        <f t="shared" si="30"/>
        <v>0</v>
      </c>
      <c r="N72" s="287">
        <f t="shared" si="30"/>
        <v>0</v>
      </c>
      <c r="O72" s="287">
        <f t="shared" si="30"/>
        <v>0</v>
      </c>
      <c r="P72" s="287">
        <f t="shared" si="30"/>
        <v>0</v>
      </c>
      <c r="Q72" s="287">
        <f t="shared" si="30"/>
        <v>0</v>
      </c>
      <c r="R72" s="287">
        <f t="shared" si="30"/>
        <v>0</v>
      </c>
      <c r="S72" s="287">
        <f t="shared" si="30"/>
        <v>0</v>
      </c>
      <c r="T72" s="287">
        <f t="shared" si="30"/>
        <v>0</v>
      </c>
      <c r="U72" s="287">
        <f t="shared" si="30"/>
        <v>0</v>
      </c>
      <c r="V72" s="287">
        <f t="shared" si="30"/>
        <v>0</v>
      </c>
      <c r="W72" s="287">
        <f t="shared" si="30"/>
        <v>0</v>
      </c>
      <c r="X72" s="287">
        <f t="shared" si="30"/>
        <v>0</v>
      </c>
      <c r="Y72" s="287">
        <f t="shared" si="30"/>
        <v>0</v>
      </c>
      <c r="Z72" s="287">
        <f t="shared" si="30"/>
        <v>0</v>
      </c>
      <c r="AA72" s="287">
        <f t="shared" si="30"/>
        <v>0</v>
      </c>
    </row>
    <row r="73" spans="2:27" x14ac:dyDescent="0.25">
      <c r="B73" s="112"/>
      <c r="C73" s="197" t="s">
        <v>335</v>
      </c>
      <c r="D73" s="277">
        <f>SUM(F73:AA73)</f>
        <v>0</v>
      </c>
      <c r="E73" s="112" t="s">
        <v>120</v>
      </c>
      <c r="F73" s="277"/>
      <c r="G73" s="277"/>
      <c r="H73" s="277">
        <f>(H70)*参数输入表!$H$360</f>
        <v>0</v>
      </c>
      <c r="I73" s="277">
        <f>(I70)*参数输入表!$H$360</f>
        <v>0</v>
      </c>
      <c r="J73" s="277">
        <f>(J70)*参数输入表!$H$360</f>
        <v>0</v>
      </c>
      <c r="K73" s="277">
        <f>(K70)*参数输入表!$H$360</f>
        <v>0</v>
      </c>
      <c r="L73" s="277">
        <f>(L70)*参数输入表!$H$360</f>
        <v>0</v>
      </c>
      <c r="M73" s="277">
        <f>(M70)*参数输入表!$H$360</f>
        <v>0</v>
      </c>
      <c r="N73" s="277">
        <f>(N70)*参数输入表!$H$360</f>
        <v>0</v>
      </c>
      <c r="O73" s="277">
        <f>(O70)*参数输入表!$H$360</f>
        <v>0</v>
      </c>
      <c r="P73" s="277">
        <f>(P70)*参数输入表!$H$360</f>
        <v>0</v>
      </c>
      <c r="Q73" s="277">
        <f>(Q70)*参数输入表!$H$360</f>
        <v>0</v>
      </c>
      <c r="R73" s="277">
        <f>(R70)*参数输入表!$H$360</f>
        <v>0</v>
      </c>
      <c r="S73" s="277">
        <f>(S70)*参数输入表!$H$360</f>
        <v>0</v>
      </c>
      <c r="T73" s="277">
        <f>(T70)*参数输入表!$H$360</f>
        <v>0</v>
      </c>
      <c r="U73" s="277">
        <f>(U70)*参数输入表!$H$360</f>
        <v>0</v>
      </c>
      <c r="V73" s="277">
        <f>(V70)*参数输入表!$H$360</f>
        <v>0</v>
      </c>
      <c r="W73" s="277">
        <f>(W70)*参数输入表!$H$360</f>
        <v>0</v>
      </c>
      <c r="X73" s="277">
        <f>(X70)*参数输入表!$H$360</f>
        <v>0</v>
      </c>
      <c r="Y73" s="277">
        <f>(Y70)*参数输入表!$H$360</f>
        <v>0</v>
      </c>
      <c r="Z73" s="277">
        <f>(Z70)*参数输入表!$H$360</f>
        <v>0</v>
      </c>
      <c r="AA73" s="277">
        <f>(AA70)*参数输入表!$H$360</f>
        <v>0</v>
      </c>
    </row>
    <row r="74" spans="2:27" x14ac:dyDescent="0.25">
      <c r="B74" s="112" t="s">
        <v>343</v>
      </c>
      <c r="C74" s="285" t="s">
        <v>336</v>
      </c>
      <c r="D74" s="287">
        <f>AA74</f>
        <v>0</v>
      </c>
      <c r="E74" s="112" t="s">
        <v>120</v>
      </c>
      <c r="F74" s="277">
        <f>F69+F70-F72</f>
        <v>0</v>
      </c>
      <c r="G74" s="277">
        <f t="shared" ref="G74" si="31">G69+G70-G72</f>
        <v>0</v>
      </c>
      <c r="H74" s="277">
        <f>H70+H69-H72</f>
        <v>0</v>
      </c>
      <c r="I74" s="277">
        <f t="shared" ref="I74:R74" si="32">I70+I69-I72</f>
        <v>0</v>
      </c>
      <c r="J74" s="277">
        <f t="shared" si="32"/>
        <v>0</v>
      </c>
      <c r="K74" s="277">
        <f t="shared" si="32"/>
        <v>0</v>
      </c>
      <c r="L74" s="277">
        <f t="shared" si="32"/>
        <v>0</v>
      </c>
      <c r="M74" s="277">
        <f t="shared" si="32"/>
        <v>0</v>
      </c>
      <c r="N74" s="277">
        <f t="shared" si="32"/>
        <v>0</v>
      </c>
      <c r="O74" s="277">
        <f t="shared" si="32"/>
        <v>0</v>
      </c>
      <c r="P74" s="277">
        <f t="shared" si="32"/>
        <v>0</v>
      </c>
      <c r="Q74" s="277">
        <f t="shared" si="32"/>
        <v>0</v>
      </c>
      <c r="R74" s="277">
        <f t="shared" si="32"/>
        <v>0</v>
      </c>
      <c r="S74" s="277">
        <f t="shared" ref="S74:AA74" si="33">S70+S69-S72</f>
        <v>0</v>
      </c>
      <c r="T74" s="277">
        <f t="shared" si="33"/>
        <v>0</v>
      </c>
      <c r="U74" s="277">
        <f t="shared" si="33"/>
        <v>0</v>
      </c>
      <c r="V74" s="277">
        <f t="shared" si="33"/>
        <v>0</v>
      </c>
      <c r="W74" s="277">
        <f t="shared" si="33"/>
        <v>0</v>
      </c>
      <c r="X74" s="277">
        <f t="shared" si="33"/>
        <v>0</v>
      </c>
      <c r="Y74" s="277">
        <f t="shared" si="33"/>
        <v>0</v>
      </c>
      <c r="Z74" s="277">
        <f t="shared" si="33"/>
        <v>0</v>
      </c>
      <c r="AA74" s="277">
        <f t="shared" si="33"/>
        <v>0</v>
      </c>
    </row>
    <row r="76" spans="2:27" x14ac:dyDescent="0.25">
      <c r="B76" s="416" t="s">
        <v>345</v>
      </c>
      <c r="C76" s="416"/>
      <c r="D76" s="416"/>
      <c r="E76" s="416"/>
      <c r="F76" s="416"/>
      <c r="G76" s="416"/>
      <c r="H76" s="416"/>
      <c r="I76" s="416"/>
      <c r="J76" s="416"/>
      <c r="K76" s="416"/>
      <c r="L76" s="416"/>
      <c r="M76" s="416"/>
      <c r="N76" s="416"/>
      <c r="O76" s="416"/>
      <c r="P76" s="416"/>
      <c r="Q76" s="416"/>
      <c r="R76" s="416"/>
      <c r="S76" s="416"/>
      <c r="T76" s="416"/>
      <c r="U76" s="416"/>
      <c r="V76" s="416"/>
      <c r="W76" s="416"/>
      <c r="X76" s="416"/>
      <c r="Y76" s="416"/>
      <c r="Z76" s="416"/>
      <c r="AA76" s="416"/>
    </row>
    <row r="77" spans="2:27" x14ac:dyDescent="0.25">
      <c r="B77" s="419" t="s">
        <v>14</v>
      </c>
      <c r="C77" s="419" t="s">
        <v>318</v>
      </c>
      <c r="D77" s="419" t="s">
        <v>306</v>
      </c>
      <c r="E77" s="419" t="s">
        <v>38</v>
      </c>
      <c r="F77" s="417" t="s">
        <v>93</v>
      </c>
      <c r="G77" s="417"/>
      <c r="H77" s="418" t="s">
        <v>103</v>
      </c>
      <c r="I77" s="418"/>
      <c r="J77" s="418"/>
      <c r="K77" s="418"/>
      <c r="L77" s="418"/>
      <c r="M77" s="418"/>
      <c r="N77" s="418"/>
      <c r="O77" s="418"/>
      <c r="P77" s="418"/>
      <c r="Q77" s="418"/>
      <c r="R77" s="418"/>
      <c r="S77" s="418"/>
      <c r="T77" s="418"/>
      <c r="U77" s="418"/>
      <c r="V77" s="418"/>
      <c r="W77" s="418"/>
      <c r="X77" s="418"/>
      <c r="Y77" s="418"/>
      <c r="Z77" s="418"/>
      <c r="AA77" s="418"/>
    </row>
    <row r="78" spans="2:27" x14ac:dyDescent="0.25">
      <c r="B78" s="419"/>
      <c r="C78" s="419"/>
      <c r="D78" s="419"/>
      <c r="E78" s="419"/>
      <c r="F78" s="93">
        <v>1</v>
      </c>
      <c r="G78" s="93">
        <v>2</v>
      </c>
      <c r="H78" s="94">
        <v>1</v>
      </c>
      <c r="I78" s="94">
        <v>2</v>
      </c>
      <c r="J78" s="94">
        <v>3</v>
      </c>
      <c r="K78" s="94">
        <v>4</v>
      </c>
      <c r="L78" s="94">
        <v>5</v>
      </c>
      <c r="M78" s="94">
        <v>6</v>
      </c>
      <c r="N78" s="94">
        <v>7</v>
      </c>
      <c r="O78" s="94">
        <v>8</v>
      </c>
      <c r="P78" s="94">
        <v>9</v>
      </c>
      <c r="Q78" s="94">
        <v>10</v>
      </c>
      <c r="R78" s="94">
        <v>11</v>
      </c>
      <c r="S78" s="94">
        <v>12</v>
      </c>
      <c r="T78" s="94">
        <v>13</v>
      </c>
      <c r="U78" s="94">
        <v>14</v>
      </c>
      <c r="V78" s="94">
        <v>15</v>
      </c>
      <c r="W78" s="94">
        <v>16</v>
      </c>
      <c r="X78" s="94">
        <v>17</v>
      </c>
      <c r="Y78" s="94">
        <v>18</v>
      </c>
      <c r="Z78" s="94">
        <v>19</v>
      </c>
      <c r="AA78" s="94">
        <v>20</v>
      </c>
    </row>
    <row r="79" spans="2:27" x14ac:dyDescent="0.25">
      <c r="B79" s="112" t="s">
        <v>339</v>
      </c>
      <c r="C79" s="285" t="s">
        <v>331</v>
      </c>
      <c r="D79" s="277"/>
      <c r="E79" s="112" t="s">
        <v>120</v>
      </c>
      <c r="F79" s="277">
        <f>F39+F59+F69</f>
        <v>0</v>
      </c>
      <c r="G79" s="277">
        <f ca="1">G39+G59+G69</f>
        <v>31636.040763520901</v>
      </c>
      <c r="H79" s="277">
        <f t="shared" ref="H79:H84" ca="1" si="34">H39+H59+H69</f>
        <v>53699.272378247944</v>
      </c>
      <c r="I79" s="277">
        <f t="shared" ref="I79:AA79" ca="1" si="35">I39+I59+I69</f>
        <v>51183.003862339741</v>
      </c>
      <c r="J79" s="277">
        <f t="shared" ca="1" si="35"/>
        <v>48302.631448374756</v>
      </c>
      <c r="K79" s="277">
        <f t="shared" ca="1" si="35"/>
        <v>45321.445999920994</v>
      </c>
      <c r="L79" s="277">
        <f t="shared" ca="1" si="35"/>
        <v>42235.919060771354</v>
      </c>
      <c r="M79" s="277">
        <f t="shared" ca="1" si="35"/>
        <v>39042.398678751473</v>
      </c>
      <c r="N79" s="277">
        <f t="shared" ca="1" si="35"/>
        <v>35737.105083360897</v>
      </c>
      <c r="O79" s="277">
        <f t="shared" ca="1" si="35"/>
        <v>32316.126212131658</v>
      </c>
      <c r="P79" s="277">
        <f t="shared" ca="1" si="35"/>
        <v>28775.413080409391</v>
      </c>
      <c r="Q79" s="277">
        <f t="shared" ca="1" si="35"/>
        <v>25110.774989076843</v>
      </c>
      <c r="R79" s="277">
        <f t="shared" ca="1" si="35"/>
        <v>21317.874564547656</v>
      </c>
      <c r="S79" s="277">
        <f t="shared" ca="1" si="35"/>
        <v>17392.222625159946</v>
      </c>
      <c r="T79" s="277">
        <f t="shared" ca="1" si="35"/>
        <v>13329.172867893669</v>
      </c>
      <c r="U79" s="277">
        <f t="shared" ca="1" si="35"/>
        <v>9123.9163691230715</v>
      </c>
      <c r="V79" s="277">
        <f t="shared" ca="1" si="35"/>
        <v>4771.4758928955025</v>
      </c>
      <c r="W79" s="277">
        <f t="shared" ca="1" si="35"/>
        <v>266.69999999996998</v>
      </c>
      <c r="X79" s="277">
        <f t="shared" si="35"/>
        <v>266.7</v>
      </c>
      <c r="Y79" s="277">
        <f t="shared" si="35"/>
        <v>266.7</v>
      </c>
      <c r="Z79" s="277">
        <f t="shared" si="35"/>
        <v>266.7</v>
      </c>
      <c r="AA79" s="277">
        <f t="shared" si="35"/>
        <v>266.7</v>
      </c>
    </row>
    <row r="80" spans="2:27" x14ac:dyDescent="0.25">
      <c r="B80" s="112" t="s">
        <v>340</v>
      </c>
      <c r="C80" s="285" t="s">
        <v>332</v>
      </c>
      <c r="D80" s="277">
        <f ca="1">SUM(F80:AA80)</f>
        <v>53965.972378247941</v>
      </c>
      <c r="E80" s="112" t="s">
        <v>120</v>
      </c>
      <c r="F80" s="277">
        <f ca="1">F40+F60+F70</f>
        <v>31636.040763520901</v>
      </c>
      <c r="G80" s="277">
        <f ca="1">G40+G60+G70</f>
        <v>22063.231614727039</v>
      </c>
      <c r="H80" s="277">
        <f t="shared" si="34"/>
        <v>266.7</v>
      </c>
      <c r="I80" s="277">
        <f t="shared" ref="I80:AA80" si="36">I40+I60+I70</f>
        <v>0</v>
      </c>
      <c r="J80" s="277">
        <f t="shared" si="36"/>
        <v>0</v>
      </c>
      <c r="K80" s="277">
        <f t="shared" si="36"/>
        <v>0</v>
      </c>
      <c r="L80" s="277">
        <f t="shared" si="36"/>
        <v>0</v>
      </c>
      <c r="M80" s="277">
        <f t="shared" si="36"/>
        <v>0</v>
      </c>
      <c r="N80" s="277">
        <f t="shared" si="36"/>
        <v>0</v>
      </c>
      <c r="O80" s="277">
        <f t="shared" si="36"/>
        <v>0</v>
      </c>
      <c r="P80" s="277">
        <f t="shared" si="36"/>
        <v>0</v>
      </c>
      <c r="Q80" s="277">
        <f t="shared" si="36"/>
        <v>0</v>
      </c>
      <c r="R80" s="277">
        <f t="shared" si="36"/>
        <v>0</v>
      </c>
      <c r="S80" s="277">
        <f t="shared" si="36"/>
        <v>0</v>
      </c>
      <c r="T80" s="277">
        <f t="shared" si="36"/>
        <v>0</v>
      </c>
      <c r="U80" s="277">
        <f t="shared" si="36"/>
        <v>0</v>
      </c>
      <c r="V80" s="277">
        <f t="shared" si="36"/>
        <v>0</v>
      </c>
      <c r="W80" s="277">
        <f t="shared" si="36"/>
        <v>0</v>
      </c>
      <c r="X80" s="277">
        <f t="shared" si="36"/>
        <v>0</v>
      </c>
      <c r="Y80" s="277">
        <f t="shared" si="36"/>
        <v>0</v>
      </c>
      <c r="Z80" s="277">
        <f t="shared" si="36"/>
        <v>0</v>
      </c>
      <c r="AA80" s="277">
        <f t="shared" si="36"/>
        <v>0</v>
      </c>
    </row>
    <row r="81" spans="2:27" x14ac:dyDescent="0.25">
      <c r="B81" s="112" t="s">
        <v>341</v>
      </c>
      <c r="C81" s="285" t="s">
        <v>333</v>
      </c>
      <c r="D81" s="277">
        <f ca="1">SUM(F81:AA81)</f>
        <v>70355.36473720317</v>
      </c>
      <c r="E81" s="112" t="s">
        <v>120</v>
      </c>
      <c r="F81" s="277"/>
      <c r="G81" s="277"/>
      <c r="H81" s="277">
        <f t="shared" ca="1" si="34"/>
        <v>4662.4430491468756</v>
      </c>
      <c r="I81" s="277">
        <f t="shared" ref="I81:AA81" ca="1" si="37">I41+I61+I71</f>
        <v>4670.4440491468758</v>
      </c>
      <c r="J81" s="277">
        <f t="shared" ca="1" si="37"/>
        <v>4670.4440491468758</v>
      </c>
      <c r="K81" s="277">
        <f t="shared" ca="1" si="37"/>
        <v>4670.4440491468758</v>
      </c>
      <c r="L81" s="277">
        <f t="shared" ca="1" si="37"/>
        <v>4670.4440491468758</v>
      </c>
      <c r="M81" s="277">
        <f t="shared" ca="1" si="37"/>
        <v>4670.4440491468758</v>
      </c>
      <c r="N81" s="277">
        <f t="shared" ca="1" si="37"/>
        <v>4670.4440491468758</v>
      </c>
      <c r="O81" s="277">
        <f t="shared" ca="1" si="37"/>
        <v>4670.4440491468758</v>
      </c>
      <c r="P81" s="277">
        <f t="shared" ca="1" si="37"/>
        <v>4670.4440491468758</v>
      </c>
      <c r="Q81" s="277">
        <f t="shared" ca="1" si="37"/>
        <v>4670.4440491468758</v>
      </c>
      <c r="R81" s="277">
        <f t="shared" ca="1" si="37"/>
        <v>4670.4440491468758</v>
      </c>
      <c r="S81" s="277">
        <f t="shared" ca="1" si="37"/>
        <v>4670.4440491468758</v>
      </c>
      <c r="T81" s="277">
        <f t="shared" ca="1" si="37"/>
        <v>4670.4440491468758</v>
      </c>
      <c r="U81" s="277">
        <f t="shared" ca="1" si="37"/>
        <v>4670.4440491468758</v>
      </c>
      <c r="V81" s="277">
        <f t="shared" ca="1" si="37"/>
        <v>4670.4440491468758</v>
      </c>
      <c r="W81" s="277">
        <f t="shared" si="37"/>
        <v>8.0009999999999994</v>
      </c>
      <c r="X81" s="277">
        <f t="shared" si="37"/>
        <v>8.0009999999999994</v>
      </c>
      <c r="Y81" s="277">
        <f t="shared" si="37"/>
        <v>8.0009999999999994</v>
      </c>
      <c r="Z81" s="277">
        <f t="shared" si="37"/>
        <v>8.0009999999999994</v>
      </c>
      <c r="AA81" s="277">
        <f t="shared" si="37"/>
        <v>274.70099999999996</v>
      </c>
    </row>
    <row r="82" spans="2:27" x14ac:dyDescent="0.25">
      <c r="B82" s="112"/>
      <c r="C82" s="286" t="s">
        <v>342</v>
      </c>
      <c r="D82" s="277">
        <f ca="1">SUM(F82:AA82)</f>
        <v>53965.972378247956</v>
      </c>
      <c r="E82" s="112" t="s">
        <v>120</v>
      </c>
      <c r="F82" s="277"/>
      <c r="G82" s="277"/>
      <c r="H82" s="277">
        <f t="shared" ca="1" si="34"/>
        <v>2782.9685159081973</v>
      </c>
      <c r="I82" s="277">
        <f t="shared" ref="I82:AA82" ca="1" si="38">I42+I62+I72</f>
        <v>2880.3724139649844</v>
      </c>
      <c r="J82" s="277">
        <f t="shared" ca="1" si="38"/>
        <v>2981.1854484537589</v>
      </c>
      <c r="K82" s="277">
        <f t="shared" ca="1" si="38"/>
        <v>3085.5269391496404</v>
      </c>
      <c r="L82" s="277">
        <f t="shared" ca="1" si="38"/>
        <v>3193.5203820198781</v>
      </c>
      <c r="M82" s="277">
        <f t="shared" ca="1" si="38"/>
        <v>3305.293595390574</v>
      </c>
      <c r="N82" s="277">
        <f t="shared" ca="1" si="38"/>
        <v>3420.9788712292439</v>
      </c>
      <c r="O82" s="277">
        <f t="shared" ca="1" si="38"/>
        <v>3540.7131317222675</v>
      </c>
      <c r="P82" s="277">
        <f t="shared" ca="1" si="38"/>
        <v>3664.638091332547</v>
      </c>
      <c r="Q82" s="277">
        <f t="shared" ca="1" si="38"/>
        <v>3792.9004245291862</v>
      </c>
      <c r="R82" s="277">
        <f t="shared" ca="1" si="38"/>
        <v>3925.6519393877079</v>
      </c>
      <c r="S82" s="277">
        <f t="shared" ca="1" si="38"/>
        <v>4063.0497572662775</v>
      </c>
      <c r="T82" s="277">
        <f t="shared" ca="1" si="38"/>
        <v>4205.2564987705973</v>
      </c>
      <c r="U82" s="277">
        <f t="shared" ca="1" si="38"/>
        <v>4352.4404762275681</v>
      </c>
      <c r="V82" s="277">
        <f t="shared" ca="1" si="38"/>
        <v>4504.7758928955327</v>
      </c>
      <c r="W82" s="277">
        <f t="shared" si="38"/>
        <v>0</v>
      </c>
      <c r="X82" s="277">
        <f t="shared" si="38"/>
        <v>0</v>
      </c>
      <c r="Y82" s="277">
        <f t="shared" si="38"/>
        <v>0</v>
      </c>
      <c r="Z82" s="277">
        <f t="shared" si="38"/>
        <v>0</v>
      </c>
      <c r="AA82" s="277">
        <f t="shared" si="38"/>
        <v>266.7</v>
      </c>
    </row>
    <row r="83" spans="2:27" x14ac:dyDescent="0.25">
      <c r="B83" s="112"/>
      <c r="C83" s="197" t="s">
        <v>335</v>
      </c>
      <c r="D83" s="277">
        <f ca="1">SUM(F83:AA83)</f>
        <v>16397.393358955171</v>
      </c>
      <c r="E83" s="112" t="s">
        <v>120</v>
      </c>
      <c r="F83" s="277"/>
      <c r="G83" s="277"/>
      <c r="H83" s="277">
        <f t="shared" ca="1" si="34"/>
        <v>1887.4755332386783</v>
      </c>
      <c r="I83" s="277">
        <f t="shared" ref="I83:AA83" ca="1" si="39">I43+I63+I73</f>
        <v>1790.0716351818912</v>
      </c>
      <c r="J83" s="277">
        <f t="shared" ca="1" si="39"/>
        <v>1689.2586006931167</v>
      </c>
      <c r="K83" s="277">
        <f t="shared" ca="1" si="39"/>
        <v>1584.917109997235</v>
      </c>
      <c r="L83" s="277">
        <f t="shared" ca="1" si="39"/>
        <v>1476.9236671269975</v>
      </c>
      <c r="M83" s="277">
        <f t="shared" ca="1" si="39"/>
        <v>1365.1504537563017</v>
      </c>
      <c r="N83" s="277">
        <f t="shared" ca="1" si="39"/>
        <v>1249.4651779176315</v>
      </c>
      <c r="O83" s="277">
        <f t="shared" ca="1" si="39"/>
        <v>1129.7309174246082</v>
      </c>
      <c r="P83" s="277">
        <f t="shared" ca="1" si="39"/>
        <v>1005.8059578143287</v>
      </c>
      <c r="Q83" s="277">
        <f t="shared" ca="1" si="39"/>
        <v>877.54362461768949</v>
      </c>
      <c r="R83" s="277">
        <f t="shared" ca="1" si="39"/>
        <v>744.79210975916794</v>
      </c>
      <c r="S83" s="277">
        <f t="shared" ca="1" si="39"/>
        <v>607.39429188059808</v>
      </c>
      <c r="T83" s="277">
        <f t="shared" ca="1" si="39"/>
        <v>465.18755037627841</v>
      </c>
      <c r="U83" s="277">
        <f t="shared" ca="1" si="39"/>
        <v>318.00357291930749</v>
      </c>
      <c r="V83" s="277">
        <f t="shared" ca="1" si="39"/>
        <v>165.66815625134262</v>
      </c>
      <c r="W83" s="277">
        <f t="shared" si="39"/>
        <v>8.0009999999999994</v>
      </c>
      <c r="X83" s="277">
        <f t="shared" si="39"/>
        <v>8.0009999999999994</v>
      </c>
      <c r="Y83" s="277">
        <f t="shared" si="39"/>
        <v>8.0009999999999994</v>
      </c>
      <c r="Z83" s="277">
        <f t="shared" si="39"/>
        <v>8.0009999999999994</v>
      </c>
      <c r="AA83" s="277">
        <f t="shared" si="39"/>
        <v>8.0009999999999994</v>
      </c>
    </row>
    <row r="84" spans="2:27" x14ac:dyDescent="0.25">
      <c r="B84" s="112" t="s">
        <v>343</v>
      </c>
      <c r="C84" s="285" t="s">
        <v>336</v>
      </c>
      <c r="D84" s="287">
        <f>AA84</f>
        <v>0</v>
      </c>
      <c r="E84" s="112" t="s">
        <v>120</v>
      </c>
      <c r="F84" s="277">
        <f ca="1">F44+F64+F74</f>
        <v>31636.040763520901</v>
      </c>
      <c r="G84" s="277">
        <f ca="1">G44+G64+G74</f>
        <v>53699.272378247944</v>
      </c>
      <c r="H84" s="277">
        <f t="shared" ca="1" si="34"/>
        <v>51183.003862339741</v>
      </c>
      <c r="I84" s="277">
        <f t="shared" ref="I84:AA84" ca="1" si="40">I44+I64+I74</f>
        <v>48302.631448374756</v>
      </c>
      <c r="J84" s="277">
        <f t="shared" ca="1" si="40"/>
        <v>45321.445999920994</v>
      </c>
      <c r="K84" s="277">
        <f t="shared" ca="1" si="40"/>
        <v>42235.919060771354</v>
      </c>
      <c r="L84" s="277">
        <f t="shared" ca="1" si="40"/>
        <v>39042.398678751473</v>
      </c>
      <c r="M84" s="277">
        <f t="shared" ca="1" si="40"/>
        <v>35737.105083360897</v>
      </c>
      <c r="N84" s="277">
        <f t="shared" ca="1" si="40"/>
        <v>32316.126212131658</v>
      </c>
      <c r="O84" s="277">
        <f t="shared" ca="1" si="40"/>
        <v>28775.413080409391</v>
      </c>
      <c r="P84" s="277">
        <f t="shared" ca="1" si="40"/>
        <v>25110.774989076843</v>
      </c>
      <c r="Q84" s="277">
        <f t="shared" ca="1" si="40"/>
        <v>21317.874564547656</v>
      </c>
      <c r="R84" s="277">
        <f t="shared" ca="1" si="40"/>
        <v>17392.222625159946</v>
      </c>
      <c r="S84" s="277">
        <f t="shared" ca="1" si="40"/>
        <v>13329.172867893669</v>
      </c>
      <c r="T84" s="277">
        <f t="shared" ca="1" si="40"/>
        <v>9123.9163691230715</v>
      </c>
      <c r="U84" s="277">
        <f t="shared" ca="1" si="40"/>
        <v>4771.4758928955025</v>
      </c>
      <c r="V84" s="277">
        <f t="shared" ca="1" si="40"/>
        <v>266.69999999996998</v>
      </c>
      <c r="W84" s="277">
        <f t="shared" si="40"/>
        <v>266.7</v>
      </c>
      <c r="X84" s="277">
        <f t="shared" si="40"/>
        <v>266.7</v>
      </c>
      <c r="Y84" s="277">
        <f t="shared" si="40"/>
        <v>266.7</v>
      </c>
      <c r="Z84" s="277">
        <f t="shared" si="40"/>
        <v>266.7</v>
      </c>
      <c r="AA84" s="277">
        <f t="shared" si="40"/>
        <v>0</v>
      </c>
    </row>
    <row r="86" spans="2:27" x14ac:dyDescent="0.25">
      <c r="B86" s="416" t="s">
        <v>346</v>
      </c>
      <c r="C86" s="416"/>
      <c r="D86" s="416"/>
      <c r="E86" s="416"/>
      <c r="F86" s="416"/>
      <c r="G86" s="416"/>
      <c r="H86" s="416"/>
      <c r="I86" s="416"/>
      <c r="J86" s="416"/>
      <c r="K86" s="416"/>
      <c r="L86" s="416"/>
      <c r="M86" s="416"/>
      <c r="N86" s="416"/>
      <c r="O86" s="416"/>
      <c r="P86" s="416"/>
      <c r="Q86" s="416"/>
      <c r="R86" s="416"/>
      <c r="S86" s="416"/>
      <c r="T86" s="416"/>
      <c r="U86" s="416"/>
      <c r="V86" s="416"/>
      <c r="W86" s="416"/>
      <c r="X86" s="416"/>
      <c r="Y86" s="416"/>
      <c r="Z86" s="416"/>
      <c r="AA86" s="416"/>
    </row>
    <row r="87" spans="2:27" x14ac:dyDescent="0.25">
      <c r="B87" s="419" t="s">
        <v>14</v>
      </c>
      <c r="C87" s="419" t="s">
        <v>318</v>
      </c>
      <c r="D87" s="419" t="s">
        <v>306</v>
      </c>
      <c r="E87" s="419" t="s">
        <v>38</v>
      </c>
      <c r="F87" s="417" t="s">
        <v>93</v>
      </c>
      <c r="G87" s="417"/>
      <c r="H87" s="418" t="s">
        <v>103</v>
      </c>
      <c r="I87" s="418"/>
      <c r="J87" s="418"/>
      <c r="K87" s="418"/>
      <c r="L87" s="418"/>
      <c r="M87" s="418"/>
      <c r="N87" s="418"/>
      <c r="O87" s="418"/>
      <c r="P87" s="418"/>
      <c r="Q87" s="418"/>
      <c r="R87" s="418"/>
      <c r="S87" s="418"/>
      <c r="T87" s="418"/>
      <c r="U87" s="418"/>
      <c r="V87" s="418"/>
      <c r="W87" s="418"/>
      <c r="X87" s="418"/>
      <c r="Y87" s="418"/>
      <c r="Z87" s="418"/>
      <c r="AA87" s="418"/>
    </row>
    <row r="88" spans="2:27" x14ac:dyDescent="0.25">
      <c r="B88" s="419"/>
      <c r="C88" s="419"/>
      <c r="D88" s="419"/>
      <c r="E88" s="419"/>
      <c r="F88" s="93">
        <v>1</v>
      </c>
      <c r="G88" s="93">
        <v>2</v>
      </c>
      <c r="H88" s="94">
        <v>1</v>
      </c>
      <c r="I88" s="94">
        <v>2</v>
      </c>
      <c r="J88" s="94">
        <v>3</v>
      </c>
      <c r="K88" s="94">
        <v>4</v>
      </c>
      <c r="L88" s="94">
        <v>5</v>
      </c>
      <c r="M88" s="94">
        <v>6</v>
      </c>
      <c r="N88" s="94">
        <v>7</v>
      </c>
      <c r="O88" s="94">
        <v>8</v>
      </c>
      <c r="P88" s="94">
        <v>9</v>
      </c>
      <c r="Q88" s="94">
        <v>10</v>
      </c>
      <c r="R88" s="94">
        <v>11</v>
      </c>
      <c r="S88" s="94">
        <v>12</v>
      </c>
      <c r="T88" s="94">
        <v>13</v>
      </c>
      <c r="U88" s="94">
        <v>14</v>
      </c>
      <c r="V88" s="94">
        <v>15</v>
      </c>
      <c r="W88" s="94">
        <v>16</v>
      </c>
      <c r="X88" s="94">
        <v>17</v>
      </c>
      <c r="Y88" s="94">
        <v>18</v>
      </c>
      <c r="Z88" s="94">
        <v>19</v>
      </c>
      <c r="AA88" s="94">
        <v>20</v>
      </c>
    </row>
    <row r="89" spans="2:27" x14ac:dyDescent="0.25">
      <c r="B89" s="112" t="s">
        <v>339</v>
      </c>
      <c r="C89" s="285" t="s">
        <v>331</v>
      </c>
      <c r="D89" s="277"/>
      <c r="E89" s="112" t="s">
        <v>120</v>
      </c>
      <c r="F89" s="277">
        <f>F49+F59+F69</f>
        <v>0</v>
      </c>
      <c r="G89" s="277">
        <f ca="1">G49+G59+G69</f>
        <v>31636.040763520901</v>
      </c>
      <c r="H89" s="277">
        <f t="shared" ref="H89:H94" ca="1" si="41">H49+H59+H69</f>
        <v>53699.272378247944</v>
      </c>
      <c r="I89" s="277">
        <f t="shared" ref="I89:AA89" ca="1" si="42">I49+I59+I69</f>
        <v>50386.020886364742</v>
      </c>
      <c r="J89" s="277">
        <f t="shared" ca="1" si="42"/>
        <v>46806.069394481543</v>
      </c>
      <c r="K89" s="277">
        <f t="shared" ca="1" si="42"/>
        <v>43226.117902598344</v>
      </c>
      <c r="L89" s="277">
        <f t="shared" ca="1" si="42"/>
        <v>39646.166410715145</v>
      </c>
      <c r="M89" s="277">
        <f t="shared" ca="1" si="42"/>
        <v>36066.214918831945</v>
      </c>
      <c r="N89" s="277">
        <f t="shared" ca="1" si="42"/>
        <v>32486.263426948753</v>
      </c>
      <c r="O89" s="277">
        <f t="shared" ca="1" si="42"/>
        <v>28906.311935065558</v>
      </c>
      <c r="P89" s="277">
        <f t="shared" ca="1" si="42"/>
        <v>25326.360443182362</v>
      </c>
      <c r="Q89" s="277">
        <f t="shared" ca="1" si="42"/>
        <v>21746.408951299167</v>
      </c>
      <c r="R89" s="277">
        <f t="shared" ca="1" si="42"/>
        <v>18166.457459415971</v>
      </c>
      <c r="S89" s="277">
        <f t="shared" ca="1" si="42"/>
        <v>14586.505967532776</v>
      </c>
      <c r="T89" s="277">
        <f t="shared" ca="1" si="42"/>
        <v>11006.55447564958</v>
      </c>
      <c r="U89" s="277">
        <f t="shared" ca="1" si="42"/>
        <v>7426.6029837663827</v>
      </c>
      <c r="V89" s="277">
        <f t="shared" ca="1" si="42"/>
        <v>3846.6514918831863</v>
      </c>
      <c r="W89" s="277">
        <f t="shared" si="42"/>
        <v>266.7</v>
      </c>
      <c r="X89" s="277">
        <f t="shared" si="42"/>
        <v>266.7</v>
      </c>
      <c r="Y89" s="277">
        <f t="shared" si="42"/>
        <v>266.7</v>
      </c>
      <c r="Z89" s="277">
        <f t="shared" si="42"/>
        <v>266.7</v>
      </c>
      <c r="AA89" s="277">
        <f t="shared" si="42"/>
        <v>266.7</v>
      </c>
    </row>
    <row r="90" spans="2:27" x14ac:dyDescent="0.25">
      <c r="B90" s="112" t="s">
        <v>340</v>
      </c>
      <c r="C90" s="285" t="s">
        <v>332</v>
      </c>
      <c r="D90" s="277">
        <f ca="1">SUM(F90:AA90)</f>
        <v>53965.972378247941</v>
      </c>
      <c r="E90" s="112" t="s">
        <v>120</v>
      </c>
      <c r="F90" s="277">
        <f ca="1">F50+F60+F70</f>
        <v>31636.040763520901</v>
      </c>
      <c r="G90" s="277">
        <f ca="1">G50+G60+G70</f>
        <v>22063.231614727039</v>
      </c>
      <c r="H90" s="277">
        <f t="shared" si="41"/>
        <v>266.7</v>
      </c>
      <c r="I90" s="277">
        <f t="shared" ref="I90:AA90" si="43">I50+I60+I70</f>
        <v>0</v>
      </c>
      <c r="J90" s="277">
        <f t="shared" si="43"/>
        <v>0</v>
      </c>
      <c r="K90" s="277">
        <f t="shared" si="43"/>
        <v>0</v>
      </c>
      <c r="L90" s="277">
        <f t="shared" si="43"/>
        <v>0</v>
      </c>
      <c r="M90" s="277">
        <f t="shared" si="43"/>
        <v>0</v>
      </c>
      <c r="N90" s="277">
        <f t="shared" si="43"/>
        <v>0</v>
      </c>
      <c r="O90" s="277">
        <f t="shared" si="43"/>
        <v>0</v>
      </c>
      <c r="P90" s="277">
        <f t="shared" si="43"/>
        <v>0</v>
      </c>
      <c r="Q90" s="277">
        <f t="shared" si="43"/>
        <v>0</v>
      </c>
      <c r="R90" s="277">
        <f t="shared" si="43"/>
        <v>0</v>
      </c>
      <c r="S90" s="277">
        <f t="shared" si="43"/>
        <v>0</v>
      </c>
      <c r="T90" s="277">
        <f t="shared" si="43"/>
        <v>0</v>
      </c>
      <c r="U90" s="277">
        <f t="shared" si="43"/>
        <v>0</v>
      </c>
      <c r="V90" s="277">
        <f t="shared" si="43"/>
        <v>0</v>
      </c>
      <c r="W90" s="277">
        <f t="shared" si="43"/>
        <v>0</v>
      </c>
      <c r="X90" s="277">
        <f t="shared" si="43"/>
        <v>0</v>
      </c>
      <c r="Y90" s="277">
        <f t="shared" si="43"/>
        <v>0</v>
      </c>
      <c r="Z90" s="277">
        <f t="shared" si="43"/>
        <v>0</v>
      </c>
      <c r="AA90" s="277">
        <f t="shared" si="43"/>
        <v>0</v>
      </c>
    </row>
    <row r="91" spans="2:27" x14ac:dyDescent="0.25">
      <c r="B91" s="112" t="s">
        <v>341</v>
      </c>
      <c r="C91" s="285" t="s">
        <v>333</v>
      </c>
      <c r="D91" s="277">
        <f ca="1">SUM(F91:AA91)</f>
        <v>69153.787644157375</v>
      </c>
      <c r="E91" s="112" t="s">
        <v>120</v>
      </c>
      <c r="F91" s="277"/>
      <c r="G91" s="277"/>
      <c r="H91" s="277">
        <f t="shared" ca="1" si="41"/>
        <v>5459.4260251218748</v>
      </c>
      <c r="I91" s="277">
        <f t="shared" ref="I91:AA91" ca="1" si="44">I51+I61+I71</f>
        <v>5342.1287229059626</v>
      </c>
      <c r="J91" s="277">
        <f t="shared" ca="1" si="44"/>
        <v>5216.8304206900511</v>
      </c>
      <c r="K91" s="277">
        <f t="shared" ca="1" si="44"/>
        <v>5091.5321184741388</v>
      </c>
      <c r="L91" s="277">
        <f t="shared" ca="1" si="44"/>
        <v>4966.2338162582273</v>
      </c>
      <c r="M91" s="277">
        <f t="shared" ca="1" si="44"/>
        <v>4840.9355140423149</v>
      </c>
      <c r="N91" s="277">
        <f t="shared" ca="1" si="44"/>
        <v>4715.6372118264026</v>
      </c>
      <c r="O91" s="277">
        <f t="shared" ca="1" si="44"/>
        <v>4590.3389096104911</v>
      </c>
      <c r="P91" s="277">
        <f t="shared" ca="1" si="44"/>
        <v>4465.0406073945796</v>
      </c>
      <c r="Q91" s="277">
        <f t="shared" ca="1" si="44"/>
        <v>4339.7423051786673</v>
      </c>
      <c r="R91" s="277">
        <f t="shared" ca="1" si="44"/>
        <v>4214.4440029627558</v>
      </c>
      <c r="S91" s="277">
        <f t="shared" ca="1" si="44"/>
        <v>4089.1457007468439</v>
      </c>
      <c r="T91" s="277">
        <f t="shared" ca="1" si="44"/>
        <v>3963.847398530932</v>
      </c>
      <c r="U91" s="277">
        <f t="shared" ca="1" si="44"/>
        <v>3838.5490963150201</v>
      </c>
      <c r="V91" s="277">
        <f t="shared" ca="1" si="44"/>
        <v>3713.2507940991081</v>
      </c>
      <c r="W91" s="277">
        <f t="shared" si="44"/>
        <v>8.0009999999999994</v>
      </c>
      <c r="X91" s="277">
        <f t="shared" si="44"/>
        <v>8.0009999999999994</v>
      </c>
      <c r="Y91" s="277">
        <f t="shared" si="44"/>
        <v>8.0009999999999994</v>
      </c>
      <c r="Z91" s="277">
        <f t="shared" si="44"/>
        <v>8.0009999999999994</v>
      </c>
      <c r="AA91" s="277">
        <f t="shared" si="44"/>
        <v>274.70099999999996</v>
      </c>
    </row>
    <row r="92" spans="2:27" x14ac:dyDescent="0.25">
      <c r="B92" s="112"/>
      <c r="C92" s="286" t="s">
        <v>342</v>
      </c>
      <c r="D92" s="277">
        <f ca="1">SUM(F92:AA92)</f>
        <v>53965.972378247956</v>
      </c>
      <c r="E92" s="112" t="s">
        <v>120</v>
      </c>
      <c r="F92" s="277"/>
      <c r="G92" s="277"/>
      <c r="H92" s="277">
        <f t="shared" ca="1" si="41"/>
        <v>3579.9514918831965</v>
      </c>
      <c r="I92" s="277">
        <f t="shared" ref="I92:AA92" ca="1" si="45">I52+I62+I72</f>
        <v>3579.9514918831965</v>
      </c>
      <c r="J92" s="277">
        <f t="shared" ca="1" si="45"/>
        <v>3579.9514918831965</v>
      </c>
      <c r="K92" s="277">
        <f t="shared" ca="1" si="45"/>
        <v>3579.9514918831965</v>
      </c>
      <c r="L92" s="277">
        <f t="shared" ca="1" si="45"/>
        <v>3579.9514918831965</v>
      </c>
      <c r="M92" s="277">
        <f t="shared" ca="1" si="45"/>
        <v>3579.9514918831965</v>
      </c>
      <c r="N92" s="277">
        <f t="shared" ca="1" si="45"/>
        <v>3579.9514918831965</v>
      </c>
      <c r="O92" s="277">
        <f t="shared" ca="1" si="45"/>
        <v>3579.9514918831965</v>
      </c>
      <c r="P92" s="277">
        <f t="shared" ca="1" si="45"/>
        <v>3579.9514918831965</v>
      </c>
      <c r="Q92" s="277">
        <f t="shared" ca="1" si="45"/>
        <v>3579.9514918831965</v>
      </c>
      <c r="R92" s="277">
        <f t="shared" ca="1" si="45"/>
        <v>3579.9514918831965</v>
      </c>
      <c r="S92" s="277">
        <f t="shared" ca="1" si="45"/>
        <v>3579.9514918831965</v>
      </c>
      <c r="T92" s="277">
        <f t="shared" ca="1" si="45"/>
        <v>3579.9514918831965</v>
      </c>
      <c r="U92" s="277">
        <f t="shared" ca="1" si="45"/>
        <v>3579.9514918831965</v>
      </c>
      <c r="V92" s="277">
        <f t="shared" ca="1" si="45"/>
        <v>3579.9514918831965</v>
      </c>
      <c r="W92" s="277">
        <f t="shared" si="45"/>
        <v>0</v>
      </c>
      <c r="X92" s="277">
        <f t="shared" si="45"/>
        <v>0</v>
      </c>
      <c r="Y92" s="277">
        <f t="shared" si="45"/>
        <v>0</v>
      </c>
      <c r="Z92" s="277">
        <f t="shared" si="45"/>
        <v>0</v>
      </c>
      <c r="AA92" s="277">
        <f t="shared" si="45"/>
        <v>266.7</v>
      </c>
    </row>
    <row r="93" spans="2:27" x14ac:dyDescent="0.25">
      <c r="B93" s="112"/>
      <c r="C93" s="197" t="s">
        <v>335</v>
      </c>
      <c r="D93" s="277">
        <f ca="1">SUM(F93:AA93)</f>
        <v>15195.81626590942</v>
      </c>
      <c r="E93" s="112" t="s">
        <v>120</v>
      </c>
      <c r="F93" s="277"/>
      <c r="G93" s="277"/>
      <c r="H93" s="277">
        <f t="shared" ca="1" si="41"/>
        <v>1887.4755332386783</v>
      </c>
      <c r="I93" s="277">
        <f t="shared" ref="I93:AA93" ca="1" si="46">I53+I63+I73</f>
        <v>1762.1772310227661</v>
      </c>
      <c r="J93" s="277">
        <f t="shared" ca="1" si="46"/>
        <v>1636.8789288068542</v>
      </c>
      <c r="K93" s="277">
        <f t="shared" ca="1" si="46"/>
        <v>1511.5806265909423</v>
      </c>
      <c r="L93" s="277">
        <f t="shared" ca="1" si="46"/>
        <v>1386.2823243750302</v>
      </c>
      <c r="M93" s="277">
        <f t="shared" ca="1" si="46"/>
        <v>1260.9840221591182</v>
      </c>
      <c r="N93" s="277">
        <f t="shared" ca="1" si="46"/>
        <v>1135.6857199432063</v>
      </c>
      <c r="O93" s="277">
        <f t="shared" ca="1" si="46"/>
        <v>1010.3874177272945</v>
      </c>
      <c r="P93" s="277">
        <f t="shared" ca="1" si="46"/>
        <v>885.08911551138272</v>
      </c>
      <c r="Q93" s="277">
        <f t="shared" ca="1" si="46"/>
        <v>759.79081329547091</v>
      </c>
      <c r="R93" s="277">
        <f t="shared" ca="1" si="46"/>
        <v>634.49251107955899</v>
      </c>
      <c r="S93" s="277">
        <f t="shared" ca="1" si="46"/>
        <v>509.19420886364713</v>
      </c>
      <c r="T93" s="277">
        <f t="shared" ca="1" si="46"/>
        <v>383.89590664773527</v>
      </c>
      <c r="U93" s="277">
        <f t="shared" ca="1" si="46"/>
        <v>258.59760443182341</v>
      </c>
      <c r="V93" s="277">
        <f t="shared" ca="1" si="46"/>
        <v>133.29930221591152</v>
      </c>
      <c r="W93" s="277">
        <f t="shared" si="46"/>
        <v>8.0009999999999994</v>
      </c>
      <c r="X93" s="277">
        <f t="shared" si="46"/>
        <v>8.0009999999999994</v>
      </c>
      <c r="Y93" s="277">
        <f t="shared" si="46"/>
        <v>8.0009999999999994</v>
      </c>
      <c r="Z93" s="277">
        <f t="shared" si="46"/>
        <v>8.0009999999999994</v>
      </c>
      <c r="AA93" s="277">
        <f t="shared" si="46"/>
        <v>8.0009999999999994</v>
      </c>
    </row>
    <row r="94" spans="2:27" x14ac:dyDescent="0.25">
      <c r="B94" s="112" t="s">
        <v>343</v>
      </c>
      <c r="C94" s="285" t="s">
        <v>336</v>
      </c>
      <c r="D94" s="287">
        <f>AA94</f>
        <v>0</v>
      </c>
      <c r="E94" s="112" t="s">
        <v>120</v>
      </c>
      <c r="F94" s="277">
        <f ca="1">F54+F64+F74</f>
        <v>31636.040763520901</v>
      </c>
      <c r="G94" s="277">
        <f ca="1">G54+G64+G74</f>
        <v>53699.272378247944</v>
      </c>
      <c r="H94" s="277">
        <f t="shared" ca="1" si="41"/>
        <v>50386.020886364742</v>
      </c>
      <c r="I94" s="277">
        <f t="shared" ref="I94:AA94" ca="1" si="47">I54+I64+I74</f>
        <v>46806.069394481543</v>
      </c>
      <c r="J94" s="277">
        <f t="shared" ca="1" si="47"/>
        <v>43226.117902598344</v>
      </c>
      <c r="K94" s="277">
        <f t="shared" ca="1" si="47"/>
        <v>39646.166410715145</v>
      </c>
      <c r="L94" s="277">
        <f t="shared" ca="1" si="47"/>
        <v>36066.214918831945</v>
      </c>
      <c r="M94" s="277">
        <f t="shared" ca="1" si="47"/>
        <v>32486.263426948753</v>
      </c>
      <c r="N94" s="277">
        <f t="shared" ca="1" si="47"/>
        <v>28906.311935065558</v>
      </c>
      <c r="O94" s="277">
        <f t="shared" ca="1" si="47"/>
        <v>25326.360443182362</v>
      </c>
      <c r="P94" s="277">
        <f t="shared" ca="1" si="47"/>
        <v>21746.408951299167</v>
      </c>
      <c r="Q94" s="277">
        <f t="shared" ca="1" si="47"/>
        <v>18166.457459415971</v>
      </c>
      <c r="R94" s="277">
        <f t="shared" ca="1" si="47"/>
        <v>14586.505967532776</v>
      </c>
      <c r="S94" s="277">
        <f t="shared" ca="1" si="47"/>
        <v>11006.55447564958</v>
      </c>
      <c r="T94" s="277">
        <f t="shared" ca="1" si="47"/>
        <v>7426.6029837663827</v>
      </c>
      <c r="U94" s="277">
        <f t="shared" ca="1" si="47"/>
        <v>3846.6514918831863</v>
      </c>
      <c r="V94" s="277">
        <f t="shared" ca="1" si="47"/>
        <v>266.69999999998998</v>
      </c>
      <c r="W94" s="277">
        <f t="shared" si="47"/>
        <v>266.7</v>
      </c>
      <c r="X94" s="277">
        <f t="shared" si="47"/>
        <v>266.7</v>
      </c>
      <c r="Y94" s="277">
        <f t="shared" si="47"/>
        <v>266.7</v>
      </c>
      <c r="Z94" s="277">
        <f t="shared" si="47"/>
        <v>266.7</v>
      </c>
      <c r="AA94" s="277">
        <f t="shared" si="47"/>
        <v>0</v>
      </c>
    </row>
    <row r="97" spans="3:3" x14ac:dyDescent="0.25">
      <c r="C97" s="119" t="s">
        <v>347</v>
      </c>
    </row>
    <row r="98" spans="3:3" x14ac:dyDescent="0.25">
      <c r="C98" s="133" t="s">
        <v>348</v>
      </c>
    </row>
    <row r="99" spans="3:3" x14ac:dyDescent="0.25">
      <c r="C99" s="133" t="s">
        <v>349</v>
      </c>
    </row>
    <row r="100" spans="3:3" x14ac:dyDescent="0.25">
      <c r="C100" s="133" t="s">
        <v>350</v>
      </c>
    </row>
    <row r="101" spans="3:3" x14ac:dyDescent="0.25">
      <c r="C101" s="133" t="s">
        <v>351</v>
      </c>
    </row>
    <row r="103" spans="3:3" x14ac:dyDescent="0.25">
      <c r="C103" s="133" t="s">
        <v>352</v>
      </c>
    </row>
  </sheetData>
  <mergeCells count="52">
    <mergeCell ref="F3:G3"/>
    <mergeCell ref="H3:AA3"/>
    <mergeCell ref="F21:G21"/>
    <mergeCell ref="H21:AA21"/>
    <mergeCell ref="B36:AA36"/>
    <mergeCell ref="B3:B5"/>
    <mergeCell ref="B21:B22"/>
    <mergeCell ref="C21:C22"/>
    <mergeCell ref="D21:D22"/>
    <mergeCell ref="E3:E5"/>
    <mergeCell ref="E21:E22"/>
    <mergeCell ref="F37:G37"/>
    <mergeCell ref="H37:AA37"/>
    <mergeCell ref="B46:AA46"/>
    <mergeCell ref="F47:G47"/>
    <mergeCell ref="H47:AA47"/>
    <mergeCell ref="B37:B38"/>
    <mergeCell ref="B47:B48"/>
    <mergeCell ref="C37:C38"/>
    <mergeCell ref="C47:C48"/>
    <mergeCell ref="D37:D38"/>
    <mergeCell ref="D47:D48"/>
    <mergeCell ref="E37:E38"/>
    <mergeCell ref="E47:E48"/>
    <mergeCell ref="B56:AA56"/>
    <mergeCell ref="F57:G57"/>
    <mergeCell ref="H57:AA57"/>
    <mergeCell ref="B66:AA66"/>
    <mergeCell ref="F67:G67"/>
    <mergeCell ref="H67:AA67"/>
    <mergeCell ref="B57:B58"/>
    <mergeCell ref="B67:B68"/>
    <mergeCell ref="C57:C58"/>
    <mergeCell ref="C67:C68"/>
    <mergeCell ref="D57:D58"/>
    <mergeCell ref="D67:D68"/>
    <mergeCell ref="E57:E58"/>
    <mergeCell ref="E67:E68"/>
    <mergeCell ref="B76:AA76"/>
    <mergeCell ref="F77:G77"/>
    <mergeCell ref="H77:AA77"/>
    <mergeCell ref="B86:AA86"/>
    <mergeCell ref="F87:G87"/>
    <mergeCell ref="H87:AA87"/>
    <mergeCell ref="B77:B78"/>
    <mergeCell ref="B87:B88"/>
    <mergeCell ref="C77:C78"/>
    <mergeCell ref="C87:C88"/>
    <mergeCell ref="D77:D78"/>
    <mergeCell ref="D87:D88"/>
    <mergeCell ref="E77:E78"/>
    <mergeCell ref="E87:E88"/>
  </mergeCells>
  <phoneticPr fontId="65" type="noConversion"/>
  <conditionalFormatting sqref="B3:E4">
    <cfRule type="cellIs" dxfId="3" priority="3" operator="equal">
      <formula>0</formula>
    </cfRule>
  </conditionalFormatting>
  <conditionalFormatting sqref="C5:D5 F5:M5 B6:C9 I6:M19 B10:D10 B11:C19 B23:C34">
    <cfRule type="cellIs" dxfId="2" priority="5" operator="equal">
      <formula>0</formula>
    </cfRule>
  </conditionalFormatting>
  <conditionalFormatting sqref="E6:E19 E23:E34">
    <cfRule type="cellIs" dxfId="1" priority="2" operator="equal">
      <formula>0</formula>
    </cfRule>
  </conditionalFormatting>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AA84"/>
  <sheetViews>
    <sheetView showGridLines="0" topLeftCell="A41" zoomScale="70" zoomScaleNormal="70" workbookViewId="0">
      <selection activeCell="F93" sqref="F93"/>
    </sheetView>
  </sheetViews>
  <sheetFormatPr defaultColWidth="8.81640625" defaultRowHeight="16.5" x14ac:dyDescent="0.25"/>
  <cols>
    <col min="1" max="1" width="2.36328125" style="91" customWidth="1"/>
    <col min="2" max="2" width="6.08984375" style="91" customWidth="1"/>
    <col min="3" max="3" width="34.81640625" style="91" customWidth="1"/>
    <col min="4" max="4" width="13.1796875" style="91" customWidth="1"/>
    <col min="5" max="5" width="7.453125" style="214" customWidth="1"/>
    <col min="6" max="6" width="12.54296875" style="91" customWidth="1"/>
    <col min="7" max="10" width="12.6328125" style="91" customWidth="1"/>
    <col min="11" max="23" width="11.1796875" style="91" customWidth="1"/>
    <col min="24" max="26" width="10.81640625" style="91" customWidth="1"/>
    <col min="27" max="27" width="12.36328125" style="91" customWidth="1"/>
    <col min="28" max="16384" width="8.81640625" style="91"/>
  </cols>
  <sheetData>
    <row r="1" spans="3:8" x14ac:dyDescent="0.25">
      <c r="C1" s="184" t="s">
        <v>353</v>
      </c>
    </row>
    <row r="2" spans="3:8" x14ac:dyDescent="0.25">
      <c r="C2" s="215" t="s">
        <v>354</v>
      </c>
      <c r="D2" s="216">
        <f ca="1">参数输入表!H350</f>
        <v>67290.182327609407</v>
      </c>
      <c r="E2" s="217"/>
      <c r="F2" s="133"/>
    </row>
    <row r="3" spans="3:8" x14ac:dyDescent="0.25">
      <c r="C3" s="218" t="s">
        <v>29</v>
      </c>
      <c r="D3" s="219">
        <f>参数输入表!H353</f>
        <v>4457.01</v>
      </c>
      <c r="E3" s="217"/>
    </row>
    <row r="4" spans="3:8" x14ac:dyDescent="0.25">
      <c r="C4" s="218" t="s">
        <v>231</v>
      </c>
      <c r="D4" s="219">
        <f ca="1">D2-D25-D3</f>
        <v>46359.172327609405</v>
      </c>
      <c r="E4" s="217"/>
      <c r="F4" s="133" t="s">
        <v>355</v>
      </c>
    </row>
    <row r="5" spans="3:8" x14ac:dyDescent="0.25">
      <c r="C5" s="218" t="s">
        <v>356</v>
      </c>
      <c r="D5" s="219" t="s">
        <v>254</v>
      </c>
      <c r="E5" s="217"/>
    </row>
    <row r="6" spans="3:8" x14ac:dyDescent="0.25">
      <c r="C6" s="218" t="s">
        <v>357</v>
      </c>
      <c r="D6" s="220">
        <f>参数输入表!H622</f>
        <v>15</v>
      </c>
      <c r="E6" s="217"/>
    </row>
    <row r="7" spans="3:8" x14ac:dyDescent="0.25">
      <c r="C7" s="221" t="s">
        <v>358</v>
      </c>
      <c r="D7" s="222">
        <f>参数输入表!H623</f>
        <v>0.05</v>
      </c>
      <c r="E7" s="223"/>
    </row>
    <row r="8" spans="3:8" x14ac:dyDescent="0.25">
      <c r="C8" s="224" t="s">
        <v>359</v>
      </c>
      <c r="D8" s="225"/>
      <c r="E8" s="223"/>
    </row>
    <row r="9" spans="3:8" x14ac:dyDescent="0.25">
      <c r="C9" s="224" t="s">
        <v>360</v>
      </c>
      <c r="D9" s="226">
        <f>参数输入表!H342</f>
        <v>13170.58</v>
      </c>
      <c r="E9" s="223"/>
      <c r="G9" s="91">
        <f ca="1">D14/D2</f>
        <v>0.19467921689112472</v>
      </c>
    </row>
    <row r="10" spans="3:8" hidden="1" x14ac:dyDescent="0.25">
      <c r="C10" s="224" t="s">
        <v>29</v>
      </c>
      <c r="D10" s="216"/>
      <c r="E10" s="223"/>
    </row>
    <row r="11" spans="3:8" x14ac:dyDescent="0.25">
      <c r="C11" s="224" t="s">
        <v>361</v>
      </c>
      <c r="D11" s="227">
        <f ca="1">D4*(D9/D2)</f>
        <v>9073.7930371760012</v>
      </c>
      <c r="E11" s="223"/>
      <c r="G11" s="91">
        <f ca="1">G9-1</f>
        <v>-0.80532078310887534</v>
      </c>
    </row>
    <row r="12" spans="3:8" x14ac:dyDescent="0.25">
      <c r="C12" s="224" t="s">
        <v>357</v>
      </c>
      <c r="D12" s="227">
        <v>15</v>
      </c>
      <c r="E12" s="223"/>
    </row>
    <row r="13" spans="3:8" x14ac:dyDescent="0.25">
      <c r="C13" s="224" t="s">
        <v>358</v>
      </c>
      <c r="D13" s="228">
        <v>0.05</v>
      </c>
      <c r="E13" s="223"/>
      <c r="G13" s="229"/>
      <c r="H13" s="229"/>
    </row>
    <row r="14" spans="3:8" x14ac:dyDescent="0.25">
      <c r="C14" s="224" t="s">
        <v>362</v>
      </c>
      <c r="D14" s="227">
        <f>参数输入表!H341</f>
        <v>13100</v>
      </c>
      <c r="E14" s="223"/>
    </row>
    <row r="15" spans="3:8" x14ac:dyDescent="0.25">
      <c r="C15" s="224" t="s">
        <v>361</v>
      </c>
      <c r="D15" s="227">
        <f ca="1">D4*(D14/D2)</f>
        <v>9025.1673644596976</v>
      </c>
      <c r="E15" s="223"/>
    </row>
    <row r="16" spans="3:8" x14ac:dyDescent="0.25">
      <c r="C16" s="224" t="s">
        <v>357</v>
      </c>
      <c r="D16" s="227">
        <v>10</v>
      </c>
      <c r="E16" s="223"/>
    </row>
    <row r="17" spans="3:27" x14ac:dyDescent="0.25">
      <c r="C17" s="224" t="s">
        <v>358</v>
      </c>
      <c r="D17" s="228">
        <v>0.05</v>
      </c>
      <c r="E17" s="223"/>
    </row>
    <row r="18" spans="3:27" x14ac:dyDescent="0.25">
      <c r="C18" s="230" t="s">
        <v>363</v>
      </c>
      <c r="D18" s="231">
        <f>参数输入表!H631/(1+参数输入表!H653)</f>
        <v>0</v>
      </c>
      <c r="E18" s="223"/>
      <c r="F18" s="91" t="s">
        <v>364</v>
      </c>
    </row>
    <row r="19" spans="3:27" x14ac:dyDescent="0.25">
      <c r="C19" s="230" t="s">
        <v>365</v>
      </c>
      <c r="D19" s="231">
        <f>参数输入表!H636/(1+参数输入表!H653)</f>
        <v>0</v>
      </c>
      <c r="E19" s="223"/>
    </row>
    <row r="20" spans="3:27" x14ac:dyDescent="0.25">
      <c r="C20" s="230" t="s">
        <v>366</v>
      </c>
      <c r="D20" s="231">
        <f>参数输入表!H641/(1+参数输入表!H653)</f>
        <v>0</v>
      </c>
      <c r="E20" s="223"/>
    </row>
    <row r="21" spans="3:27" x14ac:dyDescent="0.25">
      <c r="C21" s="230" t="s">
        <v>367</v>
      </c>
      <c r="D21" s="231">
        <f>参数输入表!H646/(1+参数输入表!H653)</f>
        <v>0</v>
      </c>
      <c r="E21" s="223"/>
    </row>
    <row r="22" spans="3:27" hidden="1" x14ac:dyDescent="0.25">
      <c r="C22" s="230"/>
      <c r="D22" s="231"/>
      <c r="E22" s="223"/>
    </row>
    <row r="23" spans="3:27" x14ac:dyDescent="0.25">
      <c r="C23" s="232" t="s">
        <v>368</v>
      </c>
      <c r="D23" s="233" t="s">
        <v>254</v>
      </c>
      <c r="E23" s="223"/>
    </row>
    <row r="24" spans="3:27" x14ac:dyDescent="0.25">
      <c r="C24" s="234" t="s">
        <v>255</v>
      </c>
      <c r="D24" s="235">
        <f>参数输入表!H652</f>
        <v>5</v>
      </c>
      <c r="E24" s="223"/>
    </row>
    <row r="25" spans="3:27" x14ac:dyDescent="0.25">
      <c r="C25" s="236" t="s">
        <v>243</v>
      </c>
      <c r="D25" s="237">
        <f>参数输入表!H345</f>
        <v>16474</v>
      </c>
    </row>
    <row r="26" spans="3:27" x14ac:dyDescent="0.25">
      <c r="C26" s="232" t="s">
        <v>368</v>
      </c>
      <c r="D26" s="238" t="s">
        <v>254</v>
      </c>
      <c r="E26" s="217"/>
    </row>
    <row r="27" spans="3:27" x14ac:dyDescent="0.25">
      <c r="C27" s="232" t="s">
        <v>255</v>
      </c>
      <c r="D27" s="235">
        <f>参数输入表!H627</f>
        <v>30</v>
      </c>
      <c r="E27" s="217"/>
      <c r="F27" s="417" t="s">
        <v>93</v>
      </c>
      <c r="G27" s="417"/>
      <c r="H27" s="418" t="s">
        <v>103</v>
      </c>
      <c r="I27" s="418"/>
      <c r="J27" s="418"/>
      <c r="K27" s="418"/>
      <c r="L27" s="418"/>
      <c r="M27" s="418"/>
      <c r="N27" s="418"/>
      <c r="O27" s="418"/>
      <c r="P27" s="418"/>
      <c r="Q27" s="418"/>
      <c r="R27" s="418"/>
      <c r="S27" s="418"/>
      <c r="T27" s="418"/>
      <c r="U27" s="418"/>
      <c r="V27" s="418"/>
      <c r="W27" s="418"/>
      <c r="X27" s="418"/>
      <c r="Y27" s="418"/>
      <c r="Z27" s="418"/>
      <c r="AA27" s="418"/>
    </row>
    <row r="28" spans="3:27" x14ac:dyDescent="0.25">
      <c r="C28" s="239" t="s">
        <v>358</v>
      </c>
      <c r="D28" s="240">
        <f>参数输入表!H628</f>
        <v>0</v>
      </c>
      <c r="E28" s="223"/>
      <c r="F28" s="93">
        <v>1</v>
      </c>
      <c r="G28" s="93">
        <v>2</v>
      </c>
      <c r="H28" s="94">
        <v>1</v>
      </c>
      <c r="I28" s="94">
        <v>2</v>
      </c>
      <c r="J28" s="94">
        <v>3</v>
      </c>
      <c r="K28" s="94">
        <v>4</v>
      </c>
      <c r="L28" s="94">
        <v>5</v>
      </c>
      <c r="M28" s="94">
        <v>6</v>
      </c>
      <c r="N28" s="94">
        <v>7</v>
      </c>
      <c r="O28" s="94">
        <v>8</v>
      </c>
      <c r="P28" s="94">
        <v>9</v>
      </c>
      <c r="Q28" s="94">
        <v>10</v>
      </c>
      <c r="R28" s="94">
        <v>11</v>
      </c>
      <c r="S28" s="94">
        <v>12</v>
      </c>
      <c r="T28" s="94">
        <v>13</v>
      </c>
      <c r="U28" s="94">
        <v>14</v>
      </c>
      <c r="V28" s="94">
        <v>15</v>
      </c>
      <c r="W28" s="94">
        <v>16</v>
      </c>
      <c r="X28" s="94">
        <v>17</v>
      </c>
      <c r="Y28" s="94">
        <v>18</v>
      </c>
      <c r="Z28" s="94">
        <v>19</v>
      </c>
      <c r="AA28" s="94">
        <v>20</v>
      </c>
    </row>
    <row r="29" spans="3:27" x14ac:dyDescent="0.25">
      <c r="C29" s="236" t="s">
        <v>369</v>
      </c>
      <c r="D29" s="241"/>
      <c r="E29" s="242"/>
      <c r="F29" s="243"/>
      <c r="G29" s="243"/>
      <c r="H29" s="243"/>
      <c r="I29" s="243"/>
      <c r="J29" s="243"/>
      <c r="K29" s="243"/>
      <c r="L29" s="243"/>
      <c r="M29" s="243"/>
      <c r="N29" s="243"/>
      <c r="O29" s="243"/>
      <c r="P29" s="243"/>
      <c r="Q29" s="243"/>
      <c r="R29" s="243"/>
      <c r="S29" s="243"/>
      <c r="T29" s="243"/>
      <c r="U29" s="243"/>
      <c r="V29" s="243"/>
      <c r="W29" s="243"/>
      <c r="X29" s="243"/>
      <c r="Y29" s="243"/>
      <c r="Z29" s="243"/>
      <c r="AA29" s="243"/>
    </row>
    <row r="30" spans="3:27" x14ac:dyDescent="0.25">
      <c r="C30" s="232" t="s">
        <v>368</v>
      </c>
      <c r="D30" s="244" t="s">
        <v>254</v>
      </c>
      <c r="E30" s="242"/>
      <c r="F30" s="243"/>
      <c r="G30" s="243"/>
      <c r="H30" s="243">
        <f>参数输入表!H656</f>
        <v>0</v>
      </c>
      <c r="I30" s="243">
        <f>参数输入表!H657</f>
        <v>0</v>
      </c>
      <c r="J30" s="243">
        <f>参数输入表!H658</f>
        <v>0</v>
      </c>
      <c r="K30" s="243">
        <f>参数输入表!H659</f>
        <v>0</v>
      </c>
      <c r="L30" s="243">
        <f>参数输入表!H660</f>
        <v>0</v>
      </c>
      <c r="M30" s="243">
        <f>参数输入表!H661</f>
        <v>0</v>
      </c>
      <c r="N30" s="243">
        <f>参数输入表!H662</f>
        <v>0</v>
      </c>
      <c r="O30" s="243">
        <f>参数输入表!H663</f>
        <v>0</v>
      </c>
      <c r="P30" s="243">
        <f>参数输入表!H664</f>
        <v>0</v>
      </c>
      <c r="Q30" s="243">
        <f>参数输入表!H665</f>
        <v>0</v>
      </c>
      <c r="R30" s="245">
        <f>参数输入表!H666/(1+参数输入表!$H$679)</f>
        <v>0</v>
      </c>
      <c r="S30" s="243">
        <f>参数输入表!H667</f>
        <v>500</v>
      </c>
      <c r="T30" s="243">
        <f>参数输入表!H668</f>
        <v>0</v>
      </c>
      <c r="U30" s="243">
        <f>参数输入表!H669</f>
        <v>0</v>
      </c>
      <c r="V30" s="243">
        <f>参数输入表!H670</f>
        <v>0</v>
      </c>
      <c r="W30" s="243">
        <f>参数输入表!H671</f>
        <v>0</v>
      </c>
      <c r="X30" s="243">
        <f>参数输入表!H672</f>
        <v>0</v>
      </c>
      <c r="Y30" s="243">
        <f>参数输入表!H673</f>
        <v>0</v>
      </c>
      <c r="Z30" s="243">
        <f>参数输入表!H674</f>
        <v>0</v>
      </c>
      <c r="AA30" s="243">
        <f>参数输入表!H675</f>
        <v>0</v>
      </c>
    </row>
    <row r="31" spans="3:27" x14ac:dyDescent="0.25">
      <c r="C31" s="239" t="s">
        <v>255</v>
      </c>
      <c r="D31" s="246">
        <f>参数输入表!H677</f>
        <v>10</v>
      </c>
      <c r="E31" s="242"/>
      <c r="F31" s="243"/>
      <c r="G31" s="243"/>
      <c r="H31" s="243"/>
      <c r="I31" s="243"/>
      <c r="J31" s="243"/>
      <c r="K31" s="243"/>
      <c r="L31" s="243"/>
      <c r="M31" s="243"/>
      <c r="N31" s="243"/>
      <c r="O31" s="243"/>
      <c r="P31" s="243"/>
      <c r="Q31" s="243"/>
      <c r="R31" s="243"/>
      <c r="S31" s="243"/>
      <c r="T31" s="243"/>
      <c r="U31" s="243"/>
      <c r="V31" s="243"/>
      <c r="W31" s="243"/>
      <c r="X31" s="243"/>
      <c r="Y31" s="243"/>
      <c r="Z31" s="243"/>
      <c r="AA31" s="243"/>
    </row>
    <row r="32" spans="3:27" x14ac:dyDescent="0.25">
      <c r="C32" s="234" t="s">
        <v>358</v>
      </c>
      <c r="D32" s="247">
        <f>参数输入表!H678</f>
        <v>0.05</v>
      </c>
      <c r="E32" s="242"/>
      <c r="F32" s="243"/>
      <c r="G32" s="243"/>
      <c r="H32" s="243"/>
      <c r="I32" s="243"/>
      <c r="J32" s="243"/>
      <c r="K32" s="243"/>
      <c r="L32" s="243"/>
      <c r="M32" s="243"/>
      <c r="N32" s="243"/>
      <c r="O32" s="243"/>
      <c r="P32" s="243"/>
      <c r="Q32" s="243"/>
      <c r="R32" s="243"/>
      <c r="S32" s="243"/>
      <c r="T32" s="243"/>
      <c r="U32" s="243"/>
      <c r="V32" s="243"/>
      <c r="W32" s="243"/>
      <c r="X32" s="243"/>
      <c r="Y32" s="243"/>
      <c r="Z32" s="243"/>
      <c r="AA32" s="243"/>
    </row>
    <row r="33" spans="2:27" x14ac:dyDescent="0.25">
      <c r="B33" s="184" t="s">
        <v>370</v>
      </c>
      <c r="D33" s="248"/>
      <c r="E33" s="217"/>
    </row>
    <row r="34" spans="2:27" ht="16.5" customHeight="1" x14ac:dyDescent="0.25">
      <c r="B34" s="423" t="s">
        <v>14</v>
      </c>
      <c r="C34" s="423" t="s">
        <v>15</v>
      </c>
      <c r="D34" s="423" t="s">
        <v>306</v>
      </c>
      <c r="E34" s="423" t="s">
        <v>38</v>
      </c>
      <c r="F34" s="417" t="s">
        <v>93</v>
      </c>
      <c r="G34" s="417"/>
      <c r="H34" s="418" t="s">
        <v>103</v>
      </c>
      <c r="I34" s="418"/>
      <c r="J34" s="418"/>
      <c r="K34" s="418"/>
      <c r="L34" s="418"/>
      <c r="M34" s="418"/>
      <c r="N34" s="418"/>
      <c r="O34" s="418"/>
      <c r="P34" s="418"/>
      <c r="Q34" s="418"/>
      <c r="R34" s="418"/>
      <c r="S34" s="418"/>
      <c r="T34" s="418"/>
      <c r="U34" s="418"/>
      <c r="V34" s="418"/>
      <c r="W34" s="418"/>
      <c r="X34" s="418"/>
      <c r="Y34" s="418"/>
      <c r="Z34" s="418"/>
      <c r="AA34" s="418"/>
    </row>
    <row r="35" spans="2:27" ht="16.5" customHeight="1" x14ac:dyDescent="0.25">
      <c r="B35" s="424"/>
      <c r="C35" s="424"/>
      <c r="D35" s="424"/>
      <c r="E35" s="424"/>
      <c r="F35" s="93">
        <v>1</v>
      </c>
      <c r="G35" s="93">
        <v>2</v>
      </c>
      <c r="H35" s="94">
        <v>1</v>
      </c>
      <c r="I35" s="94">
        <v>2</v>
      </c>
      <c r="J35" s="94">
        <v>3</v>
      </c>
      <c r="K35" s="94">
        <v>4</v>
      </c>
      <c r="L35" s="94">
        <v>5</v>
      </c>
      <c r="M35" s="94">
        <v>6</v>
      </c>
      <c r="N35" s="94">
        <v>7</v>
      </c>
      <c r="O35" s="94">
        <v>8</v>
      </c>
      <c r="P35" s="94">
        <v>9</v>
      </c>
      <c r="Q35" s="94">
        <v>10</v>
      </c>
      <c r="R35" s="94">
        <v>11</v>
      </c>
      <c r="S35" s="94">
        <v>12</v>
      </c>
      <c r="T35" s="94">
        <v>13</v>
      </c>
      <c r="U35" s="94">
        <v>14</v>
      </c>
      <c r="V35" s="94">
        <v>15</v>
      </c>
      <c r="W35" s="94">
        <v>16</v>
      </c>
      <c r="X35" s="94">
        <v>17</v>
      </c>
      <c r="Y35" s="94">
        <v>18</v>
      </c>
      <c r="Z35" s="94">
        <v>19</v>
      </c>
      <c r="AA35" s="94">
        <v>20</v>
      </c>
    </row>
    <row r="36" spans="2:27" s="183" customFormat="1" ht="33" customHeight="1" x14ac:dyDescent="0.25">
      <c r="B36" s="430">
        <v>1</v>
      </c>
      <c r="C36" s="224" t="s">
        <v>371</v>
      </c>
      <c r="D36" s="249"/>
      <c r="E36" s="250" t="s">
        <v>120</v>
      </c>
      <c r="F36" s="251">
        <f ca="1">(D4-D11-D15)*'表1-资金筹措及还本付息表'!F5</f>
        <v>16956.127155584225</v>
      </c>
      <c r="G36" s="251">
        <f ca="1">(D4-D11-D15)*'表1-资金筹措及还本付息表'!G5</f>
        <v>11304.084770389483</v>
      </c>
      <c r="H36" s="252">
        <f ca="1">G36-H37+F36</f>
        <v>26470.398503995373</v>
      </c>
      <c r="I36" s="252">
        <f ca="1">H36-I37</f>
        <v>24680.585082017038</v>
      </c>
      <c r="J36" s="252">
        <f t="shared" ref="J36:AA36" ca="1" si="0">I36-J37</f>
        <v>22890.771660038703</v>
      </c>
      <c r="K36" s="252">
        <f t="shared" ca="1" si="0"/>
        <v>21100.958238060368</v>
      </c>
      <c r="L36" s="252">
        <f t="shared" ca="1" si="0"/>
        <v>19311.144816082033</v>
      </c>
      <c r="M36" s="252">
        <f t="shared" ca="1" si="0"/>
        <v>17521.331394103698</v>
      </c>
      <c r="N36" s="252">
        <f t="shared" ca="1" si="0"/>
        <v>15731.517972125363</v>
      </c>
      <c r="O36" s="252">
        <f t="shared" ca="1" si="0"/>
        <v>13941.704550147027</v>
      </c>
      <c r="P36" s="252">
        <f t="shared" ca="1" si="0"/>
        <v>12151.891128168692</v>
      </c>
      <c r="Q36" s="252">
        <f t="shared" ca="1" si="0"/>
        <v>10362.077706190357</v>
      </c>
      <c r="R36" s="252">
        <f t="shared" ca="1" si="0"/>
        <v>8572.2642842120222</v>
      </c>
      <c r="S36" s="252">
        <f t="shared" ca="1" si="0"/>
        <v>6782.4508622336871</v>
      </c>
      <c r="T36" s="252">
        <f t="shared" ca="1" si="0"/>
        <v>4992.637440255352</v>
      </c>
      <c r="U36" s="252">
        <f t="shared" ca="1" si="0"/>
        <v>3202.8240182770169</v>
      </c>
      <c r="V36" s="252">
        <f t="shared" ca="1" si="0"/>
        <v>1413.010596298682</v>
      </c>
      <c r="W36" s="252">
        <f t="shared" ca="1" si="0"/>
        <v>1413.010596298682</v>
      </c>
      <c r="X36" s="252">
        <f t="shared" ca="1" si="0"/>
        <v>1413.010596298682</v>
      </c>
      <c r="Y36" s="252">
        <f t="shared" ca="1" si="0"/>
        <v>1413.010596298682</v>
      </c>
      <c r="Z36" s="252">
        <f t="shared" ca="1" si="0"/>
        <v>1413.010596298682</v>
      </c>
      <c r="AA36" s="252">
        <f t="shared" ca="1" si="0"/>
        <v>1413.010596298682</v>
      </c>
    </row>
    <row r="37" spans="2:27" s="183" customFormat="1" ht="33" customHeight="1" x14ac:dyDescent="0.25">
      <c r="B37" s="431"/>
      <c r="C37" s="224" t="s">
        <v>372</v>
      </c>
      <c r="D37" s="252">
        <f ca="1">SUM(F37:AA37)</f>
        <v>26847.201329675023</v>
      </c>
      <c r="E37" s="250" t="s">
        <v>120</v>
      </c>
      <c r="F37" s="252"/>
      <c r="G37" s="252"/>
      <c r="H37" s="253">
        <f ca="1">IF(H35&lt;=$D$6,($D$4-$D$11-$D$15)*(1-$D$7)/($D$6),0)</f>
        <v>1789.8134219783349</v>
      </c>
      <c r="I37" s="253">
        <f t="shared" ref="I37:AA37" ca="1" si="1">IF(I35&lt;=$D$6,($D$4-$D$11-$D$15)*(1-$D$7)/($D$6),0)</f>
        <v>1789.8134219783349</v>
      </c>
      <c r="J37" s="253">
        <f t="shared" ca="1" si="1"/>
        <v>1789.8134219783349</v>
      </c>
      <c r="K37" s="253">
        <f t="shared" ca="1" si="1"/>
        <v>1789.8134219783349</v>
      </c>
      <c r="L37" s="253">
        <f t="shared" ca="1" si="1"/>
        <v>1789.8134219783349</v>
      </c>
      <c r="M37" s="253">
        <f t="shared" ca="1" si="1"/>
        <v>1789.8134219783349</v>
      </c>
      <c r="N37" s="253">
        <f t="shared" ca="1" si="1"/>
        <v>1789.8134219783349</v>
      </c>
      <c r="O37" s="253">
        <f t="shared" ca="1" si="1"/>
        <v>1789.8134219783349</v>
      </c>
      <c r="P37" s="253">
        <f t="shared" ca="1" si="1"/>
        <v>1789.8134219783349</v>
      </c>
      <c r="Q37" s="253">
        <f t="shared" ca="1" si="1"/>
        <v>1789.8134219783349</v>
      </c>
      <c r="R37" s="253">
        <f t="shared" ca="1" si="1"/>
        <v>1789.8134219783349</v>
      </c>
      <c r="S37" s="253">
        <f t="shared" ca="1" si="1"/>
        <v>1789.8134219783349</v>
      </c>
      <c r="T37" s="253">
        <f t="shared" ca="1" si="1"/>
        <v>1789.8134219783349</v>
      </c>
      <c r="U37" s="253">
        <f t="shared" ca="1" si="1"/>
        <v>1789.8134219783349</v>
      </c>
      <c r="V37" s="253">
        <f t="shared" ca="1" si="1"/>
        <v>1789.8134219783349</v>
      </c>
      <c r="W37" s="253">
        <f t="shared" si="1"/>
        <v>0</v>
      </c>
      <c r="X37" s="253">
        <f t="shared" si="1"/>
        <v>0</v>
      </c>
      <c r="Y37" s="253">
        <f t="shared" si="1"/>
        <v>0</v>
      </c>
      <c r="Z37" s="253">
        <f t="shared" si="1"/>
        <v>0</v>
      </c>
      <c r="AA37" s="253">
        <f t="shared" si="1"/>
        <v>0</v>
      </c>
    </row>
    <row r="38" spans="2:27" s="183" customFormat="1" ht="33" customHeight="1" x14ac:dyDescent="0.25">
      <c r="B38" s="425">
        <v>2</v>
      </c>
      <c r="C38" s="224" t="s">
        <v>373</v>
      </c>
      <c r="D38" s="252"/>
      <c r="E38" s="250" t="s">
        <v>120</v>
      </c>
      <c r="F38" s="252">
        <f ca="1">D11</f>
        <v>9073.7930371760012</v>
      </c>
      <c r="G38" s="254"/>
      <c r="H38" s="253">
        <f ca="1">F38-H39</f>
        <v>8499.1194781548547</v>
      </c>
      <c r="I38" s="253">
        <f ca="1">H38-I39</f>
        <v>7924.4459191337082</v>
      </c>
      <c r="J38" s="253">
        <f t="shared" ref="J38:AA38" ca="1" si="2">I38-J39</f>
        <v>7349.7723601125617</v>
      </c>
      <c r="K38" s="253">
        <f t="shared" ca="1" si="2"/>
        <v>6775.0988010914152</v>
      </c>
      <c r="L38" s="253">
        <f t="shared" ca="1" si="2"/>
        <v>6200.4252420702687</v>
      </c>
      <c r="M38" s="253">
        <f t="shared" ca="1" si="2"/>
        <v>5625.7516830491222</v>
      </c>
      <c r="N38" s="253">
        <f t="shared" ca="1" si="2"/>
        <v>5051.0781240279757</v>
      </c>
      <c r="O38" s="253">
        <f t="shared" ca="1" si="2"/>
        <v>4476.4045650068292</v>
      </c>
      <c r="P38" s="253">
        <f t="shared" ca="1" si="2"/>
        <v>3901.7310059856827</v>
      </c>
      <c r="Q38" s="253">
        <f t="shared" ca="1" si="2"/>
        <v>3327.0574469645362</v>
      </c>
      <c r="R38" s="253">
        <f t="shared" ca="1" si="2"/>
        <v>2752.3838879433897</v>
      </c>
      <c r="S38" s="253">
        <f t="shared" ca="1" si="2"/>
        <v>2177.7103289222432</v>
      </c>
      <c r="T38" s="253">
        <f t="shared" ca="1" si="2"/>
        <v>1603.0367699010965</v>
      </c>
      <c r="U38" s="253">
        <f t="shared" ca="1" si="2"/>
        <v>1028.3632108799497</v>
      </c>
      <c r="V38" s="253">
        <f t="shared" ca="1" si="2"/>
        <v>453.68965185880302</v>
      </c>
      <c r="W38" s="253">
        <f t="shared" ca="1" si="2"/>
        <v>453.68965185880302</v>
      </c>
      <c r="X38" s="253">
        <f t="shared" ca="1" si="2"/>
        <v>453.68965185880302</v>
      </c>
      <c r="Y38" s="253">
        <f t="shared" ca="1" si="2"/>
        <v>453.68965185880302</v>
      </c>
      <c r="Z38" s="253">
        <f t="shared" ca="1" si="2"/>
        <v>453.68965185880302</v>
      </c>
      <c r="AA38" s="253">
        <f t="shared" ca="1" si="2"/>
        <v>453.68965185880302</v>
      </c>
    </row>
    <row r="39" spans="2:27" s="183" customFormat="1" ht="33" customHeight="1" x14ac:dyDescent="0.25">
      <c r="B39" s="425"/>
      <c r="C39" s="224" t="s">
        <v>374</v>
      </c>
      <c r="D39" s="252">
        <f ca="1">SUM(F39:AA39)</f>
        <v>8620.1033853171994</v>
      </c>
      <c r="E39" s="250" t="s">
        <v>120</v>
      </c>
      <c r="F39" s="252"/>
      <c r="G39" s="254"/>
      <c r="H39" s="253">
        <f ca="1">IF(H35&lt;=$D$6,$D$11*(1-$D$13)/($D$12),0)</f>
        <v>574.67355902114673</v>
      </c>
      <c r="I39" s="253">
        <f t="shared" ref="I39:AA39" ca="1" si="3">IF(I35&lt;=$D$6,$D$11*(1-$D$13)/($D$12),0)</f>
        <v>574.67355902114673</v>
      </c>
      <c r="J39" s="253">
        <f t="shared" ca="1" si="3"/>
        <v>574.67355902114673</v>
      </c>
      <c r="K39" s="253">
        <f t="shared" ca="1" si="3"/>
        <v>574.67355902114673</v>
      </c>
      <c r="L39" s="253">
        <f t="shared" ca="1" si="3"/>
        <v>574.67355902114673</v>
      </c>
      <c r="M39" s="253">
        <f t="shared" ca="1" si="3"/>
        <v>574.67355902114673</v>
      </c>
      <c r="N39" s="253">
        <f t="shared" ca="1" si="3"/>
        <v>574.67355902114673</v>
      </c>
      <c r="O39" s="253">
        <f t="shared" ca="1" si="3"/>
        <v>574.67355902114673</v>
      </c>
      <c r="P39" s="253">
        <f t="shared" ca="1" si="3"/>
        <v>574.67355902114673</v>
      </c>
      <c r="Q39" s="253">
        <f t="shared" ca="1" si="3"/>
        <v>574.67355902114673</v>
      </c>
      <c r="R39" s="253">
        <f t="shared" ca="1" si="3"/>
        <v>574.67355902114673</v>
      </c>
      <c r="S39" s="253">
        <f t="shared" ca="1" si="3"/>
        <v>574.67355902114673</v>
      </c>
      <c r="T39" s="253">
        <f t="shared" ca="1" si="3"/>
        <v>574.67355902114673</v>
      </c>
      <c r="U39" s="253">
        <f t="shared" ca="1" si="3"/>
        <v>574.67355902114673</v>
      </c>
      <c r="V39" s="253">
        <f t="shared" ca="1" si="3"/>
        <v>574.67355902114673</v>
      </c>
      <c r="W39" s="253">
        <f t="shared" si="3"/>
        <v>0</v>
      </c>
      <c r="X39" s="253">
        <f t="shared" si="3"/>
        <v>0</v>
      </c>
      <c r="Y39" s="253">
        <f t="shared" si="3"/>
        <v>0</v>
      </c>
      <c r="Z39" s="253">
        <f t="shared" si="3"/>
        <v>0</v>
      </c>
      <c r="AA39" s="253">
        <f t="shared" si="3"/>
        <v>0</v>
      </c>
    </row>
    <row r="40" spans="2:27" s="183" customFormat="1" ht="33" customHeight="1" x14ac:dyDescent="0.25">
      <c r="B40" s="425">
        <v>3</v>
      </c>
      <c r="C40" s="224" t="s">
        <v>375</v>
      </c>
      <c r="D40" s="252"/>
      <c r="E40" s="250" t="s">
        <v>120</v>
      </c>
      <c r="F40" s="252">
        <f ca="1">D15*'表1-资金筹措及还本付息表'!F5</f>
        <v>5415.1004186758182</v>
      </c>
      <c r="G40" s="254">
        <f ca="1">D15*'表1-资金筹措及还本付息表'!G5</f>
        <v>3610.0669457838794</v>
      </c>
      <c r="H40" s="253">
        <f ca="1">F40+G40-H41</f>
        <v>8167.7764648360262</v>
      </c>
      <c r="I40" s="253">
        <f ca="1">H40-I41</f>
        <v>7310.3855652123548</v>
      </c>
      <c r="J40" s="253">
        <f t="shared" ref="J40:AA40" ca="1" si="4">I40-J41</f>
        <v>6452.9946655886833</v>
      </c>
      <c r="K40" s="253">
        <f t="shared" ca="1" si="4"/>
        <v>5595.6037659650119</v>
      </c>
      <c r="L40" s="253">
        <f t="shared" ca="1" si="4"/>
        <v>4738.2128663413405</v>
      </c>
      <c r="M40" s="253">
        <f t="shared" ca="1" si="4"/>
        <v>3880.8219667176691</v>
      </c>
      <c r="N40" s="253">
        <f t="shared" ca="1" si="4"/>
        <v>3023.4310670939976</v>
      </c>
      <c r="O40" s="253">
        <f t="shared" ca="1" si="4"/>
        <v>2166.0401674703262</v>
      </c>
      <c r="P40" s="253">
        <f t="shared" ca="1" si="4"/>
        <v>1308.649267846655</v>
      </c>
      <c r="Q40" s="253">
        <f t="shared" ca="1" si="4"/>
        <v>451.25836822298379</v>
      </c>
      <c r="R40" s="253">
        <f t="shared" ca="1" si="4"/>
        <v>451.25836822298379</v>
      </c>
      <c r="S40" s="253">
        <f t="shared" ca="1" si="4"/>
        <v>451.25836822298379</v>
      </c>
      <c r="T40" s="253">
        <f t="shared" ca="1" si="4"/>
        <v>451.25836822298379</v>
      </c>
      <c r="U40" s="253">
        <f t="shared" ca="1" si="4"/>
        <v>451.25836822298379</v>
      </c>
      <c r="V40" s="253">
        <f t="shared" ca="1" si="4"/>
        <v>451.25836822298379</v>
      </c>
      <c r="W40" s="253">
        <f t="shared" ca="1" si="4"/>
        <v>451.25836822298379</v>
      </c>
      <c r="X40" s="253">
        <f t="shared" ca="1" si="4"/>
        <v>451.25836822298379</v>
      </c>
      <c r="Y40" s="253">
        <f t="shared" ca="1" si="4"/>
        <v>451.25836822298379</v>
      </c>
      <c r="Z40" s="253">
        <f t="shared" ca="1" si="4"/>
        <v>451.25836822298379</v>
      </c>
      <c r="AA40" s="253">
        <f t="shared" ca="1" si="4"/>
        <v>451.25836822298379</v>
      </c>
    </row>
    <row r="41" spans="2:27" s="183" customFormat="1" ht="33" customHeight="1" x14ac:dyDescent="0.25">
      <c r="B41" s="425"/>
      <c r="C41" s="224" t="s">
        <v>374</v>
      </c>
      <c r="D41" s="252">
        <f ca="1">SUM(F41:AA41)</f>
        <v>8573.9089962367125</v>
      </c>
      <c r="E41" s="250" t="s">
        <v>120</v>
      </c>
      <c r="F41" s="252"/>
      <c r="G41" s="254"/>
      <c r="H41" s="253">
        <f ca="1">IF(H35&lt;=$D$16,$D$15*(1-$D$17)/($D$16),0)</f>
        <v>857.3908996236712</v>
      </c>
      <c r="I41" s="253">
        <f t="shared" ref="I41:R41" ca="1" si="5">IF(I35&lt;=$D$16,$D$15*(1-$D$17)/($D$16),0)</f>
        <v>857.3908996236712</v>
      </c>
      <c r="J41" s="253">
        <f t="shared" ca="1" si="5"/>
        <v>857.3908996236712</v>
      </c>
      <c r="K41" s="253">
        <f t="shared" ca="1" si="5"/>
        <v>857.3908996236712</v>
      </c>
      <c r="L41" s="253">
        <f t="shared" ca="1" si="5"/>
        <v>857.3908996236712</v>
      </c>
      <c r="M41" s="253">
        <f t="shared" ca="1" si="5"/>
        <v>857.3908996236712</v>
      </c>
      <c r="N41" s="253">
        <f t="shared" ca="1" si="5"/>
        <v>857.3908996236712</v>
      </c>
      <c r="O41" s="253">
        <f t="shared" ca="1" si="5"/>
        <v>857.3908996236712</v>
      </c>
      <c r="P41" s="253">
        <f t="shared" ca="1" si="5"/>
        <v>857.3908996236712</v>
      </c>
      <c r="Q41" s="253">
        <f t="shared" ca="1" si="5"/>
        <v>857.3908996236712</v>
      </c>
      <c r="R41" s="253">
        <f t="shared" si="5"/>
        <v>0</v>
      </c>
      <c r="S41" s="253"/>
      <c r="T41" s="253"/>
      <c r="U41" s="253"/>
      <c r="V41" s="253"/>
      <c r="W41" s="253"/>
      <c r="X41" s="253"/>
      <c r="Y41" s="253"/>
      <c r="Z41" s="253"/>
      <c r="AA41" s="253"/>
    </row>
    <row r="42" spans="2:27" ht="25" customHeight="1" x14ac:dyDescent="0.25">
      <c r="B42" s="426">
        <v>2</v>
      </c>
      <c r="C42" s="243" t="s">
        <v>376</v>
      </c>
      <c r="D42" s="255"/>
      <c r="E42" s="256" t="s">
        <v>120</v>
      </c>
      <c r="F42" s="255"/>
      <c r="G42" s="257"/>
      <c r="H42" s="255">
        <v>0</v>
      </c>
      <c r="I42" s="255">
        <f>H45</f>
        <v>0</v>
      </c>
      <c r="J42" s="255">
        <f t="shared" ref="J42:AA42" si="6">I45</f>
        <v>0</v>
      </c>
      <c r="K42" s="255">
        <f t="shared" si="6"/>
        <v>0</v>
      </c>
      <c r="L42" s="255">
        <f t="shared" si="6"/>
        <v>0</v>
      </c>
      <c r="M42" s="255">
        <f t="shared" si="6"/>
        <v>0</v>
      </c>
      <c r="N42" s="255">
        <f t="shared" si="6"/>
        <v>0</v>
      </c>
      <c r="O42" s="255">
        <f t="shared" si="6"/>
        <v>0</v>
      </c>
      <c r="P42" s="255">
        <f t="shared" si="6"/>
        <v>0</v>
      </c>
      <c r="Q42" s="255">
        <f t="shared" si="6"/>
        <v>0</v>
      </c>
      <c r="R42" s="255">
        <f t="shared" si="6"/>
        <v>0</v>
      </c>
      <c r="S42" s="255">
        <f t="shared" si="6"/>
        <v>0</v>
      </c>
      <c r="T42" s="255">
        <f t="shared" si="6"/>
        <v>0</v>
      </c>
      <c r="U42" s="255">
        <f t="shared" si="6"/>
        <v>0</v>
      </c>
      <c r="V42" s="255">
        <f t="shared" si="6"/>
        <v>0</v>
      </c>
      <c r="W42" s="255">
        <f t="shared" si="6"/>
        <v>0</v>
      </c>
      <c r="X42" s="255">
        <f t="shared" si="6"/>
        <v>0</v>
      </c>
      <c r="Y42" s="255">
        <f t="shared" si="6"/>
        <v>0</v>
      </c>
      <c r="Z42" s="255">
        <f t="shared" si="6"/>
        <v>0</v>
      </c>
      <c r="AA42" s="255">
        <f t="shared" si="6"/>
        <v>0</v>
      </c>
    </row>
    <row r="43" spans="2:27" ht="25" customHeight="1" x14ac:dyDescent="0.25">
      <c r="B43" s="427"/>
      <c r="C43" s="243" t="s">
        <v>377</v>
      </c>
      <c r="D43" s="255"/>
      <c r="E43" s="256"/>
      <c r="F43" s="255"/>
      <c r="G43" s="257"/>
      <c r="H43" s="255">
        <f>参数输入表!H631/(1+参数输入表!H653)</f>
        <v>0</v>
      </c>
      <c r="I43" s="255">
        <f>参数输入表!H632/(1+参数输入表!H653)</f>
        <v>0</v>
      </c>
      <c r="J43" s="255">
        <f>参数输入表!H633/(1+参数输入表!H653)</f>
        <v>0</v>
      </c>
      <c r="K43" s="255">
        <f>参数输入表!H634/(1+参数输入表!H653)</f>
        <v>0</v>
      </c>
      <c r="L43" s="255">
        <f>参数输入表!H635/(1+参数输入表!H653)</f>
        <v>0</v>
      </c>
      <c r="M43" s="255">
        <f>参数输入表!H636/(1+参数输入表!H653)</f>
        <v>0</v>
      </c>
      <c r="N43" s="255">
        <f>参数输入表!H637/(1+参数输入表!H653)</f>
        <v>0</v>
      </c>
      <c r="O43" s="255">
        <f>参数输入表!H638/(1+参数输入表!H653)</f>
        <v>0</v>
      </c>
      <c r="P43" s="255">
        <f>参数输入表!H639/(1+参数输入表!H653)</f>
        <v>0</v>
      </c>
      <c r="Q43" s="255">
        <f>参数输入表!H640/(1+参数输入表!H653)</f>
        <v>0</v>
      </c>
      <c r="R43" s="255">
        <f>参数输入表!H641/(1+参数输入表!H653)</f>
        <v>0</v>
      </c>
      <c r="S43" s="255">
        <f>参数输入表!H642/(1+参数输入表!H653)</f>
        <v>0</v>
      </c>
      <c r="T43" s="255">
        <f>参数输入表!H643/(1+参数输入表!H653)</f>
        <v>0</v>
      </c>
      <c r="U43" s="255">
        <f>参数输入表!H644/(1+参数输入表!H653)</f>
        <v>0</v>
      </c>
      <c r="V43" s="255">
        <f>参数输入表!H645/(1+参数输入表!H653)</f>
        <v>0</v>
      </c>
      <c r="W43" s="255">
        <f>参数输入表!H646/(1+参数输入表!H653)</f>
        <v>0</v>
      </c>
      <c r="X43" s="255">
        <f>参数输入表!H647/(1+参数输入表!H653)</f>
        <v>0</v>
      </c>
      <c r="Y43" s="255">
        <f>参数输入表!H648/(1+参数输入表!H653)</f>
        <v>0</v>
      </c>
      <c r="Z43" s="255">
        <f>参数输入表!H649/(1+参数输入表!H653)</f>
        <v>0</v>
      </c>
      <c r="AA43" s="255">
        <f>参数输入表!H650/(1+参数输入表!H653)</f>
        <v>0</v>
      </c>
    </row>
    <row r="44" spans="2:27" ht="25" customHeight="1" x14ac:dyDescent="0.25">
      <c r="B44" s="427"/>
      <c r="C44" s="243" t="s">
        <v>378</v>
      </c>
      <c r="D44" s="255">
        <f>SUM(F44:AA44)</f>
        <v>0</v>
      </c>
      <c r="E44" s="256" t="s">
        <v>120</v>
      </c>
      <c r="F44" s="255"/>
      <c r="G44" s="257"/>
      <c r="H44" s="255">
        <f>H43/$D$24</f>
        <v>0</v>
      </c>
      <c r="I44" s="255">
        <f>H44</f>
        <v>0</v>
      </c>
      <c r="J44" s="255">
        <f t="shared" ref="J44:Y44" si="7">I44</f>
        <v>0</v>
      </c>
      <c r="K44" s="255">
        <f t="shared" si="7"/>
        <v>0</v>
      </c>
      <c r="L44" s="255">
        <f t="shared" si="7"/>
        <v>0</v>
      </c>
      <c r="M44" s="255">
        <f>M43/$D$24</f>
        <v>0</v>
      </c>
      <c r="N44" s="255">
        <f t="shared" si="7"/>
        <v>0</v>
      </c>
      <c r="O44" s="255">
        <f t="shared" si="7"/>
        <v>0</v>
      </c>
      <c r="P44" s="255">
        <f t="shared" si="7"/>
        <v>0</v>
      </c>
      <c r="Q44" s="255">
        <f t="shared" si="7"/>
        <v>0</v>
      </c>
      <c r="R44" s="255">
        <f>R43/$D$24</f>
        <v>0</v>
      </c>
      <c r="S44" s="255">
        <f t="shared" si="7"/>
        <v>0</v>
      </c>
      <c r="T44" s="255">
        <f t="shared" si="7"/>
        <v>0</v>
      </c>
      <c r="U44" s="255">
        <f t="shared" si="7"/>
        <v>0</v>
      </c>
      <c r="V44" s="255">
        <f t="shared" si="7"/>
        <v>0</v>
      </c>
      <c r="W44" s="255">
        <f>W43/$D$24</f>
        <v>0</v>
      </c>
      <c r="X44" s="255">
        <f t="shared" si="7"/>
        <v>0</v>
      </c>
      <c r="Y44" s="255">
        <f t="shared" si="7"/>
        <v>0</v>
      </c>
      <c r="Z44" s="255">
        <f t="shared" ref="Z44" si="8">Y44</f>
        <v>0</v>
      </c>
      <c r="AA44" s="255">
        <f t="shared" ref="AA44" si="9">Z44</f>
        <v>0</v>
      </c>
    </row>
    <row r="45" spans="2:27" ht="25" customHeight="1" x14ac:dyDescent="0.25">
      <c r="B45" s="428"/>
      <c r="C45" s="243" t="s">
        <v>379</v>
      </c>
      <c r="D45" s="255"/>
      <c r="E45" s="256"/>
      <c r="F45" s="255"/>
      <c r="G45" s="257"/>
      <c r="H45" s="255">
        <f>H42+H43-H44</f>
        <v>0</v>
      </c>
      <c r="I45" s="255">
        <f t="shared" ref="I45:AA45" si="10">I42+I43-I44</f>
        <v>0</v>
      </c>
      <c r="J45" s="255">
        <f t="shared" si="10"/>
        <v>0</v>
      </c>
      <c r="K45" s="255">
        <f t="shared" si="10"/>
        <v>0</v>
      </c>
      <c r="L45" s="255">
        <f t="shared" si="10"/>
        <v>0</v>
      </c>
      <c r="M45" s="255">
        <f t="shared" si="10"/>
        <v>0</v>
      </c>
      <c r="N45" s="255">
        <f t="shared" si="10"/>
        <v>0</v>
      </c>
      <c r="O45" s="255">
        <f t="shared" si="10"/>
        <v>0</v>
      </c>
      <c r="P45" s="255">
        <f t="shared" si="10"/>
        <v>0</v>
      </c>
      <c r="Q45" s="255">
        <f t="shared" si="10"/>
        <v>0</v>
      </c>
      <c r="R45" s="255">
        <f t="shared" si="10"/>
        <v>0</v>
      </c>
      <c r="S45" s="255">
        <f t="shared" si="10"/>
        <v>0</v>
      </c>
      <c r="T45" s="255">
        <f t="shared" si="10"/>
        <v>0</v>
      </c>
      <c r="U45" s="255">
        <f t="shared" si="10"/>
        <v>0</v>
      </c>
      <c r="V45" s="255">
        <f t="shared" si="10"/>
        <v>0</v>
      </c>
      <c r="W45" s="255">
        <f t="shared" si="10"/>
        <v>0</v>
      </c>
      <c r="X45" s="255">
        <f t="shared" si="10"/>
        <v>0</v>
      </c>
      <c r="Y45" s="255">
        <f t="shared" si="10"/>
        <v>0</v>
      </c>
      <c r="Z45" s="255">
        <f t="shared" si="10"/>
        <v>0</v>
      </c>
      <c r="AA45" s="255">
        <f t="shared" si="10"/>
        <v>0</v>
      </c>
    </row>
    <row r="46" spans="2:27" ht="25" customHeight="1" x14ac:dyDescent="0.25">
      <c r="B46" s="426">
        <v>3</v>
      </c>
      <c r="C46" s="243" t="s">
        <v>380</v>
      </c>
      <c r="D46" s="243"/>
      <c r="E46" s="256" t="s">
        <v>120</v>
      </c>
      <c r="F46" s="255">
        <f>参数输入表!$H$625*参数输入表!$H$102</f>
        <v>9884.4</v>
      </c>
      <c r="G46" s="255">
        <f>参数输入表!$H$625*参数输入表!$H$103</f>
        <v>6589.6</v>
      </c>
      <c r="H46" s="258">
        <f>G46-H47+F46</f>
        <v>15924.866666666667</v>
      </c>
      <c r="I46" s="258">
        <f t="shared" ref="I46:Y46" si="11">H46-I47</f>
        <v>15375.733333333334</v>
      </c>
      <c r="J46" s="258">
        <f t="shared" si="11"/>
        <v>14826.6</v>
      </c>
      <c r="K46" s="258">
        <f t="shared" si="11"/>
        <v>14277.466666666667</v>
      </c>
      <c r="L46" s="258">
        <f t="shared" si="11"/>
        <v>13728.333333333334</v>
      </c>
      <c r="M46" s="258">
        <f t="shared" si="11"/>
        <v>13179.2</v>
      </c>
      <c r="N46" s="258">
        <f t="shared" si="11"/>
        <v>12630.066666666668</v>
      </c>
      <c r="O46" s="258">
        <f t="shared" si="11"/>
        <v>12080.933333333334</v>
      </c>
      <c r="P46" s="258">
        <f t="shared" si="11"/>
        <v>11531.800000000001</v>
      </c>
      <c r="Q46" s="258">
        <f t="shared" si="11"/>
        <v>10982.666666666668</v>
      </c>
      <c r="R46" s="258">
        <f t="shared" si="11"/>
        <v>10433.533333333335</v>
      </c>
      <c r="S46" s="258">
        <f t="shared" si="11"/>
        <v>9884.4000000000015</v>
      </c>
      <c r="T46" s="258">
        <f t="shared" si="11"/>
        <v>9335.2666666666682</v>
      </c>
      <c r="U46" s="258">
        <f t="shared" si="11"/>
        <v>8786.133333333335</v>
      </c>
      <c r="V46" s="258">
        <f t="shared" si="11"/>
        <v>8237.0000000000018</v>
      </c>
      <c r="W46" s="258">
        <f t="shared" si="11"/>
        <v>7687.8666666666686</v>
      </c>
      <c r="X46" s="258">
        <f t="shared" si="11"/>
        <v>7138.7333333333354</v>
      </c>
      <c r="Y46" s="258">
        <f t="shared" si="11"/>
        <v>6589.6000000000022</v>
      </c>
      <c r="Z46" s="258">
        <f t="shared" ref="Z46" si="12">Y46-Z47</f>
        <v>6040.466666666669</v>
      </c>
      <c r="AA46" s="258">
        <f t="shared" ref="AA46" si="13">Z46-AA47</f>
        <v>5491.3333333333358</v>
      </c>
    </row>
    <row r="47" spans="2:27" ht="25" customHeight="1" x14ac:dyDescent="0.25">
      <c r="B47" s="428"/>
      <c r="C47" s="243" t="s">
        <v>381</v>
      </c>
      <c r="D47" s="255">
        <f>SUM(F47:AA47)</f>
        <v>10982.666666666666</v>
      </c>
      <c r="E47" s="256" t="s">
        <v>120</v>
      </c>
      <c r="F47" s="255"/>
      <c r="G47" s="255"/>
      <c r="H47" s="255">
        <f>IF(H35&lt;=$D$27,D25*(1-$D$28)/($D$27-H35+1),0)</f>
        <v>549.13333333333333</v>
      </c>
      <c r="I47" s="255">
        <f t="shared" ref="I47:AA47" si="14">IF(I35&lt;=$D$27,H46*(1-$D$28)/($D$27-I35+1),0)</f>
        <v>549.13333333333333</v>
      </c>
      <c r="J47" s="255">
        <f t="shared" si="14"/>
        <v>549.13333333333333</v>
      </c>
      <c r="K47" s="255">
        <f t="shared" si="14"/>
        <v>549.13333333333333</v>
      </c>
      <c r="L47" s="255">
        <f t="shared" si="14"/>
        <v>549.13333333333333</v>
      </c>
      <c r="M47" s="255">
        <f t="shared" si="14"/>
        <v>549.13333333333333</v>
      </c>
      <c r="N47" s="255">
        <f t="shared" si="14"/>
        <v>549.13333333333333</v>
      </c>
      <c r="O47" s="255">
        <f t="shared" si="14"/>
        <v>549.13333333333333</v>
      </c>
      <c r="P47" s="255">
        <f t="shared" si="14"/>
        <v>549.13333333333333</v>
      </c>
      <c r="Q47" s="255">
        <f t="shared" si="14"/>
        <v>549.13333333333344</v>
      </c>
      <c r="R47" s="255">
        <f t="shared" si="14"/>
        <v>549.13333333333344</v>
      </c>
      <c r="S47" s="255">
        <f t="shared" si="14"/>
        <v>549.13333333333344</v>
      </c>
      <c r="T47" s="255">
        <f t="shared" si="14"/>
        <v>549.13333333333344</v>
      </c>
      <c r="U47" s="255">
        <f t="shared" si="14"/>
        <v>549.13333333333344</v>
      </c>
      <c r="V47" s="255">
        <f t="shared" si="14"/>
        <v>549.13333333333344</v>
      </c>
      <c r="W47" s="255">
        <f t="shared" si="14"/>
        <v>549.13333333333344</v>
      </c>
      <c r="X47" s="255">
        <f t="shared" si="14"/>
        <v>549.13333333333344</v>
      </c>
      <c r="Y47" s="255">
        <f t="shared" si="14"/>
        <v>549.13333333333344</v>
      </c>
      <c r="Z47" s="255">
        <f t="shared" si="14"/>
        <v>549.13333333333355</v>
      </c>
      <c r="AA47" s="255">
        <f t="shared" si="14"/>
        <v>549.13333333333355</v>
      </c>
    </row>
    <row r="48" spans="2:27" ht="23" customHeight="1" x14ac:dyDescent="0.25">
      <c r="B48" s="429">
        <v>4</v>
      </c>
      <c r="C48" s="243" t="s">
        <v>382</v>
      </c>
      <c r="D48" s="255"/>
      <c r="E48" s="256" t="s">
        <v>120</v>
      </c>
      <c r="F48" s="255"/>
      <c r="G48" s="255"/>
      <c r="H48" s="255">
        <v>0</v>
      </c>
      <c r="I48" s="255">
        <f>H51</f>
        <v>0</v>
      </c>
      <c r="J48" s="255">
        <f t="shared" ref="J48:AA48" si="15">I51</f>
        <v>0</v>
      </c>
      <c r="K48" s="255">
        <f t="shared" si="15"/>
        <v>0</v>
      </c>
      <c r="L48" s="255">
        <f t="shared" si="15"/>
        <v>0</v>
      </c>
      <c r="M48" s="255">
        <f t="shared" si="15"/>
        <v>0</v>
      </c>
      <c r="N48" s="255">
        <f t="shared" si="15"/>
        <v>0</v>
      </c>
      <c r="O48" s="255">
        <f t="shared" si="15"/>
        <v>0</v>
      </c>
      <c r="P48" s="255">
        <f t="shared" si="15"/>
        <v>0</v>
      </c>
      <c r="Q48" s="255">
        <f t="shared" si="15"/>
        <v>0</v>
      </c>
      <c r="R48" s="255">
        <f t="shared" si="15"/>
        <v>0</v>
      </c>
      <c r="S48" s="255">
        <f t="shared" si="15"/>
        <v>0</v>
      </c>
      <c r="T48" s="255">
        <f t="shared" si="15"/>
        <v>400.44247787610624</v>
      </c>
      <c r="U48" s="255">
        <f t="shared" si="15"/>
        <v>358.40707964601773</v>
      </c>
      <c r="V48" s="255">
        <f t="shared" si="15"/>
        <v>316.37168141592923</v>
      </c>
      <c r="W48" s="255">
        <f t="shared" si="15"/>
        <v>274.33628318584073</v>
      </c>
      <c r="X48" s="255">
        <f t="shared" si="15"/>
        <v>232.30088495575222</v>
      </c>
      <c r="Y48" s="255">
        <f t="shared" si="15"/>
        <v>190.26548672566372</v>
      </c>
      <c r="Z48" s="255">
        <f t="shared" si="15"/>
        <v>148.23008849557522</v>
      </c>
      <c r="AA48" s="255">
        <f t="shared" si="15"/>
        <v>106.19469026548671</v>
      </c>
    </row>
    <row r="49" spans="2:27" ht="23" customHeight="1" x14ac:dyDescent="0.25">
      <c r="B49" s="429"/>
      <c r="C49" s="243" t="s">
        <v>383</v>
      </c>
      <c r="D49" s="255"/>
      <c r="E49" s="256"/>
      <c r="F49" s="255"/>
      <c r="G49" s="255"/>
      <c r="H49" s="255">
        <f>参数输入表!H656/(1+参数输入表!$H$679)</f>
        <v>0</v>
      </c>
      <c r="I49" s="255">
        <f>参数输入表!H657/(1+参数输入表!$H$679)</f>
        <v>0</v>
      </c>
      <c r="J49" s="255">
        <f>参数输入表!H658/(1+参数输入表!$H$679)</f>
        <v>0</v>
      </c>
      <c r="K49" s="255">
        <f>参数输入表!H659/(1+参数输入表!$H$679)</f>
        <v>0</v>
      </c>
      <c r="L49" s="255">
        <f>参数输入表!H660/(1+参数输入表!$H$679)</f>
        <v>0</v>
      </c>
      <c r="M49" s="255">
        <f>参数输入表!H661/(1+参数输入表!$H$679)</f>
        <v>0</v>
      </c>
      <c r="N49" s="255">
        <f>参数输入表!H662/(1+参数输入表!$H$679)</f>
        <v>0</v>
      </c>
      <c r="O49" s="255">
        <f>参数输入表!H663/(1+参数输入表!$H$679)</f>
        <v>0</v>
      </c>
      <c r="P49" s="255">
        <f>参数输入表!H664/(1+参数输入表!$H$679)</f>
        <v>0</v>
      </c>
      <c r="Q49" s="255">
        <f>参数输入表!H665/(1+参数输入表!$H$679)</f>
        <v>0</v>
      </c>
      <c r="R49" s="255">
        <f>R30</f>
        <v>0</v>
      </c>
      <c r="S49" s="255">
        <f>参数输入表!H667/(1+参数输入表!$H$679)</f>
        <v>442.47787610619474</v>
      </c>
      <c r="T49" s="255">
        <f>参数输入表!H668/(1+参数输入表!$H$679)</f>
        <v>0</v>
      </c>
      <c r="U49" s="255">
        <f>参数输入表!H669/(1+参数输入表!$H$679)</f>
        <v>0</v>
      </c>
      <c r="V49" s="255">
        <f>参数输入表!H670/(1+参数输入表!$H$679)</f>
        <v>0</v>
      </c>
      <c r="W49" s="255">
        <f>参数输入表!H671/(1+参数输入表!$H$679)</f>
        <v>0</v>
      </c>
      <c r="X49" s="255">
        <f>参数输入表!H672/(1+参数输入表!$H$679)</f>
        <v>0</v>
      </c>
      <c r="Y49" s="255">
        <f>参数输入表!H673/(1+参数输入表!$H$679)</f>
        <v>0</v>
      </c>
      <c r="Z49" s="255">
        <f>参数输入表!H674/(1+参数输入表!$H$679)</f>
        <v>0</v>
      </c>
      <c r="AA49" s="255">
        <f>参数输入表!H675/(1+参数输入表!$H$679)</f>
        <v>0</v>
      </c>
    </row>
    <row r="50" spans="2:27" ht="23" customHeight="1" x14ac:dyDescent="0.25">
      <c r="B50" s="429"/>
      <c r="C50" s="243" t="s">
        <v>384</v>
      </c>
      <c r="D50" s="255">
        <f>SUM(F50:AA50)</f>
        <v>378.31858407079648</v>
      </c>
      <c r="E50" s="256" t="s">
        <v>120</v>
      </c>
      <c r="F50" s="255"/>
      <c r="G50" s="255"/>
      <c r="H50" s="255">
        <v>0</v>
      </c>
      <c r="I50" s="255">
        <v>0</v>
      </c>
      <c r="J50" s="255">
        <v>0</v>
      </c>
      <c r="K50" s="255">
        <v>0</v>
      </c>
      <c r="L50" s="255">
        <v>0</v>
      </c>
      <c r="M50" s="255">
        <v>0</v>
      </c>
      <c r="N50" s="255">
        <v>0</v>
      </c>
      <c r="O50" s="255">
        <v>0</v>
      </c>
      <c r="P50" s="255">
        <v>0</v>
      </c>
      <c r="Q50" s="255">
        <f>Q49/D31</f>
        <v>0</v>
      </c>
      <c r="R50" s="255">
        <f>R30*(1-$D$32)/$D$31</f>
        <v>0</v>
      </c>
      <c r="S50" s="255">
        <f>S49*(1-$D$32)/$D$31+R50</f>
        <v>42.035398230088497</v>
      </c>
      <c r="T50" s="255">
        <f>S50</f>
        <v>42.035398230088497</v>
      </c>
      <c r="U50" s="255">
        <f>T50</f>
        <v>42.035398230088497</v>
      </c>
      <c r="V50" s="255">
        <f t="shared" ref="V50:AA50" si="16">U50</f>
        <v>42.035398230088497</v>
      </c>
      <c r="W50" s="255">
        <f t="shared" si="16"/>
        <v>42.035398230088497</v>
      </c>
      <c r="X50" s="255">
        <f t="shared" si="16"/>
        <v>42.035398230088497</v>
      </c>
      <c r="Y50" s="255">
        <f t="shared" si="16"/>
        <v>42.035398230088497</v>
      </c>
      <c r="Z50" s="255">
        <f t="shared" si="16"/>
        <v>42.035398230088497</v>
      </c>
      <c r="AA50" s="255">
        <f t="shared" si="16"/>
        <v>42.035398230088497</v>
      </c>
    </row>
    <row r="51" spans="2:27" ht="23" customHeight="1" x14ac:dyDescent="0.25">
      <c r="B51" s="429"/>
      <c r="C51" s="243" t="s">
        <v>385</v>
      </c>
      <c r="D51" s="255"/>
      <c r="E51" s="256"/>
      <c r="F51" s="255"/>
      <c r="G51" s="255"/>
      <c r="H51" s="255">
        <f>H48+H49-H50</f>
        <v>0</v>
      </c>
      <c r="I51" s="255">
        <f t="shared" ref="I51:AA51" si="17">I48+I49-I50</f>
        <v>0</v>
      </c>
      <c r="J51" s="255">
        <f t="shared" si="17"/>
        <v>0</v>
      </c>
      <c r="K51" s="255">
        <f t="shared" si="17"/>
        <v>0</v>
      </c>
      <c r="L51" s="255">
        <f t="shared" si="17"/>
        <v>0</v>
      </c>
      <c r="M51" s="255">
        <f t="shared" si="17"/>
        <v>0</v>
      </c>
      <c r="N51" s="255">
        <f t="shared" si="17"/>
        <v>0</v>
      </c>
      <c r="O51" s="255">
        <f t="shared" si="17"/>
        <v>0</v>
      </c>
      <c r="P51" s="255">
        <f t="shared" si="17"/>
        <v>0</v>
      </c>
      <c r="Q51" s="255">
        <f t="shared" si="17"/>
        <v>0</v>
      </c>
      <c r="R51" s="255">
        <f t="shared" si="17"/>
        <v>0</v>
      </c>
      <c r="S51" s="255">
        <f t="shared" si="17"/>
        <v>400.44247787610624</v>
      </c>
      <c r="T51" s="255">
        <f t="shared" si="17"/>
        <v>358.40707964601773</v>
      </c>
      <c r="U51" s="255">
        <f t="shared" si="17"/>
        <v>316.37168141592923</v>
      </c>
      <c r="V51" s="255">
        <f t="shared" si="17"/>
        <v>274.33628318584073</v>
      </c>
      <c r="W51" s="255">
        <f t="shared" si="17"/>
        <v>232.30088495575222</v>
      </c>
      <c r="X51" s="255">
        <f t="shared" si="17"/>
        <v>190.26548672566372</v>
      </c>
      <c r="Y51" s="255">
        <f t="shared" si="17"/>
        <v>148.23008849557522</v>
      </c>
      <c r="Z51" s="255">
        <f t="shared" si="17"/>
        <v>106.19469026548671</v>
      </c>
      <c r="AA51" s="255">
        <f t="shared" si="17"/>
        <v>64.159292035398209</v>
      </c>
    </row>
    <row r="52" spans="2:27" ht="30" customHeight="1" x14ac:dyDescent="0.25">
      <c r="B52" s="259">
        <v>5</v>
      </c>
      <c r="C52" s="260" t="s">
        <v>386</v>
      </c>
      <c r="D52" s="261">
        <f ca="1">SUM(F52:AA52)</f>
        <v>55402.198961966402</v>
      </c>
      <c r="E52" s="256" t="s">
        <v>120</v>
      </c>
      <c r="F52" s="262">
        <f>F37+F44+F47+F50</f>
        <v>0</v>
      </c>
      <c r="G52" s="262">
        <f>G37+G44+G47+G50</f>
        <v>0</v>
      </c>
      <c r="H52" s="262">
        <f ca="1">H37+H44+H47+H50+H39+H41</f>
        <v>3771.0112139564862</v>
      </c>
      <c r="I52" s="262">
        <f ca="1">I37+I44+I47+I50+I39+I41</f>
        <v>3771.0112139564862</v>
      </c>
      <c r="J52" s="262">
        <f t="shared" ref="J52:AA52" ca="1" si="18">J37+J44+J47+J50+J39+J41</f>
        <v>3771.0112139564862</v>
      </c>
      <c r="K52" s="262">
        <f t="shared" ca="1" si="18"/>
        <v>3771.0112139564862</v>
      </c>
      <c r="L52" s="262">
        <f t="shared" ca="1" si="18"/>
        <v>3771.0112139564862</v>
      </c>
      <c r="M52" s="262">
        <f t="shared" ca="1" si="18"/>
        <v>3771.0112139564862</v>
      </c>
      <c r="N52" s="262">
        <f t="shared" ca="1" si="18"/>
        <v>3771.0112139564862</v>
      </c>
      <c r="O52" s="262">
        <f t="shared" ca="1" si="18"/>
        <v>3771.0112139564862</v>
      </c>
      <c r="P52" s="262">
        <f t="shared" ca="1" si="18"/>
        <v>3771.0112139564862</v>
      </c>
      <c r="Q52" s="262">
        <f t="shared" ca="1" si="18"/>
        <v>3771.0112139564862</v>
      </c>
      <c r="R52" s="262">
        <f t="shared" ca="1" si="18"/>
        <v>2913.6203143328148</v>
      </c>
      <c r="S52" s="262">
        <f t="shared" ca="1" si="18"/>
        <v>2955.6557125629033</v>
      </c>
      <c r="T52" s="262">
        <f t="shared" ca="1" si="18"/>
        <v>2955.6557125629033</v>
      </c>
      <c r="U52" s="262">
        <f t="shared" ca="1" si="18"/>
        <v>2955.6557125629033</v>
      </c>
      <c r="V52" s="262">
        <f t="shared" ca="1" si="18"/>
        <v>2955.6557125629033</v>
      </c>
      <c r="W52" s="262">
        <f t="shared" si="18"/>
        <v>591.16873156342194</v>
      </c>
      <c r="X52" s="262">
        <f t="shared" si="18"/>
        <v>591.16873156342194</v>
      </c>
      <c r="Y52" s="262">
        <f t="shared" si="18"/>
        <v>591.16873156342194</v>
      </c>
      <c r="Z52" s="262">
        <f t="shared" si="18"/>
        <v>591.16873156342206</v>
      </c>
      <c r="AA52" s="262">
        <f t="shared" si="18"/>
        <v>591.16873156342206</v>
      </c>
    </row>
    <row r="53" spans="2:27" x14ac:dyDescent="0.25">
      <c r="C53" s="91" t="s">
        <v>387</v>
      </c>
      <c r="AA53" s="183">
        <f ca="1">AA36+AA51+AA38+AA40+AA46</f>
        <v>7873.4512417492024</v>
      </c>
    </row>
    <row r="55" spans="2:27" x14ac:dyDescent="0.25">
      <c r="C55" s="133" t="s">
        <v>388</v>
      </c>
    </row>
    <row r="56" spans="2:27" x14ac:dyDescent="0.25">
      <c r="C56" s="133"/>
    </row>
    <row r="57" spans="2:27" x14ac:dyDescent="0.25">
      <c r="C57" s="184" t="s">
        <v>353</v>
      </c>
    </row>
    <row r="58" spans="2:27" x14ac:dyDescent="0.25">
      <c r="C58" s="236" t="s">
        <v>139</v>
      </c>
      <c r="D58" s="237"/>
    </row>
    <row r="59" spans="2:27" x14ac:dyDescent="0.25">
      <c r="C59" s="232" t="s">
        <v>29</v>
      </c>
      <c r="D59" s="238"/>
    </row>
    <row r="60" spans="2:27" x14ac:dyDescent="0.25">
      <c r="C60" s="232" t="s">
        <v>231</v>
      </c>
      <c r="D60" s="263"/>
      <c r="F60" s="133" t="s">
        <v>389</v>
      </c>
    </row>
    <row r="61" spans="2:27" x14ac:dyDescent="0.25">
      <c r="C61" s="232" t="s">
        <v>356</v>
      </c>
      <c r="D61" s="238"/>
      <c r="F61" s="133" t="s">
        <v>390</v>
      </c>
    </row>
    <row r="62" spans="2:27" x14ac:dyDescent="0.25">
      <c r="C62" s="232" t="s">
        <v>357</v>
      </c>
      <c r="D62" s="235"/>
    </row>
    <row r="63" spans="2:27" x14ac:dyDescent="0.25">
      <c r="C63" s="234" t="s">
        <v>358</v>
      </c>
      <c r="D63" s="264"/>
    </row>
    <row r="65" spans="2:27" x14ac:dyDescent="0.25">
      <c r="B65" s="184" t="s">
        <v>391</v>
      </c>
      <c r="D65" s="248"/>
      <c r="E65" s="217"/>
    </row>
    <row r="66" spans="2:27" x14ac:dyDescent="0.25">
      <c r="B66" s="423" t="s">
        <v>14</v>
      </c>
      <c r="C66" s="423" t="s">
        <v>15</v>
      </c>
      <c r="D66" s="423" t="s">
        <v>306</v>
      </c>
      <c r="E66" s="423" t="s">
        <v>38</v>
      </c>
      <c r="F66" s="417" t="s">
        <v>93</v>
      </c>
      <c r="G66" s="417"/>
      <c r="H66" s="418" t="s">
        <v>103</v>
      </c>
      <c r="I66" s="418"/>
      <c r="J66" s="418"/>
      <c r="K66" s="418"/>
      <c r="L66" s="418"/>
      <c r="M66" s="418"/>
      <c r="N66" s="418"/>
      <c r="O66" s="418"/>
      <c r="P66" s="418"/>
      <c r="Q66" s="418"/>
      <c r="R66" s="418"/>
      <c r="S66" s="418"/>
      <c r="T66" s="418"/>
      <c r="U66" s="418"/>
      <c r="V66" s="418"/>
      <c r="W66" s="418"/>
      <c r="X66" s="418"/>
      <c r="Y66" s="418"/>
      <c r="Z66" s="418"/>
      <c r="AA66" s="418"/>
    </row>
    <row r="67" spans="2:27" x14ac:dyDescent="0.25">
      <c r="B67" s="424"/>
      <c r="C67" s="424"/>
      <c r="D67" s="424"/>
      <c r="E67" s="424"/>
      <c r="F67" s="93">
        <v>1</v>
      </c>
      <c r="G67" s="93">
        <v>2</v>
      </c>
      <c r="H67" s="94">
        <v>1</v>
      </c>
      <c r="I67" s="94">
        <v>2</v>
      </c>
      <c r="J67" s="94">
        <v>3</v>
      </c>
      <c r="K67" s="94">
        <v>4</v>
      </c>
      <c r="L67" s="94">
        <v>5</v>
      </c>
      <c r="M67" s="94">
        <v>6</v>
      </c>
      <c r="N67" s="94">
        <v>7</v>
      </c>
      <c r="O67" s="94">
        <v>8</v>
      </c>
      <c r="P67" s="94">
        <v>9</v>
      </c>
      <c r="Q67" s="94">
        <v>10</v>
      </c>
      <c r="R67" s="94">
        <v>11</v>
      </c>
      <c r="S67" s="94">
        <v>12</v>
      </c>
      <c r="T67" s="94">
        <v>13</v>
      </c>
      <c r="U67" s="94">
        <v>14</v>
      </c>
      <c r="V67" s="94">
        <v>15</v>
      </c>
      <c r="W67" s="94">
        <v>16</v>
      </c>
      <c r="X67" s="94">
        <v>17</v>
      </c>
      <c r="Y67" s="94">
        <v>18</v>
      </c>
      <c r="Z67" s="94">
        <v>19</v>
      </c>
      <c r="AA67" s="94">
        <v>20</v>
      </c>
    </row>
    <row r="68" spans="2:27" s="183" customFormat="1" ht="24" customHeight="1" x14ac:dyDescent="0.25">
      <c r="B68" s="430">
        <v>1</v>
      </c>
      <c r="C68" s="224" t="s">
        <v>392</v>
      </c>
      <c r="D68" s="249"/>
      <c r="E68" s="250" t="s">
        <v>120</v>
      </c>
      <c r="F68" s="252">
        <f ca="1">F36</f>
        <v>16956.127155584225</v>
      </c>
      <c r="G68" s="252">
        <f ca="1">G36</f>
        <v>11304.084770389483</v>
      </c>
      <c r="H68" s="252">
        <f ca="1">F68+G68-H69</f>
        <v>26470.398503995373</v>
      </c>
      <c r="I68" s="252">
        <f ca="1">H68-I69</f>
        <v>24680.585082017038</v>
      </c>
      <c r="J68" s="252">
        <f t="shared" ref="J68:AA68" ca="1" si="19">I68-J69</f>
        <v>22890.771660038703</v>
      </c>
      <c r="K68" s="252">
        <f t="shared" ca="1" si="19"/>
        <v>21100.958238060368</v>
      </c>
      <c r="L68" s="252">
        <f t="shared" ca="1" si="19"/>
        <v>19311.144816082033</v>
      </c>
      <c r="M68" s="252">
        <f t="shared" ca="1" si="19"/>
        <v>17521.331394103698</v>
      </c>
      <c r="N68" s="252">
        <f t="shared" ca="1" si="19"/>
        <v>15731.517972125363</v>
      </c>
      <c r="O68" s="252">
        <f t="shared" ca="1" si="19"/>
        <v>13941.704550147027</v>
      </c>
      <c r="P68" s="252">
        <f t="shared" ca="1" si="19"/>
        <v>12151.891128168692</v>
      </c>
      <c r="Q68" s="252">
        <f t="shared" ca="1" si="19"/>
        <v>10362.077706190357</v>
      </c>
      <c r="R68" s="252">
        <f t="shared" ca="1" si="19"/>
        <v>8572.2642842120222</v>
      </c>
      <c r="S68" s="252">
        <f t="shared" ca="1" si="19"/>
        <v>6782.4508622336871</v>
      </c>
      <c r="T68" s="252">
        <f t="shared" ca="1" si="19"/>
        <v>4992.637440255352</v>
      </c>
      <c r="U68" s="252">
        <f t="shared" ca="1" si="19"/>
        <v>3202.8240182770169</v>
      </c>
      <c r="V68" s="252">
        <f t="shared" ca="1" si="19"/>
        <v>1413.010596298682</v>
      </c>
      <c r="W68" s="252">
        <f t="shared" ca="1" si="19"/>
        <v>1413.010596298682</v>
      </c>
      <c r="X68" s="252">
        <f t="shared" ca="1" si="19"/>
        <v>1413.010596298682</v>
      </c>
      <c r="Y68" s="252">
        <f t="shared" ca="1" si="19"/>
        <v>1413.010596298682</v>
      </c>
      <c r="Z68" s="252">
        <f t="shared" ca="1" si="19"/>
        <v>1413.010596298682</v>
      </c>
      <c r="AA68" s="252">
        <f t="shared" ca="1" si="19"/>
        <v>1413.010596298682</v>
      </c>
    </row>
    <row r="69" spans="2:27" s="183" customFormat="1" ht="24" customHeight="1" x14ac:dyDescent="0.25">
      <c r="B69" s="431"/>
      <c r="C69" s="224" t="s">
        <v>372</v>
      </c>
      <c r="D69" s="252">
        <f ca="1">SUM(F69:AA69)</f>
        <v>26847.201329675023</v>
      </c>
      <c r="E69" s="250" t="s">
        <v>120</v>
      </c>
      <c r="F69" s="252"/>
      <c r="G69" s="252"/>
      <c r="H69" s="253">
        <f ca="1">H37</f>
        <v>1789.8134219783349</v>
      </c>
      <c r="I69" s="253">
        <f t="shared" ref="I69:AA69" ca="1" si="20">I37</f>
        <v>1789.8134219783349</v>
      </c>
      <c r="J69" s="253">
        <f t="shared" ca="1" si="20"/>
        <v>1789.8134219783349</v>
      </c>
      <c r="K69" s="253">
        <f t="shared" ca="1" si="20"/>
        <v>1789.8134219783349</v>
      </c>
      <c r="L69" s="253">
        <f t="shared" ca="1" si="20"/>
        <v>1789.8134219783349</v>
      </c>
      <c r="M69" s="253">
        <f t="shared" ca="1" si="20"/>
        <v>1789.8134219783349</v>
      </c>
      <c r="N69" s="253">
        <f t="shared" ca="1" si="20"/>
        <v>1789.8134219783349</v>
      </c>
      <c r="O69" s="253">
        <f t="shared" ca="1" si="20"/>
        <v>1789.8134219783349</v>
      </c>
      <c r="P69" s="253">
        <f t="shared" ca="1" si="20"/>
        <v>1789.8134219783349</v>
      </c>
      <c r="Q69" s="253">
        <f t="shared" ca="1" si="20"/>
        <v>1789.8134219783349</v>
      </c>
      <c r="R69" s="253">
        <f t="shared" ca="1" si="20"/>
        <v>1789.8134219783349</v>
      </c>
      <c r="S69" s="253">
        <f t="shared" ca="1" si="20"/>
        <v>1789.8134219783349</v>
      </c>
      <c r="T69" s="253">
        <f t="shared" ca="1" si="20"/>
        <v>1789.8134219783349</v>
      </c>
      <c r="U69" s="253">
        <f t="shared" ca="1" si="20"/>
        <v>1789.8134219783349</v>
      </c>
      <c r="V69" s="253">
        <f t="shared" ca="1" si="20"/>
        <v>1789.8134219783349</v>
      </c>
      <c r="W69" s="253">
        <f t="shared" si="20"/>
        <v>0</v>
      </c>
      <c r="X69" s="253">
        <f t="shared" si="20"/>
        <v>0</v>
      </c>
      <c r="Y69" s="253">
        <f t="shared" si="20"/>
        <v>0</v>
      </c>
      <c r="Z69" s="253">
        <f t="shared" si="20"/>
        <v>0</v>
      </c>
      <c r="AA69" s="253">
        <f t="shared" si="20"/>
        <v>0</v>
      </c>
    </row>
    <row r="70" spans="2:27" s="183" customFormat="1" ht="24" customHeight="1" x14ac:dyDescent="0.25">
      <c r="B70" s="425">
        <v>2</v>
      </c>
      <c r="C70" s="224" t="s">
        <v>373</v>
      </c>
      <c r="D70" s="252"/>
      <c r="E70" s="250" t="s">
        <v>120</v>
      </c>
      <c r="F70" s="252">
        <f ca="1">F38</f>
        <v>9073.7930371760012</v>
      </c>
      <c r="G70" s="254"/>
      <c r="H70" s="253">
        <f ca="1">H38</f>
        <v>8499.1194781548547</v>
      </c>
      <c r="I70" s="253">
        <f t="shared" ref="I70:AA70" ca="1" si="21">I38</f>
        <v>7924.4459191337082</v>
      </c>
      <c r="J70" s="253">
        <f t="shared" ca="1" si="21"/>
        <v>7349.7723601125617</v>
      </c>
      <c r="K70" s="253">
        <f t="shared" ca="1" si="21"/>
        <v>6775.0988010914152</v>
      </c>
      <c r="L70" s="253">
        <f t="shared" ca="1" si="21"/>
        <v>6200.4252420702687</v>
      </c>
      <c r="M70" s="253">
        <f t="shared" ca="1" si="21"/>
        <v>5625.7516830491222</v>
      </c>
      <c r="N70" s="253">
        <f t="shared" ca="1" si="21"/>
        <v>5051.0781240279757</v>
      </c>
      <c r="O70" s="253">
        <f t="shared" ca="1" si="21"/>
        <v>4476.4045650068292</v>
      </c>
      <c r="P70" s="253">
        <f t="shared" ca="1" si="21"/>
        <v>3901.7310059856827</v>
      </c>
      <c r="Q70" s="253">
        <f t="shared" ca="1" si="21"/>
        <v>3327.0574469645362</v>
      </c>
      <c r="R70" s="253">
        <f t="shared" ca="1" si="21"/>
        <v>2752.3838879433897</v>
      </c>
      <c r="S70" s="253">
        <f t="shared" ca="1" si="21"/>
        <v>2177.7103289222432</v>
      </c>
      <c r="T70" s="253">
        <f t="shared" ca="1" si="21"/>
        <v>1603.0367699010965</v>
      </c>
      <c r="U70" s="253">
        <f t="shared" ca="1" si="21"/>
        <v>1028.3632108799497</v>
      </c>
      <c r="V70" s="253">
        <f t="shared" ca="1" si="21"/>
        <v>453.68965185880302</v>
      </c>
      <c r="W70" s="253">
        <f t="shared" ca="1" si="21"/>
        <v>453.68965185880302</v>
      </c>
      <c r="X70" s="253">
        <f t="shared" ca="1" si="21"/>
        <v>453.68965185880302</v>
      </c>
      <c r="Y70" s="253">
        <f t="shared" ca="1" si="21"/>
        <v>453.68965185880302</v>
      </c>
      <c r="Z70" s="253">
        <f t="shared" ca="1" si="21"/>
        <v>453.68965185880302</v>
      </c>
      <c r="AA70" s="253">
        <f t="shared" ca="1" si="21"/>
        <v>453.68965185880302</v>
      </c>
    </row>
    <row r="71" spans="2:27" s="183" customFormat="1" ht="24" customHeight="1" x14ac:dyDescent="0.25">
      <c r="B71" s="425"/>
      <c r="C71" s="224" t="s">
        <v>374</v>
      </c>
      <c r="D71" s="252">
        <f ca="1">SUM(F71:AA71)</f>
        <v>8620.1033853171994</v>
      </c>
      <c r="E71" s="250" t="s">
        <v>120</v>
      </c>
      <c r="F71" s="252"/>
      <c r="G71" s="254"/>
      <c r="H71" s="253">
        <f ca="1">H39</f>
        <v>574.67355902114673</v>
      </c>
      <c r="I71" s="253">
        <f t="shared" ref="I71:AA71" ca="1" si="22">I39</f>
        <v>574.67355902114673</v>
      </c>
      <c r="J71" s="253">
        <f t="shared" ca="1" si="22"/>
        <v>574.67355902114673</v>
      </c>
      <c r="K71" s="253">
        <f t="shared" ca="1" si="22"/>
        <v>574.67355902114673</v>
      </c>
      <c r="L71" s="253">
        <f t="shared" ca="1" si="22"/>
        <v>574.67355902114673</v>
      </c>
      <c r="M71" s="253">
        <f t="shared" ca="1" si="22"/>
        <v>574.67355902114673</v>
      </c>
      <c r="N71" s="253">
        <f t="shared" ca="1" si="22"/>
        <v>574.67355902114673</v>
      </c>
      <c r="O71" s="253">
        <f t="shared" ca="1" si="22"/>
        <v>574.67355902114673</v>
      </c>
      <c r="P71" s="253">
        <f t="shared" ca="1" si="22"/>
        <v>574.67355902114673</v>
      </c>
      <c r="Q71" s="253">
        <f t="shared" ca="1" si="22"/>
        <v>574.67355902114673</v>
      </c>
      <c r="R71" s="253">
        <f t="shared" ca="1" si="22"/>
        <v>574.67355902114673</v>
      </c>
      <c r="S71" s="253">
        <f t="shared" ca="1" si="22"/>
        <v>574.67355902114673</v>
      </c>
      <c r="T71" s="253">
        <f t="shared" ca="1" si="22"/>
        <v>574.67355902114673</v>
      </c>
      <c r="U71" s="253">
        <f t="shared" ca="1" si="22"/>
        <v>574.67355902114673</v>
      </c>
      <c r="V71" s="253">
        <f t="shared" ca="1" si="22"/>
        <v>574.67355902114673</v>
      </c>
      <c r="W71" s="253">
        <f t="shared" si="22"/>
        <v>0</v>
      </c>
      <c r="X71" s="253">
        <f t="shared" si="22"/>
        <v>0</v>
      </c>
      <c r="Y71" s="253">
        <f t="shared" si="22"/>
        <v>0</v>
      </c>
      <c r="Z71" s="253">
        <f t="shared" si="22"/>
        <v>0</v>
      </c>
      <c r="AA71" s="253">
        <f t="shared" si="22"/>
        <v>0</v>
      </c>
    </row>
    <row r="72" spans="2:27" s="183" customFormat="1" ht="24" customHeight="1" x14ac:dyDescent="0.25">
      <c r="B72" s="425">
        <v>3</v>
      </c>
      <c r="C72" s="224" t="s">
        <v>375</v>
      </c>
      <c r="D72" s="252"/>
      <c r="E72" s="250" t="s">
        <v>120</v>
      </c>
      <c r="F72" s="252">
        <f ca="1">F40</f>
        <v>5415.1004186758182</v>
      </c>
      <c r="G72" s="254">
        <f ca="1">G40</f>
        <v>3610.0669457838794</v>
      </c>
      <c r="H72" s="253">
        <f ca="1">H40</f>
        <v>8167.7764648360262</v>
      </c>
      <c r="I72" s="253">
        <f t="shared" ref="I72:AA72" ca="1" si="23">I40</f>
        <v>7310.3855652123548</v>
      </c>
      <c r="J72" s="253">
        <f t="shared" ca="1" si="23"/>
        <v>6452.9946655886833</v>
      </c>
      <c r="K72" s="253">
        <f t="shared" ca="1" si="23"/>
        <v>5595.6037659650119</v>
      </c>
      <c r="L72" s="253">
        <f t="shared" ca="1" si="23"/>
        <v>4738.2128663413405</v>
      </c>
      <c r="M72" s="253">
        <f t="shared" ca="1" si="23"/>
        <v>3880.8219667176691</v>
      </c>
      <c r="N72" s="253">
        <f t="shared" ca="1" si="23"/>
        <v>3023.4310670939976</v>
      </c>
      <c r="O72" s="253">
        <f t="shared" ca="1" si="23"/>
        <v>2166.0401674703262</v>
      </c>
      <c r="P72" s="253">
        <f t="shared" ca="1" si="23"/>
        <v>1308.649267846655</v>
      </c>
      <c r="Q72" s="253">
        <f t="shared" ca="1" si="23"/>
        <v>451.25836822298379</v>
      </c>
      <c r="R72" s="253">
        <f t="shared" ca="1" si="23"/>
        <v>451.25836822298379</v>
      </c>
      <c r="S72" s="253">
        <f t="shared" ca="1" si="23"/>
        <v>451.25836822298379</v>
      </c>
      <c r="T72" s="253">
        <f t="shared" ca="1" si="23"/>
        <v>451.25836822298379</v>
      </c>
      <c r="U72" s="253">
        <f t="shared" ca="1" si="23"/>
        <v>451.25836822298379</v>
      </c>
      <c r="V72" s="253">
        <f t="shared" ca="1" si="23"/>
        <v>451.25836822298379</v>
      </c>
      <c r="W72" s="253">
        <f t="shared" ca="1" si="23"/>
        <v>451.25836822298379</v>
      </c>
      <c r="X72" s="253">
        <f t="shared" ca="1" si="23"/>
        <v>451.25836822298379</v>
      </c>
      <c r="Y72" s="253">
        <f t="shared" ca="1" si="23"/>
        <v>451.25836822298379</v>
      </c>
      <c r="Z72" s="253">
        <f t="shared" ca="1" si="23"/>
        <v>451.25836822298379</v>
      </c>
      <c r="AA72" s="253">
        <f t="shared" ca="1" si="23"/>
        <v>451.25836822298379</v>
      </c>
    </row>
    <row r="73" spans="2:27" s="183" customFormat="1" ht="24" customHeight="1" x14ac:dyDescent="0.25">
      <c r="B73" s="425"/>
      <c r="C73" s="224" t="s">
        <v>374</v>
      </c>
      <c r="D73" s="252">
        <f ca="1">SUM(F73:AA73)</f>
        <v>8573.9089962367125</v>
      </c>
      <c r="E73" s="250" t="s">
        <v>120</v>
      </c>
      <c r="F73" s="252"/>
      <c r="G73" s="254"/>
      <c r="H73" s="253">
        <f ca="1">H41</f>
        <v>857.3908996236712</v>
      </c>
      <c r="I73" s="253">
        <f t="shared" ref="I73:AA73" ca="1" si="24">I41</f>
        <v>857.3908996236712</v>
      </c>
      <c r="J73" s="253">
        <f t="shared" ca="1" si="24"/>
        <v>857.3908996236712</v>
      </c>
      <c r="K73" s="253">
        <f t="shared" ca="1" si="24"/>
        <v>857.3908996236712</v>
      </c>
      <c r="L73" s="253">
        <f t="shared" ca="1" si="24"/>
        <v>857.3908996236712</v>
      </c>
      <c r="M73" s="253">
        <f t="shared" ca="1" si="24"/>
        <v>857.3908996236712</v>
      </c>
      <c r="N73" s="253">
        <f t="shared" ca="1" si="24"/>
        <v>857.3908996236712</v>
      </c>
      <c r="O73" s="253">
        <f t="shared" ca="1" si="24"/>
        <v>857.3908996236712</v>
      </c>
      <c r="P73" s="253">
        <f t="shared" ca="1" si="24"/>
        <v>857.3908996236712</v>
      </c>
      <c r="Q73" s="253">
        <f t="shared" ca="1" si="24"/>
        <v>857.3908996236712</v>
      </c>
      <c r="R73" s="253">
        <f t="shared" si="24"/>
        <v>0</v>
      </c>
      <c r="S73" s="253">
        <f t="shared" si="24"/>
        <v>0</v>
      </c>
      <c r="T73" s="253">
        <f t="shared" si="24"/>
        <v>0</v>
      </c>
      <c r="U73" s="253">
        <f t="shared" si="24"/>
        <v>0</v>
      </c>
      <c r="V73" s="253">
        <f t="shared" si="24"/>
        <v>0</v>
      </c>
      <c r="W73" s="253">
        <f t="shared" si="24"/>
        <v>0</v>
      </c>
      <c r="X73" s="253">
        <f t="shared" si="24"/>
        <v>0</v>
      </c>
      <c r="Y73" s="253">
        <f t="shared" si="24"/>
        <v>0</v>
      </c>
      <c r="Z73" s="253">
        <f t="shared" si="24"/>
        <v>0</v>
      </c>
      <c r="AA73" s="253">
        <f t="shared" si="24"/>
        <v>0</v>
      </c>
    </row>
    <row r="74" spans="2:27" ht="24" customHeight="1" x14ac:dyDescent="0.25">
      <c r="B74" s="426">
        <v>4</v>
      </c>
      <c r="C74" s="243" t="s">
        <v>376</v>
      </c>
      <c r="D74" s="255"/>
      <c r="E74" s="256" t="s">
        <v>120</v>
      </c>
      <c r="F74" s="255"/>
      <c r="G74" s="257"/>
      <c r="H74" s="255">
        <v>0</v>
      </c>
      <c r="I74" s="255">
        <f>H77</f>
        <v>0</v>
      </c>
      <c r="J74" s="255">
        <f t="shared" ref="J74" si="25">I77</f>
        <v>0</v>
      </c>
      <c r="K74" s="255">
        <f t="shared" ref="K74" si="26">J77</f>
        <v>0</v>
      </c>
      <c r="L74" s="255">
        <f t="shared" ref="L74" si="27">K77</f>
        <v>0</v>
      </c>
      <c r="M74" s="255">
        <f t="shared" ref="M74" si="28">L77</f>
        <v>0</v>
      </c>
      <c r="N74" s="255">
        <f t="shared" ref="N74" si="29">M77</f>
        <v>0</v>
      </c>
      <c r="O74" s="255">
        <f t="shared" ref="O74" si="30">N77</f>
        <v>0</v>
      </c>
      <c r="P74" s="255">
        <f t="shared" ref="P74" si="31">O77</f>
        <v>0</v>
      </c>
      <c r="Q74" s="255">
        <f t="shared" ref="Q74" si="32">P77</f>
        <v>0</v>
      </c>
      <c r="R74" s="255">
        <f t="shared" ref="R74" si="33">Q77</f>
        <v>0</v>
      </c>
      <c r="S74" s="255">
        <f t="shared" ref="S74" si="34">R77</f>
        <v>0</v>
      </c>
      <c r="T74" s="255">
        <f t="shared" ref="T74" si="35">S77</f>
        <v>0</v>
      </c>
      <c r="U74" s="255">
        <f t="shared" ref="U74" si="36">T77</f>
        <v>0</v>
      </c>
      <c r="V74" s="255">
        <f t="shared" ref="V74" si="37">U77</f>
        <v>0</v>
      </c>
      <c r="W74" s="255">
        <f t="shared" ref="W74" si="38">V77</f>
        <v>0</v>
      </c>
      <c r="X74" s="255">
        <f t="shared" ref="X74" si="39">W77</f>
        <v>0</v>
      </c>
      <c r="Y74" s="255">
        <f t="shared" ref="Y74" si="40">X77</f>
        <v>0</v>
      </c>
      <c r="Z74" s="255">
        <f t="shared" ref="Z74" si="41">Y77</f>
        <v>0</v>
      </c>
      <c r="AA74" s="255">
        <f t="shared" ref="AA74" si="42">Z77</f>
        <v>0</v>
      </c>
    </row>
    <row r="75" spans="2:27" ht="24" customHeight="1" x14ac:dyDescent="0.25">
      <c r="B75" s="427"/>
      <c r="C75" s="243" t="s">
        <v>377</v>
      </c>
      <c r="D75" s="255"/>
      <c r="E75" s="256"/>
      <c r="F75" s="255"/>
      <c r="G75" s="257"/>
      <c r="H75" s="255">
        <f>H43</f>
        <v>0</v>
      </c>
      <c r="I75" s="255">
        <f t="shared" ref="I75:AA75" si="43">I43</f>
        <v>0</v>
      </c>
      <c r="J75" s="255">
        <f t="shared" si="43"/>
        <v>0</v>
      </c>
      <c r="K75" s="255">
        <f t="shared" si="43"/>
        <v>0</v>
      </c>
      <c r="L75" s="255">
        <f t="shared" si="43"/>
        <v>0</v>
      </c>
      <c r="M75" s="255">
        <f t="shared" si="43"/>
        <v>0</v>
      </c>
      <c r="N75" s="255">
        <f t="shared" si="43"/>
        <v>0</v>
      </c>
      <c r="O75" s="255">
        <f t="shared" si="43"/>
        <v>0</v>
      </c>
      <c r="P75" s="255">
        <f t="shared" si="43"/>
        <v>0</v>
      </c>
      <c r="Q75" s="255">
        <f t="shared" si="43"/>
        <v>0</v>
      </c>
      <c r="R75" s="255">
        <f t="shared" si="43"/>
        <v>0</v>
      </c>
      <c r="S75" s="255">
        <f t="shared" si="43"/>
        <v>0</v>
      </c>
      <c r="T75" s="255">
        <f t="shared" si="43"/>
        <v>0</v>
      </c>
      <c r="U75" s="255">
        <f t="shared" si="43"/>
        <v>0</v>
      </c>
      <c r="V75" s="255">
        <f t="shared" si="43"/>
        <v>0</v>
      </c>
      <c r="W75" s="255">
        <f t="shared" si="43"/>
        <v>0</v>
      </c>
      <c r="X75" s="255">
        <f t="shared" si="43"/>
        <v>0</v>
      </c>
      <c r="Y75" s="255">
        <f t="shared" si="43"/>
        <v>0</v>
      </c>
      <c r="Z75" s="255">
        <f t="shared" si="43"/>
        <v>0</v>
      </c>
      <c r="AA75" s="255">
        <f t="shared" si="43"/>
        <v>0</v>
      </c>
    </row>
    <row r="76" spans="2:27" ht="24" customHeight="1" x14ac:dyDescent="0.25">
      <c r="B76" s="427"/>
      <c r="C76" s="243" t="s">
        <v>378</v>
      </c>
      <c r="D76" s="255">
        <f>SUM(F76:AA76)</f>
        <v>0</v>
      </c>
      <c r="E76" s="256" t="s">
        <v>120</v>
      </c>
      <c r="F76" s="255"/>
      <c r="G76" s="257"/>
      <c r="H76" s="255">
        <f>H75/$D$24</f>
        <v>0</v>
      </c>
      <c r="I76" s="255">
        <f>H76</f>
        <v>0</v>
      </c>
      <c r="J76" s="255">
        <f t="shared" ref="J76" si="44">I76</f>
        <v>0</v>
      </c>
      <c r="K76" s="255">
        <f t="shared" ref="K76" si="45">J76</f>
        <v>0</v>
      </c>
      <c r="L76" s="255">
        <f t="shared" ref="L76" si="46">K76</f>
        <v>0</v>
      </c>
      <c r="M76" s="255">
        <f>M75/$D$24</f>
        <v>0</v>
      </c>
      <c r="N76" s="255">
        <f t="shared" ref="N76" si="47">M76</f>
        <v>0</v>
      </c>
      <c r="O76" s="255">
        <f t="shared" ref="O76" si="48">N76</f>
        <v>0</v>
      </c>
      <c r="P76" s="255">
        <f t="shared" ref="P76" si="49">O76</f>
        <v>0</v>
      </c>
      <c r="Q76" s="255">
        <f t="shared" ref="Q76" si="50">P76</f>
        <v>0</v>
      </c>
      <c r="R76" s="255">
        <f>R75/$D$24</f>
        <v>0</v>
      </c>
      <c r="S76" s="255">
        <f t="shared" ref="S76" si="51">R76</f>
        <v>0</v>
      </c>
      <c r="T76" s="255">
        <f t="shared" ref="T76" si="52">S76</f>
        <v>0</v>
      </c>
      <c r="U76" s="255">
        <f t="shared" ref="U76" si="53">T76</f>
        <v>0</v>
      </c>
      <c r="V76" s="255">
        <f t="shared" ref="V76" si="54">U76</f>
        <v>0</v>
      </c>
      <c r="W76" s="255">
        <f>W75/$D$24</f>
        <v>0</v>
      </c>
      <c r="X76" s="255">
        <f t="shared" ref="X76" si="55">W76</f>
        <v>0</v>
      </c>
      <c r="Y76" s="255">
        <f t="shared" ref="Y76" si="56">X76</f>
        <v>0</v>
      </c>
      <c r="Z76" s="255">
        <f t="shared" ref="Z76" si="57">Y76</f>
        <v>0</v>
      </c>
      <c r="AA76" s="255">
        <f t="shared" ref="AA76" si="58">Z76</f>
        <v>0</v>
      </c>
    </row>
    <row r="77" spans="2:27" ht="24" customHeight="1" x14ac:dyDescent="0.25">
      <c r="B77" s="428"/>
      <c r="C77" s="243" t="s">
        <v>379</v>
      </c>
      <c r="D77" s="255"/>
      <c r="E77" s="256"/>
      <c r="F77" s="255"/>
      <c r="G77" s="257"/>
      <c r="H77" s="255">
        <f>H74+H75-H76</f>
        <v>0</v>
      </c>
      <c r="I77" s="255">
        <f t="shared" ref="I77:AA77" si="59">I74+I75-I76</f>
        <v>0</v>
      </c>
      <c r="J77" s="255">
        <f t="shared" si="59"/>
        <v>0</v>
      </c>
      <c r="K77" s="255">
        <f t="shared" si="59"/>
        <v>0</v>
      </c>
      <c r="L77" s="255">
        <f t="shared" si="59"/>
        <v>0</v>
      </c>
      <c r="M77" s="255">
        <f t="shared" si="59"/>
        <v>0</v>
      </c>
      <c r="N77" s="255">
        <f t="shared" si="59"/>
        <v>0</v>
      </c>
      <c r="O77" s="255">
        <f t="shared" si="59"/>
        <v>0</v>
      </c>
      <c r="P77" s="255">
        <f t="shared" si="59"/>
        <v>0</v>
      </c>
      <c r="Q77" s="255">
        <f t="shared" si="59"/>
        <v>0</v>
      </c>
      <c r="R77" s="255">
        <f t="shared" si="59"/>
        <v>0</v>
      </c>
      <c r="S77" s="255">
        <f t="shared" si="59"/>
        <v>0</v>
      </c>
      <c r="T77" s="255">
        <f t="shared" si="59"/>
        <v>0</v>
      </c>
      <c r="U77" s="255">
        <f t="shared" si="59"/>
        <v>0</v>
      </c>
      <c r="V77" s="255">
        <f t="shared" si="59"/>
        <v>0</v>
      </c>
      <c r="W77" s="255">
        <f t="shared" si="59"/>
        <v>0</v>
      </c>
      <c r="X77" s="255">
        <f t="shared" si="59"/>
        <v>0</v>
      </c>
      <c r="Y77" s="255">
        <f t="shared" si="59"/>
        <v>0</v>
      </c>
      <c r="Z77" s="255">
        <f t="shared" si="59"/>
        <v>0</v>
      </c>
      <c r="AA77" s="255">
        <f t="shared" si="59"/>
        <v>0</v>
      </c>
    </row>
    <row r="78" spans="2:27" ht="24" customHeight="1" x14ac:dyDescent="0.25">
      <c r="B78" s="426">
        <v>5</v>
      </c>
      <c r="C78" s="243" t="s">
        <v>380</v>
      </c>
      <c r="D78" s="243"/>
      <c r="E78" s="256" t="s">
        <v>120</v>
      </c>
      <c r="F78" s="255">
        <f>参数输入表!$H$625*参数输入表!$H$102</f>
        <v>9884.4</v>
      </c>
      <c r="G78" s="255">
        <f>参数输入表!$H$625*参数输入表!$H$102+参数输入表!$H$625*参数输入表!$H$103</f>
        <v>16474</v>
      </c>
      <c r="H78" s="258">
        <f>G78-H79</f>
        <v>15924.866666666667</v>
      </c>
      <c r="I78" s="258">
        <f t="shared" ref="I78" si="60">H78-I79</f>
        <v>15375.733333333334</v>
      </c>
      <c r="J78" s="258">
        <f t="shared" ref="J78" si="61">I78-J79</f>
        <v>14826.6</v>
      </c>
      <c r="K78" s="258">
        <f t="shared" ref="K78" si="62">J78-K79</f>
        <v>14277.466666666667</v>
      </c>
      <c r="L78" s="258">
        <f t="shared" ref="L78" si="63">K78-L79</f>
        <v>13728.333333333334</v>
      </c>
      <c r="M78" s="258">
        <f t="shared" ref="M78" si="64">L78-M79</f>
        <v>13179.2</v>
      </c>
      <c r="N78" s="258">
        <f t="shared" ref="N78" si="65">M78-N79</f>
        <v>12630.066666666668</v>
      </c>
      <c r="O78" s="258">
        <f t="shared" ref="O78" si="66">N78-O79</f>
        <v>12080.933333333334</v>
      </c>
      <c r="P78" s="258">
        <f t="shared" ref="P78" si="67">O78-P79</f>
        <v>11531.800000000001</v>
      </c>
      <c r="Q78" s="258">
        <f t="shared" ref="Q78" si="68">P78-Q79</f>
        <v>10982.666666666668</v>
      </c>
      <c r="R78" s="258">
        <f t="shared" ref="R78" si="69">Q78-R79</f>
        <v>10433.533333333335</v>
      </c>
      <c r="S78" s="258">
        <f t="shared" ref="S78" si="70">R78-S79</f>
        <v>9884.4000000000015</v>
      </c>
      <c r="T78" s="258">
        <f t="shared" ref="T78" si="71">S78-T79</f>
        <v>9335.2666666666682</v>
      </c>
      <c r="U78" s="258">
        <f t="shared" ref="U78" si="72">T78-U79</f>
        <v>8786.133333333335</v>
      </c>
      <c r="V78" s="258">
        <f t="shared" ref="V78" si="73">U78-V79</f>
        <v>8237.0000000000018</v>
      </c>
      <c r="W78" s="258">
        <f t="shared" ref="W78" si="74">V78-W79</f>
        <v>7687.8666666666686</v>
      </c>
      <c r="X78" s="258">
        <f t="shared" ref="X78" si="75">W78-X79</f>
        <v>7138.7333333333354</v>
      </c>
      <c r="Y78" s="258">
        <f t="shared" ref="Y78" si="76">X78-Y79</f>
        <v>6589.6000000000022</v>
      </c>
      <c r="Z78" s="258">
        <f t="shared" ref="Z78" si="77">Y78-Z79</f>
        <v>6040.466666666669</v>
      </c>
      <c r="AA78" s="258">
        <f t="shared" ref="AA78" si="78">Z78-AA79</f>
        <v>5491.3333333333358</v>
      </c>
    </row>
    <row r="79" spans="2:27" ht="24" customHeight="1" x14ac:dyDescent="0.25">
      <c r="B79" s="428"/>
      <c r="C79" s="243" t="s">
        <v>381</v>
      </c>
      <c r="D79" s="255">
        <f>SUM(F79:AA79)</f>
        <v>10982.666666666666</v>
      </c>
      <c r="E79" s="256" t="s">
        <v>120</v>
      </c>
      <c r="F79" s="255"/>
      <c r="G79" s="255"/>
      <c r="H79" s="255">
        <f>IF(H67&lt;=$D$27,G78*(1-$D$28)/($D$27-H35+1),0)</f>
        <v>549.13333333333333</v>
      </c>
      <c r="I79" s="255">
        <f t="shared" ref="I79:AA79" si="79">IF(I67&lt;=$D$27,H78*(1-$D$28)/($D$27-I35+1),0)</f>
        <v>549.13333333333333</v>
      </c>
      <c r="J79" s="255">
        <f t="shared" si="79"/>
        <v>549.13333333333333</v>
      </c>
      <c r="K79" s="255">
        <f t="shared" si="79"/>
        <v>549.13333333333333</v>
      </c>
      <c r="L79" s="255">
        <f t="shared" si="79"/>
        <v>549.13333333333333</v>
      </c>
      <c r="M79" s="255">
        <f t="shared" si="79"/>
        <v>549.13333333333333</v>
      </c>
      <c r="N79" s="255">
        <f t="shared" si="79"/>
        <v>549.13333333333333</v>
      </c>
      <c r="O79" s="255">
        <f t="shared" si="79"/>
        <v>549.13333333333333</v>
      </c>
      <c r="P79" s="255">
        <f t="shared" si="79"/>
        <v>549.13333333333333</v>
      </c>
      <c r="Q79" s="255">
        <f t="shared" si="79"/>
        <v>549.13333333333344</v>
      </c>
      <c r="R79" s="255">
        <f t="shared" si="79"/>
        <v>549.13333333333344</v>
      </c>
      <c r="S79" s="255">
        <f t="shared" si="79"/>
        <v>549.13333333333344</v>
      </c>
      <c r="T79" s="255">
        <f t="shared" si="79"/>
        <v>549.13333333333344</v>
      </c>
      <c r="U79" s="255">
        <f t="shared" si="79"/>
        <v>549.13333333333344</v>
      </c>
      <c r="V79" s="255">
        <f t="shared" si="79"/>
        <v>549.13333333333344</v>
      </c>
      <c r="W79" s="255">
        <f t="shared" si="79"/>
        <v>549.13333333333344</v>
      </c>
      <c r="X79" s="255">
        <f t="shared" si="79"/>
        <v>549.13333333333344</v>
      </c>
      <c r="Y79" s="255">
        <f t="shared" si="79"/>
        <v>549.13333333333344</v>
      </c>
      <c r="Z79" s="255">
        <f t="shared" si="79"/>
        <v>549.13333333333355</v>
      </c>
      <c r="AA79" s="255">
        <f t="shared" si="79"/>
        <v>549.13333333333355</v>
      </c>
    </row>
    <row r="80" spans="2:27" ht="24" customHeight="1" x14ac:dyDescent="0.25">
      <c r="B80" s="429">
        <v>6</v>
      </c>
      <c r="C80" s="243" t="s">
        <v>382</v>
      </c>
      <c r="D80" s="255"/>
      <c r="E80" s="256" t="s">
        <v>120</v>
      </c>
      <c r="F80" s="255"/>
      <c r="G80" s="255"/>
      <c r="H80" s="255">
        <f>H48</f>
        <v>0</v>
      </c>
      <c r="I80" s="255">
        <f t="shared" ref="I80:AA83" si="80">I48</f>
        <v>0</v>
      </c>
      <c r="J80" s="255">
        <f t="shared" si="80"/>
        <v>0</v>
      </c>
      <c r="K80" s="255">
        <f t="shared" si="80"/>
        <v>0</v>
      </c>
      <c r="L80" s="255">
        <f t="shared" si="80"/>
        <v>0</v>
      </c>
      <c r="M80" s="255">
        <f t="shared" si="80"/>
        <v>0</v>
      </c>
      <c r="N80" s="255">
        <f t="shared" si="80"/>
        <v>0</v>
      </c>
      <c r="O80" s="255">
        <f t="shared" si="80"/>
        <v>0</v>
      </c>
      <c r="P80" s="255">
        <f t="shared" si="80"/>
        <v>0</v>
      </c>
      <c r="Q80" s="255">
        <f t="shared" si="80"/>
        <v>0</v>
      </c>
      <c r="R80" s="255">
        <f t="shared" si="80"/>
        <v>0</v>
      </c>
      <c r="S80" s="255">
        <f t="shared" si="80"/>
        <v>0</v>
      </c>
      <c r="T80" s="255">
        <f t="shared" si="80"/>
        <v>400.44247787610624</v>
      </c>
      <c r="U80" s="255">
        <f t="shared" si="80"/>
        <v>358.40707964601773</v>
      </c>
      <c r="V80" s="255">
        <f t="shared" si="80"/>
        <v>316.37168141592923</v>
      </c>
      <c r="W80" s="255">
        <f t="shared" si="80"/>
        <v>274.33628318584073</v>
      </c>
      <c r="X80" s="255">
        <f t="shared" si="80"/>
        <v>232.30088495575222</v>
      </c>
      <c r="Y80" s="255">
        <f t="shared" si="80"/>
        <v>190.26548672566372</v>
      </c>
      <c r="Z80" s="255">
        <f t="shared" si="80"/>
        <v>148.23008849557522</v>
      </c>
      <c r="AA80" s="255">
        <f t="shared" si="80"/>
        <v>106.19469026548671</v>
      </c>
    </row>
    <row r="81" spans="2:27" ht="24" customHeight="1" x14ac:dyDescent="0.25">
      <c r="B81" s="429"/>
      <c r="C81" s="243" t="s">
        <v>383</v>
      </c>
      <c r="D81" s="255"/>
      <c r="E81" s="256"/>
      <c r="F81" s="255"/>
      <c r="G81" s="255"/>
      <c r="H81" s="255">
        <f t="shared" ref="H81:W81" si="81">H49</f>
        <v>0</v>
      </c>
      <c r="I81" s="255">
        <f t="shared" si="81"/>
        <v>0</v>
      </c>
      <c r="J81" s="255">
        <f t="shared" si="81"/>
        <v>0</v>
      </c>
      <c r="K81" s="255">
        <f t="shared" si="81"/>
        <v>0</v>
      </c>
      <c r="L81" s="255">
        <f t="shared" si="81"/>
        <v>0</v>
      </c>
      <c r="M81" s="255">
        <f t="shared" si="81"/>
        <v>0</v>
      </c>
      <c r="N81" s="255">
        <f t="shared" si="81"/>
        <v>0</v>
      </c>
      <c r="O81" s="255">
        <f t="shared" si="81"/>
        <v>0</v>
      </c>
      <c r="P81" s="255">
        <f t="shared" si="81"/>
        <v>0</v>
      </c>
      <c r="Q81" s="265">
        <f t="shared" si="81"/>
        <v>0</v>
      </c>
      <c r="R81" s="255">
        <f t="shared" si="81"/>
        <v>0</v>
      </c>
      <c r="S81" s="255">
        <f t="shared" si="81"/>
        <v>442.47787610619474</v>
      </c>
      <c r="T81" s="255">
        <f t="shared" si="81"/>
        <v>0</v>
      </c>
      <c r="U81" s="255">
        <f t="shared" si="81"/>
        <v>0</v>
      </c>
      <c r="V81" s="255">
        <f t="shared" si="81"/>
        <v>0</v>
      </c>
      <c r="W81" s="255">
        <f t="shared" si="81"/>
        <v>0</v>
      </c>
      <c r="X81" s="255">
        <f t="shared" si="80"/>
        <v>0</v>
      </c>
      <c r="Y81" s="255">
        <f t="shared" si="80"/>
        <v>0</v>
      </c>
      <c r="Z81" s="255">
        <f t="shared" si="80"/>
        <v>0</v>
      </c>
      <c r="AA81" s="255">
        <f t="shared" si="80"/>
        <v>0</v>
      </c>
    </row>
    <row r="82" spans="2:27" ht="24" customHeight="1" x14ac:dyDescent="0.25">
      <c r="B82" s="429"/>
      <c r="C82" s="243" t="s">
        <v>384</v>
      </c>
      <c r="D82" s="255">
        <f>SUM(F82:AA82)</f>
        <v>378.31858407079648</v>
      </c>
      <c r="E82" s="256" t="s">
        <v>120</v>
      </c>
      <c r="F82" s="255"/>
      <c r="G82" s="255"/>
      <c r="H82" s="255">
        <f>H50</f>
        <v>0</v>
      </c>
      <c r="I82" s="255">
        <f t="shared" si="80"/>
        <v>0</v>
      </c>
      <c r="J82" s="255">
        <f t="shared" si="80"/>
        <v>0</v>
      </c>
      <c r="K82" s="255">
        <f t="shared" si="80"/>
        <v>0</v>
      </c>
      <c r="L82" s="255">
        <f t="shared" si="80"/>
        <v>0</v>
      </c>
      <c r="M82" s="255">
        <f t="shared" si="80"/>
        <v>0</v>
      </c>
      <c r="N82" s="255">
        <f t="shared" si="80"/>
        <v>0</v>
      </c>
      <c r="O82" s="255">
        <f t="shared" si="80"/>
        <v>0</v>
      </c>
      <c r="P82" s="255">
        <f t="shared" si="80"/>
        <v>0</v>
      </c>
      <c r="Q82" s="255">
        <f t="shared" si="80"/>
        <v>0</v>
      </c>
      <c r="R82" s="255">
        <f t="shared" si="80"/>
        <v>0</v>
      </c>
      <c r="S82" s="255">
        <f t="shared" si="80"/>
        <v>42.035398230088497</v>
      </c>
      <c r="T82" s="255">
        <f t="shared" si="80"/>
        <v>42.035398230088497</v>
      </c>
      <c r="U82" s="255">
        <f t="shared" si="80"/>
        <v>42.035398230088497</v>
      </c>
      <c r="V82" s="255">
        <f t="shared" si="80"/>
        <v>42.035398230088497</v>
      </c>
      <c r="W82" s="255">
        <f t="shared" si="80"/>
        <v>42.035398230088497</v>
      </c>
      <c r="X82" s="255">
        <f t="shared" si="80"/>
        <v>42.035398230088497</v>
      </c>
      <c r="Y82" s="255">
        <f t="shared" si="80"/>
        <v>42.035398230088497</v>
      </c>
      <c r="Z82" s="255">
        <f t="shared" si="80"/>
        <v>42.035398230088497</v>
      </c>
      <c r="AA82" s="255">
        <f t="shared" si="80"/>
        <v>42.035398230088497</v>
      </c>
    </row>
    <row r="83" spans="2:27" ht="24" customHeight="1" x14ac:dyDescent="0.25">
      <c r="B83" s="429"/>
      <c r="C83" s="243" t="s">
        <v>385</v>
      </c>
      <c r="D83" s="255"/>
      <c r="E83" s="256"/>
      <c r="F83" s="255"/>
      <c r="G83" s="255"/>
      <c r="H83" s="255">
        <f>H51</f>
        <v>0</v>
      </c>
      <c r="I83" s="255">
        <f t="shared" si="80"/>
        <v>0</v>
      </c>
      <c r="J83" s="255">
        <f t="shared" si="80"/>
        <v>0</v>
      </c>
      <c r="K83" s="255">
        <f t="shared" si="80"/>
        <v>0</v>
      </c>
      <c r="L83" s="255">
        <f t="shared" si="80"/>
        <v>0</v>
      </c>
      <c r="M83" s="255">
        <f t="shared" si="80"/>
        <v>0</v>
      </c>
      <c r="N83" s="255">
        <f t="shared" si="80"/>
        <v>0</v>
      </c>
      <c r="O83" s="255">
        <f t="shared" si="80"/>
        <v>0</v>
      </c>
      <c r="P83" s="255">
        <f t="shared" si="80"/>
        <v>0</v>
      </c>
      <c r="Q83" s="255">
        <f t="shared" si="80"/>
        <v>0</v>
      </c>
      <c r="R83" s="255">
        <f t="shared" si="80"/>
        <v>0</v>
      </c>
      <c r="S83" s="255">
        <f t="shared" si="80"/>
        <v>400.44247787610624</v>
      </c>
      <c r="T83" s="255">
        <f t="shared" si="80"/>
        <v>358.40707964601773</v>
      </c>
      <c r="U83" s="255">
        <f t="shared" si="80"/>
        <v>316.37168141592923</v>
      </c>
      <c r="V83" s="255">
        <f t="shared" si="80"/>
        <v>274.33628318584073</v>
      </c>
      <c r="W83" s="255">
        <f t="shared" si="80"/>
        <v>232.30088495575222</v>
      </c>
      <c r="X83" s="255">
        <f t="shared" si="80"/>
        <v>190.26548672566372</v>
      </c>
      <c r="Y83" s="255">
        <f t="shared" si="80"/>
        <v>148.23008849557522</v>
      </c>
      <c r="Z83" s="255">
        <f t="shared" si="80"/>
        <v>106.19469026548671</v>
      </c>
      <c r="AA83" s="255">
        <f t="shared" si="80"/>
        <v>64.159292035398209</v>
      </c>
    </row>
    <row r="84" spans="2:27" ht="24" customHeight="1" x14ac:dyDescent="0.25">
      <c r="B84" s="259">
        <v>5</v>
      </c>
      <c r="C84" s="260" t="s">
        <v>386</v>
      </c>
      <c r="D84" s="261">
        <f ca="1">SUM(F84:AA84)</f>
        <v>55402.198961966402</v>
      </c>
      <c r="E84" s="256" t="s">
        <v>120</v>
      </c>
      <c r="F84" s="262">
        <f>F69+F76+F79+F82</f>
        <v>0</v>
      </c>
      <c r="G84" s="262">
        <f>G69+G76+G79+G82</f>
        <v>0</v>
      </c>
      <c r="H84" s="262">
        <f ca="1">H69+H76+H79+H82+H71+H73</f>
        <v>3771.0112139564862</v>
      </c>
      <c r="I84" s="262">
        <f ca="1">I69+I76+I79+I82+I71+I73</f>
        <v>3771.0112139564862</v>
      </c>
      <c r="J84" s="262">
        <f t="shared" ref="J84:AA84" ca="1" si="82">J69+J76+J79+J82+J71+J73</f>
        <v>3771.0112139564862</v>
      </c>
      <c r="K84" s="262">
        <f t="shared" ca="1" si="82"/>
        <v>3771.0112139564862</v>
      </c>
      <c r="L84" s="262">
        <f t="shared" ca="1" si="82"/>
        <v>3771.0112139564862</v>
      </c>
      <c r="M84" s="262">
        <f t="shared" ca="1" si="82"/>
        <v>3771.0112139564862</v>
      </c>
      <c r="N84" s="262">
        <f t="shared" ca="1" si="82"/>
        <v>3771.0112139564862</v>
      </c>
      <c r="O84" s="262">
        <f t="shared" ca="1" si="82"/>
        <v>3771.0112139564862</v>
      </c>
      <c r="P84" s="262">
        <f t="shared" ca="1" si="82"/>
        <v>3771.0112139564862</v>
      </c>
      <c r="Q84" s="262">
        <f t="shared" ca="1" si="82"/>
        <v>3771.0112139564862</v>
      </c>
      <c r="R84" s="262">
        <f t="shared" ca="1" si="82"/>
        <v>2913.6203143328148</v>
      </c>
      <c r="S84" s="262">
        <f t="shared" ca="1" si="82"/>
        <v>2955.6557125629033</v>
      </c>
      <c r="T84" s="262">
        <f t="shared" ca="1" si="82"/>
        <v>2955.6557125629033</v>
      </c>
      <c r="U84" s="262">
        <f t="shared" ca="1" si="82"/>
        <v>2955.6557125629033</v>
      </c>
      <c r="V84" s="262">
        <f t="shared" ca="1" si="82"/>
        <v>2955.6557125629033</v>
      </c>
      <c r="W84" s="262">
        <f t="shared" si="82"/>
        <v>591.16873156342194</v>
      </c>
      <c r="X84" s="262">
        <f t="shared" si="82"/>
        <v>591.16873156342194</v>
      </c>
      <c r="Y84" s="262">
        <f t="shared" si="82"/>
        <v>591.16873156342194</v>
      </c>
      <c r="Z84" s="262">
        <f t="shared" si="82"/>
        <v>591.16873156342206</v>
      </c>
      <c r="AA84" s="262">
        <f t="shared" si="82"/>
        <v>591.16873156342206</v>
      </c>
    </row>
  </sheetData>
  <mergeCells count="26">
    <mergeCell ref="F27:G27"/>
    <mergeCell ref="H27:AA27"/>
    <mergeCell ref="F34:G34"/>
    <mergeCell ref="H34:AA34"/>
    <mergeCell ref="F66:G66"/>
    <mergeCell ref="H66:AA66"/>
    <mergeCell ref="B74:B77"/>
    <mergeCell ref="B78:B79"/>
    <mergeCell ref="B80:B83"/>
    <mergeCell ref="C34:C35"/>
    <mergeCell ref="C66:C67"/>
    <mergeCell ref="B46:B47"/>
    <mergeCell ref="B48:B51"/>
    <mergeCell ref="B66:B67"/>
    <mergeCell ref="B68:B69"/>
    <mergeCell ref="B70:B71"/>
    <mergeCell ref="B34:B35"/>
    <mergeCell ref="B36:B37"/>
    <mergeCell ref="B38:B39"/>
    <mergeCell ref="B40:B41"/>
    <mergeCell ref="B42:B45"/>
    <mergeCell ref="D34:D35"/>
    <mergeCell ref="D66:D67"/>
    <mergeCell ref="E34:E35"/>
    <mergeCell ref="E66:E67"/>
    <mergeCell ref="B72:B73"/>
  </mergeCells>
  <phoneticPr fontId="65" type="noConversion"/>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AA68"/>
  <sheetViews>
    <sheetView showGridLines="0" zoomScale="70" zoomScaleNormal="70" workbookViewId="0">
      <pane xSplit="4" ySplit="4" topLeftCell="E5" activePane="bottomRight" state="frozen"/>
      <selection pane="topRight"/>
      <selection pane="bottomLeft"/>
      <selection pane="bottomRight" activeCell="H13" sqref="H13"/>
    </sheetView>
  </sheetViews>
  <sheetFormatPr defaultColWidth="8.81640625" defaultRowHeight="16.5" x14ac:dyDescent="0.25"/>
  <cols>
    <col min="1" max="1" width="4.453125" style="91" customWidth="1"/>
    <col min="2" max="2" width="8.81640625" style="91"/>
    <col min="3" max="3" width="46.81640625" style="91" customWidth="1"/>
    <col min="4" max="4" width="14.6328125" style="91" customWidth="1"/>
    <col min="5" max="7" width="8.81640625" style="91"/>
    <col min="8" max="8" width="12.54296875" style="91" customWidth="1"/>
    <col min="9" max="12" width="13.54296875" style="91" customWidth="1"/>
    <col min="13" max="13" width="13.54296875" style="133" customWidth="1"/>
    <col min="14" max="17" width="13.54296875" style="91" customWidth="1"/>
    <col min="18" max="18" width="13.54296875" style="133" customWidth="1"/>
    <col min="19" max="25" width="13.54296875" style="91" customWidth="1"/>
    <col min="26" max="27" width="12" style="91" customWidth="1"/>
    <col min="28" max="16384" width="8.81640625" style="91"/>
  </cols>
  <sheetData>
    <row r="1" spans="2:27" ht="9" customHeight="1" x14ac:dyDescent="0.25"/>
    <row r="2" spans="2:27" ht="18.5" customHeight="1" x14ac:dyDescent="0.25">
      <c r="B2" s="184" t="s">
        <v>393</v>
      </c>
    </row>
    <row r="3" spans="2:27" x14ac:dyDescent="0.25">
      <c r="B3" s="433" t="s">
        <v>14</v>
      </c>
      <c r="C3" s="433" t="s">
        <v>318</v>
      </c>
      <c r="D3" s="433" t="s">
        <v>306</v>
      </c>
      <c r="E3" s="433" t="s">
        <v>38</v>
      </c>
      <c r="F3" s="417" t="s">
        <v>93</v>
      </c>
      <c r="G3" s="417"/>
      <c r="H3" s="418" t="s">
        <v>103</v>
      </c>
      <c r="I3" s="418"/>
      <c r="J3" s="418"/>
      <c r="K3" s="418"/>
      <c r="L3" s="418"/>
      <c r="M3" s="432"/>
      <c r="N3" s="418"/>
      <c r="O3" s="418"/>
      <c r="P3" s="418"/>
      <c r="Q3" s="418"/>
      <c r="R3" s="432"/>
      <c r="S3" s="418"/>
      <c r="T3" s="418"/>
      <c r="U3" s="418"/>
      <c r="V3" s="418"/>
      <c r="W3" s="418"/>
      <c r="X3" s="418"/>
      <c r="Y3" s="418"/>
      <c r="Z3" s="418"/>
      <c r="AA3" s="418"/>
    </row>
    <row r="4" spans="2:27" x14ac:dyDescent="0.25">
      <c r="B4" s="434"/>
      <c r="C4" s="434"/>
      <c r="D4" s="434"/>
      <c r="E4" s="434"/>
      <c r="F4" s="93">
        <v>1</v>
      </c>
      <c r="G4" s="93">
        <v>2</v>
      </c>
      <c r="H4" s="94">
        <v>1</v>
      </c>
      <c r="I4" s="94">
        <v>2</v>
      </c>
      <c r="J4" s="94">
        <v>3</v>
      </c>
      <c r="K4" s="94">
        <v>4</v>
      </c>
      <c r="L4" s="94">
        <v>5</v>
      </c>
      <c r="M4" s="135">
        <v>6</v>
      </c>
      <c r="N4" s="94">
        <v>7</v>
      </c>
      <c r="O4" s="94">
        <v>8</v>
      </c>
      <c r="P4" s="94">
        <v>9</v>
      </c>
      <c r="Q4" s="94">
        <v>10</v>
      </c>
      <c r="R4" s="135">
        <v>11</v>
      </c>
      <c r="S4" s="94">
        <v>12</v>
      </c>
      <c r="T4" s="94">
        <v>13</v>
      </c>
      <c r="U4" s="94">
        <v>14</v>
      </c>
      <c r="V4" s="94">
        <v>15</v>
      </c>
      <c r="W4" s="94">
        <v>16</v>
      </c>
      <c r="X4" s="94">
        <v>17</v>
      </c>
      <c r="Y4" s="94">
        <v>18</v>
      </c>
      <c r="Z4" s="94">
        <v>19</v>
      </c>
      <c r="AA4" s="94">
        <v>20</v>
      </c>
    </row>
    <row r="5" spans="2:27" x14ac:dyDescent="0.25">
      <c r="B5" s="95" t="s">
        <v>339</v>
      </c>
      <c r="C5" s="96" t="s">
        <v>394</v>
      </c>
      <c r="D5" s="99">
        <f ca="1">SUM(F5:AA5)</f>
        <v>335351.0727652671</v>
      </c>
      <c r="E5" s="103" t="s">
        <v>120</v>
      </c>
      <c r="F5" s="137"/>
      <c r="G5" s="137"/>
      <c r="H5" s="137">
        <f ca="1">H6+H15+H16+H19+H20</f>
        <v>18348.333232432404</v>
      </c>
      <c r="I5" s="137">
        <f t="shared" ref="I5:AA5" ca="1" si="0">I6+I15+I16+I19+I20</f>
        <v>18218.571567384635</v>
      </c>
      <c r="J5" s="137">
        <f t="shared" ca="1" si="0"/>
        <v>18088.822675965184</v>
      </c>
      <c r="K5" s="137">
        <f t="shared" ca="1" si="0"/>
        <v>17959.086500692723</v>
      </c>
      <c r="L5" s="137">
        <f t="shared" ca="1" si="0"/>
        <v>17829.362984344592</v>
      </c>
      <c r="M5" s="138">
        <f t="shared" ca="1" si="0"/>
        <v>18526.787081800296</v>
      </c>
      <c r="N5" s="137">
        <f t="shared" ca="1" si="0"/>
        <v>18388.487438294225</v>
      </c>
      <c r="O5" s="137">
        <f t="shared" ca="1" si="0"/>
        <v>18250.234419629276</v>
      </c>
      <c r="P5" s="137">
        <f t="shared" ca="1" si="0"/>
        <v>18112.027815993653</v>
      </c>
      <c r="Q5" s="137">
        <f t="shared" ca="1" si="0"/>
        <v>17973.867418519734</v>
      </c>
      <c r="R5" s="138">
        <f t="shared" ca="1" si="0"/>
        <v>17011.401942664954</v>
      </c>
      <c r="S5" s="137">
        <f t="shared" ca="1" si="0"/>
        <v>16908.731564755417</v>
      </c>
      <c r="T5" s="137">
        <f t="shared" ca="1" si="0"/>
        <v>16770.708541938715</v>
      </c>
      <c r="U5" s="137">
        <f t="shared" ca="1" si="0"/>
        <v>16632.730899170023</v>
      </c>
      <c r="V5" s="137">
        <f t="shared" ca="1" si="0"/>
        <v>16494.798432239128</v>
      </c>
      <c r="W5" s="137">
        <f t="shared" ca="1" si="0"/>
        <v>13992.423956855278</v>
      </c>
      <c r="X5" s="137">
        <f t="shared" ca="1" si="0"/>
        <v>13979.879534856893</v>
      </c>
      <c r="Y5" s="137">
        <f t="shared" ca="1" si="0"/>
        <v>13967.379681562807</v>
      </c>
      <c r="Z5" s="137">
        <f t="shared" ca="1" si="0"/>
        <v>13954.924196413855</v>
      </c>
      <c r="AA5" s="137">
        <f t="shared" ca="1" si="0"/>
        <v>13942.512879753385</v>
      </c>
    </row>
    <row r="6" spans="2:27" x14ac:dyDescent="0.25">
      <c r="B6" s="95">
        <v>1</v>
      </c>
      <c r="C6" s="96" t="s">
        <v>199</v>
      </c>
      <c r="D6" s="99">
        <f t="shared" ref="D6:D24" ca="1" si="1">SUM(F6:AA6)</f>
        <v>319691.66477608174</v>
      </c>
      <c r="E6" s="103"/>
      <c r="F6" s="137"/>
      <c r="G6" s="137"/>
      <c r="H6" s="137">
        <f ca="1">SUM(H7:H14)</f>
        <v>16437.67811302992</v>
      </c>
      <c r="I6" s="137">
        <f t="shared" ref="I6:AA6" ca="1" si="2">SUM(I7:I14)</f>
        <v>16433.214750198062</v>
      </c>
      <c r="J6" s="137">
        <f t="shared" ca="1" si="2"/>
        <v>16428.764160994524</v>
      </c>
      <c r="K6" s="137">
        <f t="shared" ca="1" si="2"/>
        <v>16424.326287937976</v>
      </c>
      <c r="L6" s="137">
        <f t="shared" ca="1" si="2"/>
        <v>16419.901073805755</v>
      </c>
      <c r="M6" s="138">
        <f t="shared" ca="1" si="2"/>
        <v>17242.623473477372</v>
      </c>
      <c r="N6" s="137">
        <f t="shared" ca="1" si="2"/>
        <v>17229.622132187214</v>
      </c>
      <c r="O6" s="137">
        <f t="shared" ca="1" si="2"/>
        <v>17216.667415738175</v>
      </c>
      <c r="P6" s="137">
        <f t="shared" ca="1" si="2"/>
        <v>17203.759114318465</v>
      </c>
      <c r="Q6" s="137">
        <f t="shared" ca="1" si="2"/>
        <v>17190.897019060456</v>
      </c>
      <c r="R6" s="138">
        <f t="shared" ca="1" si="2"/>
        <v>16353.729845421592</v>
      </c>
      <c r="S6" s="137">
        <f t="shared" ca="1" si="2"/>
        <v>16376.357769727965</v>
      </c>
      <c r="T6" s="137">
        <f t="shared" ca="1" si="2"/>
        <v>16363.633049127173</v>
      </c>
      <c r="U6" s="137">
        <f t="shared" ca="1" si="2"/>
        <v>16350.953708574394</v>
      </c>
      <c r="V6" s="137">
        <f t="shared" ca="1" si="2"/>
        <v>16338.319543859412</v>
      </c>
      <c r="W6" s="137">
        <f t="shared" ca="1" si="2"/>
        <v>13961.243370691474</v>
      </c>
      <c r="X6" s="137">
        <f t="shared" ca="1" si="2"/>
        <v>13948.698948693089</v>
      </c>
      <c r="Y6" s="137">
        <f t="shared" ca="1" si="2"/>
        <v>13936.199095399003</v>
      </c>
      <c r="Z6" s="137">
        <f t="shared" ca="1" si="2"/>
        <v>13923.743610250051</v>
      </c>
      <c r="AA6" s="137">
        <f t="shared" ca="1" si="2"/>
        <v>13911.332293589581</v>
      </c>
    </row>
    <row r="7" spans="2:27" s="66" customFormat="1" x14ac:dyDescent="0.25">
      <c r="B7" s="51">
        <v>1.1000000000000001</v>
      </c>
      <c r="C7" s="185" t="s">
        <v>395</v>
      </c>
      <c r="D7" s="55">
        <f t="shared" si="1"/>
        <v>104000</v>
      </c>
      <c r="E7" s="186" t="s">
        <v>120</v>
      </c>
      <c r="F7" s="72"/>
      <c r="G7" s="72"/>
      <c r="H7" s="72">
        <f>参数输入表!$H$374/(1+参数输入表!$H$378)</f>
        <v>5200</v>
      </c>
      <c r="I7" s="72">
        <f>参数输入表!$H$374/(1+参数输入表!$H$378)</f>
        <v>5200</v>
      </c>
      <c r="J7" s="72">
        <f>参数输入表!$H$374/(1+参数输入表!$H$378)</f>
        <v>5200</v>
      </c>
      <c r="K7" s="72">
        <f>参数输入表!$H$374/(1+参数输入表!$H$378)</f>
        <v>5200</v>
      </c>
      <c r="L7" s="72">
        <f>参数输入表!$H$374/(1+参数输入表!$H$378)</f>
        <v>5200</v>
      </c>
      <c r="M7" s="72">
        <f>参数输入表!$H$375/(1+参数输入表!$H$378)</f>
        <v>5200</v>
      </c>
      <c r="N7" s="72">
        <f>参数输入表!$H$375/(1+参数输入表!$H$378)</f>
        <v>5200</v>
      </c>
      <c r="O7" s="72">
        <f>参数输入表!$H$375/(1+参数输入表!$H$378)</f>
        <v>5200</v>
      </c>
      <c r="P7" s="72">
        <f>参数输入表!$H$375/(1+参数输入表!$H$378)</f>
        <v>5200</v>
      </c>
      <c r="Q7" s="72">
        <f>参数输入表!$H$375/(1+参数输入表!$H$378)</f>
        <v>5200</v>
      </c>
      <c r="R7" s="72">
        <f>参数输入表!$H$376/(1+参数输入表!$H$378)</f>
        <v>5200</v>
      </c>
      <c r="S7" s="72">
        <f>参数输入表!$H$376/(1+参数输入表!$H$378)</f>
        <v>5200</v>
      </c>
      <c r="T7" s="72">
        <f>参数输入表!$H$376/(1+参数输入表!$H$378)</f>
        <v>5200</v>
      </c>
      <c r="U7" s="72">
        <f>参数输入表!$H$376/(1+参数输入表!$H$378)</f>
        <v>5200</v>
      </c>
      <c r="V7" s="72">
        <f>参数输入表!$H$376/(1+参数输入表!$H$378)</f>
        <v>5200</v>
      </c>
      <c r="W7" s="72">
        <f>参数输入表!$H$377/(1+参数输入表!$H$378)</f>
        <v>5200</v>
      </c>
      <c r="X7" s="72">
        <f>参数输入表!$H$377/(1+参数输入表!$H$378)</f>
        <v>5200</v>
      </c>
      <c r="Y7" s="72">
        <f>参数输入表!$H$377/(1+参数输入表!$H$378)</f>
        <v>5200</v>
      </c>
      <c r="Z7" s="72">
        <f>参数输入表!$H$377/(1+参数输入表!$H$378)</f>
        <v>5200</v>
      </c>
      <c r="AA7" s="72">
        <f>参数输入表!$H$377/(1+参数输入表!$H$378)</f>
        <v>5200</v>
      </c>
    </row>
    <row r="8" spans="2:27" s="183" customFormat="1" x14ac:dyDescent="0.25">
      <c r="B8" s="187">
        <v>1.2</v>
      </c>
      <c r="C8" s="188" t="s">
        <v>189</v>
      </c>
      <c r="D8" s="189">
        <f t="shared" ca="1" si="1"/>
        <v>13910.63886642441</v>
      </c>
      <c r="E8" s="190" t="s">
        <v>120</v>
      </c>
      <c r="F8" s="191"/>
      <c r="G8" s="191"/>
      <c r="H8" s="189">
        <f ca="1">(参数输入表!$H$350-参数输入表!$H$353-参数输入表!$H$345-参数输入表!$H$346)*参数输入表!$H$382/(1+参数输入表!$H$386)</f>
        <v>695.20008491414103</v>
      </c>
      <c r="I8" s="189">
        <f ca="1">(参数输入表!$H$350-参数输入表!$H$353-参数输入表!$H$345-参数输入表!$H$346)*参数输入表!$H$382/(1+参数输入表!$H$386)</f>
        <v>695.20008491414103</v>
      </c>
      <c r="J8" s="189">
        <f ca="1">(参数输入表!$H$350-参数输入表!$H$353-参数输入表!$H$345-参数输入表!$H$346)*参数输入表!$H$382/(1+参数输入表!$H$386)</f>
        <v>695.20008491414103</v>
      </c>
      <c r="K8" s="189">
        <f ca="1">(参数输入表!$H$350-参数输入表!$H$353-参数输入表!$H$345-参数输入表!$H$346)*参数输入表!$H$382/(1+参数输入表!$H$386)</f>
        <v>695.20008491414103</v>
      </c>
      <c r="L8" s="189">
        <f ca="1">(参数输入表!$H$350-参数输入表!$H$353-参数输入表!$H$345-参数输入表!$H$346)*参数输入表!$H$382/(1+参数输入表!$H$386)</f>
        <v>695.20008491414103</v>
      </c>
      <c r="M8" s="189">
        <f ca="1">(参数输入表!$H$350-参数输入表!$H$353-参数输入表!$H$345-参数输入表!$H$346)*参数输入表!$H$382/(1+参数输入表!$H$386)</f>
        <v>695.20008491414103</v>
      </c>
      <c r="N8" s="189">
        <f ca="1">(参数输入表!$H$350-参数输入表!$H$353-参数输入表!$H$345-参数输入表!$H$346)*参数输入表!$H$382/(1+参数输入表!$H$386)</f>
        <v>695.20008491414103</v>
      </c>
      <c r="O8" s="189">
        <f ca="1">(参数输入表!$H$350-参数输入表!$H$353-参数输入表!$H$345-参数输入表!$H$346)*参数输入表!$H$382/(1+参数输入表!$H$386)</f>
        <v>695.20008491414103</v>
      </c>
      <c r="P8" s="189">
        <f ca="1">(参数输入表!$H$350-参数输入表!$H$353-参数输入表!$H$345-参数输入表!$H$346)*参数输入表!$H$382/(1+参数输入表!$H$386)</f>
        <v>695.20008491414103</v>
      </c>
      <c r="Q8" s="189">
        <f ca="1">(参数输入表!$H$350-参数输入表!$H$353-参数输入表!$H$345-参数输入表!$H$346)*参数输入表!$H$382/(1+参数输入表!$H$386)</f>
        <v>695.20008491414103</v>
      </c>
      <c r="R8" s="192">
        <f ca="1">(参数输入表!$H$350-参数输入表!$H$353-参数输入表!$H$345-参数输入表!$H$346)*参数输入表!$H$382/(1+参数输入表!$H$386)+参数输入表!$H$667*参数输入表!$H$384/(1+参数输入表!$H$679)</f>
        <v>701.83725305573398</v>
      </c>
      <c r="S8" s="189">
        <f ca="1">(参数输入表!$H$350-参数输入表!$H$353-参数输入表!$H$345-参数输入表!$H$346)*参数输入表!$H$382/(1+参数输入表!$H$386)</f>
        <v>695.20008491414103</v>
      </c>
      <c r="T8" s="189">
        <f ca="1">(参数输入表!$H$350-参数输入表!$H$353-参数输入表!$H$345-参数输入表!$H$346)*参数输入表!$H$382/(1+参数输入表!$H$386)</f>
        <v>695.20008491414103</v>
      </c>
      <c r="U8" s="189">
        <f ca="1">(参数输入表!$H$350-参数输入表!$H$353-参数输入表!$H$345-参数输入表!$H$346)*参数输入表!$H$382/(1+参数输入表!$H$386)</f>
        <v>695.20008491414103</v>
      </c>
      <c r="V8" s="189">
        <f ca="1">(参数输入表!$H$350-参数输入表!$H$353-参数输入表!$H$345-参数输入表!$H$346)*参数输入表!$H$382/(1+参数输入表!$H$386)</f>
        <v>695.20008491414103</v>
      </c>
      <c r="W8" s="189">
        <f ca="1">(参数输入表!$H$350-参数输入表!$H$353-参数输入表!$H$345-参数输入表!$H$346)*参数输入表!$H$382/(1+参数输入表!$H$386)</f>
        <v>695.20008491414103</v>
      </c>
      <c r="X8" s="189">
        <f ca="1">(参数输入表!$H$350-参数输入表!$H$353-参数输入表!$H$345-参数输入表!$H$346)*参数输入表!$H$382/(1+参数输入表!$H$386)</f>
        <v>695.20008491414103</v>
      </c>
      <c r="Y8" s="189">
        <f ca="1">(参数输入表!$H$350-参数输入表!$H$353-参数输入表!$H$345-参数输入表!$H$346)*参数输入表!$H$382/(1+参数输入表!$H$386)</f>
        <v>695.20008491414103</v>
      </c>
      <c r="Z8" s="189">
        <f ca="1">(参数输入表!$H$350-参数输入表!$H$353-参数输入表!$H$345-参数输入表!$H$346)*参数输入表!$H$382/(1+参数输入表!$H$386)</f>
        <v>695.20008491414103</v>
      </c>
      <c r="AA8" s="189">
        <f ca="1">(参数输入表!$H$350-参数输入表!$H$353-参数输入表!$H$345-参数输入表!$H$346)*参数输入表!$H$382/(1+参数输入表!$H$386)</f>
        <v>695.20008491414103</v>
      </c>
    </row>
    <row r="9" spans="2:27" x14ac:dyDescent="0.25">
      <c r="B9" s="105">
        <v>1.3</v>
      </c>
      <c r="C9" s="193" t="s">
        <v>198</v>
      </c>
      <c r="D9" s="104">
        <f t="shared" si="1"/>
        <v>15360</v>
      </c>
      <c r="E9" s="103" t="s">
        <v>120</v>
      </c>
      <c r="F9" s="137"/>
      <c r="G9" s="137"/>
      <c r="H9" s="104">
        <f>(参数输入表!$H$397*参数输入表!$H$400+参数输入表!$H$398*参数输入表!$H$401)*(1+参数输入表!$H$402)*(1+参数输入表!$H$403*(H4-1))/(1+参数输入表!$H$404)</f>
        <v>768</v>
      </c>
      <c r="I9" s="104">
        <f>(参数输入表!$H$397*参数输入表!$H$400+参数输入表!$H$398*参数输入表!$H$401)*(1+参数输入表!$H$402)*(1+参数输入表!$H$403*(I4-1))/(1+参数输入表!$H$404)</f>
        <v>768</v>
      </c>
      <c r="J9" s="104">
        <f>(参数输入表!$H$397*参数输入表!$H$400+参数输入表!$H$398*参数输入表!$H$401)*(1+参数输入表!$H$402)*(1+参数输入表!$H$403*(J4-1))/(1+参数输入表!$H$404)</f>
        <v>768</v>
      </c>
      <c r="K9" s="104">
        <f>(参数输入表!$H$397*参数输入表!$H$400+参数输入表!$H$398*参数输入表!$H$401)*(1+参数输入表!$H$402)*(1+参数输入表!$H$403*(K4-1))/(1+参数输入表!$H$404)</f>
        <v>768</v>
      </c>
      <c r="L9" s="104">
        <f>(参数输入表!$H$397*参数输入表!$H$400+参数输入表!$H$398*参数输入表!$H$401)*(1+参数输入表!$H$402)*(1+参数输入表!$H$403*(L4-1))/(1+参数输入表!$H$404)</f>
        <v>768</v>
      </c>
      <c r="M9" s="139">
        <f>(参数输入表!$H$397*参数输入表!$H$400+参数输入表!$H$398*参数输入表!$H$401)*(1+参数输入表!$H$402)*(1+参数输入表!$H$403*(M4-1))/(1+参数输入表!$H$404)</f>
        <v>768</v>
      </c>
      <c r="N9" s="104">
        <f>(参数输入表!$H$397*参数输入表!$H$400+参数输入表!$H$398*参数输入表!$H$401)*(1+参数输入表!$H$402)*(1+参数输入表!$H$403*(N4-1))/(1+参数输入表!$H$404)</f>
        <v>768</v>
      </c>
      <c r="O9" s="104">
        <f>(参数输入表!$H$397*参数输入表!$H$400+参数输入表!$H$398*参数输入表!$H$401)*(1+参数输入表!$H$402)*(1+参数输入表!$H$403*(O4-1))/(1+参数输入表!$H$404)</f>
        <v>768</v>
      </c>
      <c r="P9" s="104">
        <f>(参数输入表!$H$397*参数输入表!$H$400+参数输入表!$H$398*参数输入表!$H$401)*(1+参数输入表!$H$402)*(1+参数输入表!$H$403*(P4-1))/(1+参数输入表!$H$404)</f>
        <v>768</v>
      </c>
      <c r="Q9" s="104">
        <f>(参数输入表!$H$397*参数输入表!$H$400+参数输入表!$H$398*参数输入表!$H$401)*(1+参数输入表!$H$402)*(1+参数输入表!$H$403*(Q4-1))/(1+参数输入表!$H$404)</f>
        <v>768</v>
      </c>
      <c r="R9" s="139">
        <f>(参数输入表!$H$397*参数输入表!$H$400+参数输入表!$H$398*参数输入表!$H$401)*(1+参数输入表!$H$402)*(1+参数输入表!$H$403*(R4-1))/(1+参数输入表!$H$404)</f>
        <v>768</v>
      </c>
      <c r="S9" s="104">
        <f>(参数输入表!$H$397*参数输入表!$H$400+参数输入表!$H$398*参数输入表!$H$401)*(1+参数输入表!$H$402)*(1+参数输入表!$H$403*(S4-1))/(1+参数输入表!$H$404)</f>
        <v>768</v>
      </c>
      <c r="T9" s="104">
        <f>(参数输入表!$H$397*参数输入表!$H$400+参数输入表!$H$398*参数输入表!$H$401)*(1+参数输入表!$H$402)*(1+参数输入表!$H$403*(T4-1))/(1+参数输入表!$H$404)</f>
        <v>768</v>
      </c>
      <c r="U9" s="104">
        <f>(参数输入表!$H$397*参数输入表!$H$400+参数输入表!$H$398*参数输入表!$H$401)*(1+参数输入表!$H$402)*(1+参数输入表!$H$403*(U4-1))/(1+参数输入表!$H$404)</f>
        <v>768</v>
      </c>
      <c r="V9" s="104">
        <f>(参数输入表!$H$397*参数输入表!$H$400+参数输入表!$H$398*参数输入表!$H$401)*(1+参数输入表!$H$402)*(1+参数输入表!$H$403*(V4-1))/(1+参数输入表!$H$404)</f>
        <v>768</v>
      </c>
      <c r="W9" s="104">
        <f>(参数输入表!$H$397*参数输入表!$H$400+参数输入表!$H$398*参数输入表!$H$401)*(1+参数输入表!$H$402)*(1+参数输入表!$H$403*(W4-1))/(1+参数输入表!$H$404)</f>
        <v>768</v>
      </c>
      <c r="X9" s="104">
        <f>(参数输入表!$H$397*参数输入表!$H$400+参数输入表!$H$398*参数输入表!$H$401)*(1+参数输入表!$H$402)*(1+参数输入表!$H$403*(X4-1))/(1+参数输入表!$H$404)</f>
        <v>768</v>
      </c>
      <c r="Y9" s="104">
        <f>(参数输入表!$H$397*参数输入表!$H$400+参数输入表!$H$398*参数输入表!$H$401)*(1+参数输入表!$H$402)*(1+参数输入表!$H$403*(Y4-1))/(1+参数输入表!$H$404)</f>
        <v>768</v>
      </c>
      <c r="Z9" s="104">
        <f>(参数输入表!$H$397*参数输入表!$H$400+参数输入表!$H$398*参数输入表!$H$401)*(1+参数输入表!$H$402)*(1+参数输入表!$H$403*(Z4-1))/(1+参数输入表!$H$404)</f>
        <v>768</v>
      </c>
      <c r="AA9" s="104">
        <f>(参数输入表!$H$397*参数输入表!$H$400+参数输入表!$H$398*参数输入表!$H$401)*(1+参数输入表!$H$402)*(1+参数输入表!$H$403*(AA4-1))/(1+参数输入表!$H$404)</f>
        <v>768</v>
      </c>
    </row>
    <row r="10" spans="2:27" x14ac:dyDescent="0.25">
      <c r="B10" s="105">
        <v>1.4</v>
      </c>
      <c r="C10" s="194" t="s">
        <v>396</v>
      </c>
      <c r="D10" s="104">
        <f t="shared" si="1"/>
        <v>0</v>
      </c>
      <c r="E10" s="103" t="s">
        <v>120</v>
      </c>
      <c r="F10" s="137"/>
      <c r="G10" s="137"/>
      <c r="H10" s="104">
        <f>'表2-折旧摊销表'!H44</f>
        <v>0</v>
      </c>
      <c r="I10" s="104">
        <f>'表2-折旧摊销表'!I44</f>
        <v>0</v>
      </c>
      <c r="J10" s="104">
        <f>'表2-折旧摊销表'!J44</f>
        <v>0</v>
      </c>
      <c r="K10" s="104">
        <f>'表2-折旧摊销表'!K44</f>
        <v>0</v>
      </c>
      <c r="L10" s="104">
        <f>'表2-折旧摊销表'!L44</f>
        <v>0</v>
      </c>
      <c r="M10" s="139">
        <f>'表2-折旧摊销表'!M44</f>
        <v>0</v>
      </c>
      <c r="N10" s="104">
        <f>'表2-折旧摊销表'!N44</f>
        <v>0</v>
      </c>
      <c r="O10" s="104">
        <f>'表2-折旧摊销表'!O44</f>
        <v>0</v>
      </c>
      <c r="P10" s="104">
        <f>'表2-折旧摊销表'!P44</f>
        <v>0</v>
      </c>
      <c r="Q10" s="104">
        <f>'表2-折旧摊销表'!Q44</f>
        <v>0</v>
      </c>
      <c r="R10" s="139">
        <f>'表2-折旧摊销表'!R44</f>
        <v>0</v>
      </c>
      <c r="S10" s="104">
        <f>'表2-折旧摊销表'!S44</f>
        <v>0</v>
      </c>
      <c r="T10" s="104">
        <f>'表2-折旧摊销表'!T44</f>
        <v>0</v>
      </c>
      <c r="U10" s="104">
        <f>'表2-折旧摊销表'!U44</f>
        <v>0</v>
      </c>
      <c r="V10" s="104">
        <f>'表2-折旧摊销表'!V44</f>
        <v>0</v>
      </c>
      <c r="W10" s="104">
        <f>'表2-折旧摊销表'!W44</f>
        <v>0</v>
      </c>
      <c r="X10" s="104">
        <f>'表2-折旧摊销表'!X44</f>
        <v>0</v>
      </c>
      <c r="Y10" s="104">
        <f>'表2-折旧摊销表'!Y44</f>
        <v>0</v>
      </c>
      <c r="Z10" s="104">
        <f>'表2-折旧摊销表'!Z44</f>
        <v>0</v>
      </c>
      <c r="AA10" s="104">
        <f>'表2-折旧摊销表'!AA44</f>
        <v>0</v>
      </c>
    </row>
    <row r="11" spans="2:27" x14ac:dyDescent="0.25">
      <c r="B11" s="105">
        <v>1.5</v>
      </c>
      <c r="C11" s="193" t="s">
        <v>397</v>
      </c>
      <c r="D11" s="104">
        <f t="shared" ca="1" si="1"/>
        <v>55402.198961966402</v>
      </c>
      <c r="E11" s="103" t="s">
        <v>120</v>
      </c>
      <c r="F11" s="137"/>
      <c r="G11" s="137"/>
      <c r="H11" s="104">
        <f ca="1">'表2-折旧摊销表'!H37+'表2-折旧摊销表'!H47+'表2-折旧摊销表'!H50+'表2-折旧摊销表'!H39+'表2-折旧摊销表'!H41</f>
        <v>3771.0112139564862</v>
      </c>
      <c r="I11" s="104">
        <f ca="1">'表2-折旧摊销表'!I37+'表2-折旧摊销表'!I47+'表2-折旧摊销表'!I50+'表2-折旧摊销表'!I39+'表2-折旧摊销表'!I41</f>
        <v>3771.0112139564862</v>
      </c>
      <c r="J11" s="104">
        <f ca="1">'表2-折旧摊销表'!J37+'表2-折旧摊销表'!J47+'表2-折旧摊销表'!J50+'表2-折旧摊销表'!J39+'表2-折旧摊销表'!J41</f>
        <v>3771.0112139564862</v>
      </c>
      <c r="K11" s="104">
        <f ca="1">'表2-折旧摊销表'!K37+'表2-折旧摊销表'!K47+'表2-折旧摊销表'!K50+'表2-折旧摊销表'!K39+'表2-折旧摊销表'!K41</f>
        <v>3771.0112139564862</v>
      </c>
      <c r="L11" s="104">
        <f ca="1">'表2-折旧摊销表'!L37+'表2-折旧摊销表'!L47+'表2-折旧摊销表'!L50+'表2-折旧摊销表'!L39+'表2-折旧摊销表'!L41</f>
        <v>3771.0112139564862</v>
      </c>
      <c r="M11" s="104">
        <f ca="1">'表2-折旧摊销表'!M37+'表2-折旧摊销表'!M47+'表2-折旧摊销表'!M50+'表2-折旧摊销表'!M39+'表2-折旧摊销表'!M41</f>
        <v>3771.0112139564862</v>
      </c>
      <c r="N11" s="104">
        <f ca="1">'表2-折旧摊销表'!N37+'表2-折旧摊销表'!N47+'表2-折旧摊销表'!N50+'表2-折旧摊销表'!N39+'表2-折旧摊销表'!N41</f>
        <v>3771.0112139564862</v>
      </c>
      <c r="O11" s="104">
        <f ca="1">'表2-折旧摊销表'!O37+'表2-折旧摊销表'!O47+'表2-折旧摊销表'!O50+'表2-折旧摊销表'!O39+'表2-折旧摊销表'!O41</f>
        <v>3771.0112139564862</v>
      </c>
      <c r="P11" s="104">
        <f ca="1">'表2-折旧摊销表'!P37+'表2-折旧摊销表'!P47+'表2-折旧摊销表'!P50+'表2-折旧摊销表'!P39+'表2-折旧摊销表'!P41</f>
        <v>3771.0112139564862</v>
      </c>
      <c r="Q11" s="104">
        <f ca="1">'表2-折旧摊销表'!Q37+'表2-折旧摊销表'!Q47+'表2-折旧摊销表'!Q50+'表2-折旧摊销表'!Q39+'表2-折旧摊销表'!Q41</f>
        <v>3771.0112139564862</v>
      </c>
      <c r="R11" s="104">
        <f ca="1">'表2-折旧摊销表'!R37+'表2-折旧摊销表'!R47+'表2-折旧摊销表'!R50+'表2-折旧摊销表'!R39+'表2-折旧摊销表'!R41</f>
        <v>2913.6203143328148</v>
      </c>
      <c r="S11" s="104">
        <f ca="1">'表2-折旧摊销表'!S37+'表2-折旧摊销表'!S47+'表2-折旧摊销表'!S50+'表2-折旧摊销表'!S39+'表2-折旧摊销表'!S41</f>
        <v>2955.6557125629033</v>
      </c>
      <c r="T11" s="104">
        <f ca="1">'表2-折旧摊销表'!T37+'表2-折旧摊销表'!T47+'表2-折旧摊销表'!T50+'表2-折旧摊销表'!T39+'表2-折旧摊销表'!T41</f>
        <v>2955.6557125629033</v>
      </c>
      <c r="U11" s="104">
        <f ca="1">'表2-折旧摊销表'!U37+'表2-折旧摊销表'!U47+'表2-折旧摊销表'!U50+'表2-折旧摊销表'!U39+'表2-折旧摊销表'!U41</f>
        <v>2955.6557125629033</v>
      </c>
      <c r="V11" s="104">
        <f ca="1">'表2-折旧摊销表'!V37+'表2-折旧摊销表'!V47+'表2-折旧摊销表'!V50+'表2-折旧摊销表'!V39+'表2-折旧摊销表'!V41</f>
        <v>2955.6557125629033</v>
      </c>
      <c r="W11" s="104">
        <f>'表2-折旧摊销表'!W37+'表2-折旧摊销表'!W47+'表2-折旧摊销表'!W50+'表2-折旧摊销表'!W39+'表2-折旧摊销表'!W41</f>
        <v>591.16873156342194</v>
      </c>
      <c r="X11" s="104">
        <f>'表2-折旧摊销表'!X37+'表2-折旧摊销表'!X47+'表2-折旧摊销表'!X50+'表2-折旧摊销表'!X39+'表2-折旧摊销表'!X41</f>
        <v>591.16873156342194</v>
      </c>
      <c r="Y11" s="104">
        <f>'表2-折旧摊销表'!Y37+'表2-折旧摊销表'!Y47+'表2-折旧摊销表'!Y50+'表2-折旧摊销表'!Y39+'表2-折旧摊销表'!Y41</f>
        <v>591.16873156342194</v>
      </c>
      <c r="Z11" s="104">
        <f>'表2-折旧摊销表'!Z37+'表2-折旧摊销表'!Z47+'表2-折旧摊销表'!Z50+'表2-折旧摊销表'!Z39+'表2-折旧摊销表'!Z41</f>
        <v>591.16873156342206</v>
      </c>
      <c r="AA11" s="104">
        <f>'表2-折旧摊销表'!AA37+'表2-折旧摊销表'!AA47+'表2-折旧摊销表'!AA50+'表2-折旧摊销表'!AA39+'表2-折旧摊销表'!AA41</f>
        <v>591.16873156342206</v>
      </c>
    </row>
    <row r="12" spans="2:27" s="183" customFormat="1" x14ac:dyDescent="0.25">
      <c r="B12" s="187">
        <v>1.6</v>
      </c>
      <c r="C12" s="195" t="s">
        <v>21</v>
      </c>
      <c r="D12" s="189">
        <f t="shared" si="1"/>
        <v>44000</v>
      </c>
      <c r="E12" s="190" t="s">
        <v>120</v>
      </c>
      <c r="F12" s="191"/>
      <c r="G12" s="191"/>
      <c r="H12" s="189">
        <f>参数输入表!$H$405/(1+参数输入表!$H$406)</f>
        <v>2200</v>
      </c>
      <c r="I12" s="189">
        <f>参数输入表!$H$405/(1+参数输入表!$H$406)</f>
        <v>2200</v>
      </c>
      <c r="J12" s="189">
        <f>参数输入表!$H$405/(1+参数输入表!$H$406)</f>
        <v>2200</v>
      </c>
      <c r="K12" s="189">
        <f>参数输入表!$H$405/(1+参数输入表!$H$406)</f>
        <v>2200</v>
      </c>
      <c r="L12" s="189">
        <f>参数输入表!$H$405/(1+参数输入表!$H$406)</f>
        <v>2200</v>
      </c>
      <c r="M12" s="189">
        <f>参数输入表!$H$405/(1+参数输入表!$H$406)</f>
        <v>2200</v>
      </c>
      <c r="N12" s="189">
        <f>参数输入表!$H$405/(1+参数输入表!$H$406)</f>
        <v>2200</v>
      </c>
      <c r="O12" s="189">
        <f>参数输入表!$H$405/(1+参数输入表!$H$406)</f>
        <v>2200</v>
      </c>
      <c r="P12" s="189">
        <f>参数输入表!$H$405/(1+参数输入表!$H$406)</f>
        <v>2200</v>
      </c>
      <c r="Q12" s="189">
        <f>参数输入表!$H$405/(1+参数输入表!$H$406)</f>
        <v>2200</v>
      </c>
      <c r="R12" s="189">
        <f>参数输入表!$H$405/(1+参数输入表!$H$406)</f>
        <v>2200</v>
      </c>
      <c r="S12" s="189">
        <f>参数输入表!$H$405/(1+参数输入表!$H$406)</f>
        <v>2200</v>
      </c>
      <c r="T12" s="189">
        <f>参数输入表!$H$405/(1+参数输入表!$H$406)</f>
        <v>2200</v>
      </c>
      <c r="U12" s="189">
        <f>参数输入表!$H$405/(1+参数输入表!$H$406)</f>
        <v>2200</v>
      </c>
      <c r="V12" s="189">
        <f>参数输入表!$H$405/(1+参数输入表!$H$406)</f>
        <v>2200</v>
      </c>
      <c r="W12" s="189">
        <f>参数输入表!$H$405/(1+参数输入表!$H$406)</f>
        <v>2200</v>
      </c>
      <c r="X12" s="189">
        <f>参数输入表!$H$405/(1+参数输入表!$H$406)</f>
        <v>2200</v>
      </c>
      <c r="Y12" s="189">
        <f>参数输入表!$H$405/(1+参数输入表!$H$406)</f>
        <v>2200</v>
      </c>
      <c r="Z12" s="189">
        <f>参数输入表!$H$405/(1+参数输入表!$H$406)</f>
        <v>2200</v>
      </c>
      <c r="AA12" s="189">
        <f>参数输入表!$H$405/(1+参数输入表!$H$406)</f>
        <v>2200</v>
      </c>
    </row>
    <row r="13" spans="2:27" s="183" customFormat="1" x14ac:dyDescent="0.25">
      <c r="B13" s="187">
        <v>1.7</v>
      </c>
      <c r="C13" s="195" t="s">
        <v>398</v>
      </c>
      <c r="D13" s="189">
        <f t="shared" si="1"/>
        <v>83018.826947690832</v>
      </c>
      <c r="E13" s="190" t="s">
        <v>120</v>
      </c>
      <c r="F13" s="191"/>
      <c r="G13" s="191"/>
      <c r="H13" s="189">
        <f>参数输入表!H417*参数输入表!H418/10/(1+参数输入表!$H$617)+参数输入表!H597/(1+参数输入表!$H$617)</f>
        <v>3603.4668141592924</v>
      </c>
      <c r="I13" s="189">
        <f>参数输入表!H426*参数输入表!H427/10/(1+参数输入表!$H$617)+参数输入表!H598/(1+参数输入表!$H$617)</f>
        <v>3599.0034513274336</v>
      </c>
      <c r="J13" s="189">
        <f>参数输入表!H435*参数输入表!H436/10/(1+参数输入表!$H$617)+参数输入表!H599/(1+参数输入表!$H$617)</f>
        <v>3594.5528621238946</v>
      </c>
      <c r="K13" s="189">
        <f>参数输入表!H444*参数输入表!H445/10/(1+参数输入表!$H$617)+参数输入表!H600/(1+参数输入表!$H$617)</f>
        <v>3590.1149890673455</v>
      </c>
      <c r="L13" s="189">
        <f>参数输入表!H453*参数输入表!H454/10/(1+参数输入表!$H$617)+参数输入表!H601/(1+参数输入表!$H$617)</f>
        <v>3585.6897749351269</v>
      </c>
      <c r="M13" s="189">
        <f>参数输入表!H462*参数输入表!H463/10/(1+参数输入表!$H$617)+参数输入表!H602/(1+参数输入表!$H$617)</f>
        <v>4408.4121746067422</v>
      </c>
      <c r="N13" s="189">
        <f>参数输入表!H471*参数输入表!H472/10/(1+参数输入表!$H$617)+参数输入表!H603/(1+参数输入表!$H$617)</f>
        <v>4395.4108333165877</v>
      </c>
      <c r="O13" s="189">
        <f>参数输入表!H480*参数输入表!H481/10/(1+参数输入表!$H$617)+参数输入表!H604/(1+参数输入表!$H$617)</f>
        <v>4382.4561168675473</v>
      </c>
      <c r="P13" s="189">
        <f>参数输入表!H489*参数输入表!H490/10/(1+参数输入表!$H$617)+参数输入表!H605/(1+参数输入表!$H$617)</f>
        <v>4369.5478154478378</v>
      </c>
      <c r="Q13" s="189">
        <f>参数输入表!H498*参数输入表!H499/10/(1+参数输入表!$H$617)+参数输入表!H606/(1+参数输入表!$H$617)</f>
        <v>4356.6857201898265</v>
      </c>
      <c r="R13" s="189">
        <f>参数输入表!H507*参数输入表!H508/10/(1+参数输入表!$H$617)+参数输入表!H607/(1+参数输入表!$H$617)</f>
        <v>4370.2722780330432</v>
      </c>
      <c r="S13" s="189">
        <f>参数输入表!H516*参数输入表!H517/10/(1+参数输入表!$H$617)+参数输入表!H608/(1+参数输入表!$H$617)</f>
        <v>4357.5019722509214</v>
      </c>
      <c r="T13" s="189">
        <f>参数输入表!H525*参数输入表!H526/10/(1+参数输入表!$H$617)+参数输入表!H609/(1+参数输入表!$H$617)</f>
        <v>4344.7772516501282</v>
      </c>
      <c r="U13" s="189">
        <f>参数输入表!H534*参数输入表!H535/10/(1+参数输入表!$H$617)+参数输入表!H610/(1+参数输入表!$H$617)</f>
        <v>4332.0979110973485</v>
      </c>
      <c r="V13" s="189">
        <f>参数输入表!H543*参数输入表!H544/10/(1+参数输入表!$H$617)+参数输入表!H611/(1+参数输入表!$H$617)</f>
        <v>4319.4637463823674</v>
      </c>
      <c r="W13" s="189">
        <f>参数输入表!H552*参数输入表!H553/10/(1+参数输入表!$H$617)+参数输入表!H612/(1+参数输入表!$H$617)</f>
        <v>4306.8745542139122</v>
      </c>
      <c r="X13" s="189">
        <f>参数输入表!H561*参数输入表!H562/10/(1+参数输入表!$H$617)+参数输入表!H613/(1+参数输入表!$H$617)</f>
        <v>4294.3301322155257</v>
      </c>
      <c r="Y13" s="189">
        <f>参数输入表!H570*参数输入表!H571/10/(1+参数输入表!$H$617)+参数输入表!H614/(1+参数输入表!$H$617)</f>
        <v>4281.8302789214395</v>
      </c>
      <c r="Z13" s="189">
        <f>参数输入表!H579*参数输入表!H580/10/(1+参数输入表!$H$617)+参数输入表!H615/(1+参数输入表!$H$617)</f>
        <v>4269.3747937724875</v>
      </c>
      <c r="AA13" s="189">
        <f>参数输入表!H588*参数输入表!H589/10/(1+参数输入表!$H$617)+参数输入表!H616/(1+参数输入表!$H$617)</f>
        <v>4256.9634771120172</v>
      </c>
    </row>
    <row r="14" spans="2:27" s="183" customFormat="1" x14ac:dyDescent="0.25">
      <c r="B14" s="187">
        <v>1.8</v>
      </c>
      <c r="C14" s="195" t="s">
        <v>211</v>
      </c>
      <c r="D14" s="189">
        <f t="shared" si="1"/>
        <v>4000</v>
      </c>
      <c r="E14" s="190" t="s">
        <v>120</v>
      </c>
      <c r="F14" s="191"/>
      <c r="G14" s="191"/>
      <c r="H14" s="189">
        <f>参数输入表!$H$408/(1+参数输入表!$H$409)</f>
        <v>200</v>
      </c>
      <c r="I14" s="189">
        <f>参数输入表!$H$408/(1+参数输入表!$H$409)</f>
        <v>200</v>
      </c>
      <c r="J14" s="189">
        <f>参数输入表!$H$408/(1+参数输入表!$H$409)</f>
        <v>200</v>
      </c>
      <c r="K14" s="189">
        <f>参数输入表!$H$408/(1+参数输入表!$H$409)</f>
        <v>200</v>
      </c>
      <c r="L14" s="189">
        <f>参数输入表!$H$408/(1+参数输入表!$H$409)</f>
        <v>200</v>
      </c>
      <c r="M14" s="189">
        <f>参数输入表!$H$408/(1+参数输入表!$H$409)</f>
        <v>200</v>
      </c>
      <c r="N14" s="189">
        <f>参数输入表!$H$408/(1+参数输入表!$H$409)</f>
        <v>200</v>
      </c>
      <c r="O14" s="189">
        <f>参数输入表!$H$408/(1+参数输入表!$H$409)</f>
        <v>200</v>
      </c>
      <c r="P14" s="189">
        <f>参数输入表!$H$408/(1+参数输入表!$H$409)</f>
        <v>200</v>
      </c>
      <c r="Q14" s="189">
        <f>参数输入表!$H$408/(1+参数输入表!$H$409)</f>
        <v>200</v>
      </c>
      <c r="R14" s="189">
        <f>参数输入表!$H$408/(1+参数输入表!$H$409)</f>
        <v>200</v>
      </c>
      <c r="S14" s="189">
        <f>参数输入表!$H$408/(1+参数输入表!$H$409)</f>
        <v>200</v>
      </c>
      <c r="T14" s="189">
        <f>参数输入表!$H$408/(1+参数输入表!$H$409)</f>
        <v>200</v>
      </c>
      <c r="U14" s="189">
        <f>参数输入表!$H$408/(1+参数输入表!$H$409)</f>
        <v>200</v>
      </c>
      <c r="V14" s="189">
        <f>参数输入表!$H$408/(1+参数输入表!$H$409)</f>
        <v>200</v>
      </c>
      <c r="W14" s="189">
        <f>参数输入表!$H$408/(1+参数输入表!$H$409)</f>
        <v>200</v>
      </c>
      <c r="X14" s="189">
        <f>参数输入表!$H$408/(1+参数输入表!$H$409)</f>
        <v>200</v>
      </c>
      <c r="Y14" s="189">
        <f>参数输入表!$H$408/(1+参数输入表!$H$409)</f>
        <v>200</v>
      </c>
      <c r="Z14" s="189">
        <f>参数输入表!$H$408/(1+参数输入表!$H$409)</f>
        <v>200</v>
      </c>
      <c r="AA14" s="189">
        <f>参数输入表!$H$408/(1+参数输入表!$H$409)</f>
        <v>200</v>
      </c>
    </row>
    <row r="15" spans="2:27" ht="21" customHeight="1" x14ac:dyDescent="0.25">
      <c r="B15" s="95">
        <v>2</v>
      </c>
      <c r="C15" s="96" t="s">
        <v>399</v>
      </c>
      <c r="D15" s="99">
        <f t="shared" si="1"/>
        <v>0</v>
      </c>
      <c r="E15" s="103" t="s">
        <v>120</v>
      </c>
      <c r="F15" s="103"/>
      <c r="G15" s="103"/>
      <c r="H15" s="99">
        <v>0</v>
      </c>
      <c r="I15" s="99">
        <v>0</v>
      </c>
      <c r="J15" s="99">
        <v>0</v>
      </c>
      <c r="K15" s="99">
        <v>0</v>
      </c>
      <c r="L15" s="99">
        <v>0</v>
      </c>
      <c r="M15" s="140">
        <v>0</v>
      </c>
      <c r="N15" s="99">
        <v>0</v>
      </c>
      <c r="O15" s="99">
        <v>0</v>
      </c>
      <c r="P15" s="99">
        <v>0</v>
      </c>
      <c r="Q15" s="99">
        <v>0</v>
      </c>
      <c r="R15" s="140">
        <v>0</v>
      </c>
      <c r="S15" s="99">
        <v>0</v>
      </c>
      <c r="T15" s="99">
        <v>0</v>
      </c>
      <c r="U15" s="99">
        <v>0</v>
      </c>
      <c r="V15" s="99">
        <v>0</v>
      </c>
      <c r="W15" s="99">
        <v>0</v>
      </c>
      <c r="X15" s="99">
        <v>0</v>
      </c>
      <c r="Y15" s="99">
        <v>0</v>
      </c>
      <c r="Z15" s="99">
        <v>0</v>
      </c>
      <c r="AA15" s="99">
        <v>0</v>
      </c>
    </row>
    <row r="16" spans="2:27" ht="21" customHeight="1" x14ac:dyDescent="0.25">
      <c r="B16" s="95">
        <v>3</v>
      </c>
      <c r="C16" s="96" t="s">
        <v>195</v>
      </c>
      <c r="D16" s="99">
        <f t="shared" ca="1" si="1"/>
        <v>463.591723276094</v>
      </c>
      <c r="E16" s="103" t="s">
        <v>120</v>
      </c>
      <c r="F16" s="103"/>
      <c r="G16" s="103"/>
      <c r="H16" s="99">
        <f t="shared" ref="H16:AA16" ca="1" si="3">SUM(H17:H18)</f>
        <v>23.179586163804704</v>
      </c>
      <c r="I16" s="99">
        <f t="shared" ca="1" si="3"/>
        <v>23.179586163804704</v>
      </c>
      <c r="J16" s="99">
        <f t="shared" ca="1" si="3"/>
        <v>23.179586163804704</v>
      </c>
      <c r="K16" s="99">
        <f t="shared" ca="1" si="3"/>
        <v>23.179586163804704</v>
      </c>
      <c r="L16" s="99">
        <f t="shared" ca="1" si="3"/>
        <v>23.179586163804704</v>
      </c>
      <c r="M16" s="140">
        <f t="shared" ca="1" si="3"/>
        <v>23.179586163804704</v>
      </c>
      <c r="N16" s="99">
        <f t="shared" ca="1" si="3"/>
        <v>23.179586163804704</v>
      </c>
      <c r="O16" s="99">
        <f t="shared" ca="1" si="3"/>
        <v>23.179586163804704</v>
      </c>
      <c r="P16" s="99">
        <f t="shared" ca="1" si="3"/>
        <v>23.179586163804704</v>
      </c>
      <c r="Q16" s="99">
        <f t="shared" ca="1" si="3"/>
        <v>23.179586163804704</v>
      </c>
      <c r="R16" s="140">
        <f t="shared" ca="1" si="3"/>
        <v>23.179586163804704</v>
      </c>
      <c r="S16" s="99">
        <f t="shared" ca="1" si="3"/>
        <v>23.179586163804704</v>
      </c>
      <c r="T16" s="99">
        <f t="shared" ca="1" si="3"/>
        <v>23.179586163804704</v>
      </c>
      <c r="U16" s="99">
        <f t="shared" ca="1" si="3"/>
        <v>23.179586163804704</v>
      </c>
      <c r="V16" s="99">
        <f t="shared" ca="1" si="3"/>
        <v>23.179586163804704</v>
      </c>
      <c r="W16" s="99">
        <f t="shared" ca="1" si="3"/>
        <v>23.179586163804704</v>
      </c>
      <c r="X16" s="99">
        <f t="shared" ca="1" si="3"/>
        <v>23.179586163804704</v>
      </c>
      <c r="Y16" s="99">
        <f t="shared" ca="1" si="3"/>
        <v>23.179586163804704</v>
      </c>
      <c r="Z16" s="99">
        <f t="shared" ca="1" si="3"/>
        <v>23.179586163804704</v>
      </c>
      <c r="AA16" s="99">
        <f t="shared" ca="1" si="3"/>
        <v>23.179586163804704</v>
      </c>
    </row>
    <row r="17" spans="2:27" s="183" customFormat="1" ht="21" customHeight="1" x14ac:dyDescent="0.25">
      <c r="B17" s="187">
        <v>3.1</v>
      </c>
      <c r="C17" s="196" t="s">
        <v>400</v>
      </c>
      <c r="D17" s="189">
        <f t="shared" ca="1" si="1"/>
        <v>463.591723276094</v>
      </c>
      <c r="E17" s="190" t="s">
        <v>120</v>
      </c>
      <c r="F17" s="190"/>
      <c r="G17" s="190"/>
      <c r="H17" s="189">
        <f ca="1">('表2-折旧摊销表'!$D$4)*参数输入表!$H$390/(1+参数输入表!$H$394)</f>
        <v>23.179586163804704</v>
      </c>
      <c r="I17" s="189">
        <f ca="1">('表2-折旧摊销表'!$D$4)*参数输入表!$H$390/(1+参数输入表!$H$394)</f>
        <v>23.179586163804704</v>
      </c>
      <c r="J17" s="189">
        <f ca="1">('表2-折旧摊销表'!$D$4)*参数输入表!$H$390/(1+参数输入表!$H$394)</f>
        <v>23.179586163804704</v>
      </c>
      <c r="K17" s="189">
        <f ca="1">('表2-折旧摊销表'!$D$4)*参数输入表!$H$390/(1+参数输入表!$H$394)</f>
        <v>23.179586163804704</v>
      </c>
      <c r="L17" s="189">
        <f ca="1">('表2-折旧摊销表'!$D$4)*参数输入表!$H$390/(1+参数输入表!$H$394)</f>
        <v>23.179586163804704</v>
      </c>
      <c r="M17" s="189">
        <f ca="1">('表2-折旧摊销表'!$D$4)*参数输入表!$H$390/(1+参数输入表!$H$394)</f>
        <v>23.179586163804704</v>
      </c>
      <c r="N17" s="189">
        <f ca="1">('表2-折旧摊销表'!$D$4)*参数输入表!$H$390/(1+参数输入表!$H$394)</f>
        <v>23.179586163804704</v>
      </c>
      <c r="O17" s="189">
        <f ca="1">('表2-折旧摊销表'!$D$4)*参数输入表!$H$390/(1+参数输入表!$H$394)</f>
        <v>23.179586163804704</v>
      </c>
      <c r="P17" s="189">
        <f ca="1">('表2-折旧摊销表'!$D$4)*参数输入表!$H$390/(1+参数输入表!$H$394)</f>
        <v>23.179586163804704</v>
      </c>
      <c r="Q17" s="189">
        <f ca="1">('表2-折旧摊销表'!$D$4)*参数输入表!$H$390/(1+参数输入表!$H$394)</f>
        <v>23.179586163804704</v>
      </c>
      <c r="R17" s="189">
        <f ca="1">('表2-折旧摊销表'!$D$4)*参数输入表!$H$390/(1+参数输入表!$H$394)</f>
        <v>23.179586163804704</v>
      </c>
      <c r="S17" s="189">
        <f ca="1">('表2-折旧摊销表'!$D$4)*参数输入表!$H$390/(1+参数输入表!$H$394)</f>
        <v>23.179586163804704</v>
      </c>
      <c r="T17" s="189">
        <f ca="1">('表2-折旧摊销表'!$D$4)*参数输入表!$H$390/(1+参数输入表!$H$394)</f>
        <v>23.179586163804704</v>
      </c>
      <c r="U17" s="189">
        <f ca="1">('表2-折旧摊销表'!$D$4)*参数输入表!$H$390/(1+参数输入表!$H$394)</f>
        <v>23.179586163804704</v>
      </c>
      <c r="V17" s="189">
        <f ca="1">('表2-折旧摊销表'!$D$4)*参数输入表!$H$390/(1+参数输入表!$H$394)</f>
        <v>23.179586163804704</v>
      </c>
      <c r="W17" s="189">
        <f ca="1">('表2-折旧摊销表'!$D$4)*参数输入表!$H$390/(1+参数输入表!$H$394)</f>
        <v>23.179586163804704</v>
      </c>
      <c r="X17" s="189">
        <f ca="1">('表2-折旧摊销表'!$D$4)*参数输入表!$H$390/(1+参数输入表!$H$394)</f>
        <v>23.179586163804704</v>
      </c>
      <c r="Y17" s="189">
        <f ca="1">('表2-折旧摊销表'!$D$4)*参数输入表!$H$390/(1+参数输入表!$H$394)</f>
        <v>23.179586163804704</v>
      </c>
      <c r="Z17" s="189">
        <f ca="1">('表2-折旧摊销表'!$D$4)*参数输入表!$H$390/(1+参数输入表!$H$394)</f>
        <v>23.179586163804704</v>
      </c>
      <c r="AA17" s="189">
        <f ca="1">('表2-折旧摊销表'!$D$4)*参数输入表!$H$390/(1+参数输入表!$H$394)</f>
        <v>23.179586163804704</v>
      </c>
    </row>
    <row r="18" spans="2:27" ht="21" customHeight="1" x14ac:dyDescent="0.25">
      <c r="B18" s="112">
        <v>3.2</v>
      </c>
      <c r="C18" s="197" t="s">
        <v>212</v>
      </c>
      <c r="D18" s="104">
        <f t="shared" ca="1" si="1"/>
        <v>0</v>
      </c>
      <c r="E18" s="103" t="s">
        <v>120</v>
      </c>
      <c r="F18" s="103"/>
      <c r="G18" s="103"/>
      <c r="H18" s="104">
        <v>0</v>
      </c>
      <c r="I18" s="104">
        <v>0</v>
      </c>
      <c r="J18" s="104">
        <v>0</v>
      </c>
      <c r="K18" s="104">
        <v>0</v>
      </c>
      <c r="L18" s="104">
        <v>0</v>
      </c>
      <c r="M18" s="139">
        <v>0</v>
      </c>
      <c r="N18" s="104">
        <v>0</v>
      </c>
      <c r="O18" s="104">
        <v>0</v>
      </c>
      <c r="P18" s="104">
        <v>0</v>
      </c>
      <c r="Q18" s="104">
        <v>0</v>
      </c>
      <c r="R18" s="139">
        <v>0</v>
      </c>
      <c r="S18" s="104">
        <v>0</v>
      </c>
      <c r="T18" s="104">
        <v>0</v>
      </c>
      <c r="U18" s="104">
        <v>0</v>
      </c>
      <c r="V18" s="104">
        <v>0</v>
      </c>
      <c r="W18" s="104">
        <v>0</v>
      </c>
      <c r="X18" s="104">
        <v>0</v>
      </c>
      <c r="Y18" s="104">
        <v>0</v>
      </c>
      <c r="Z18" s="104">
        <v>0</v>
      </c>
      <c r="AA18" s="104">
        <f ca="1">参数输入表!H412*参数输入表!H411/(1+参数输入表!$H$413)</f>
        <v>0</v>
      </c>
    </row>
    <row r="19" spans="2:27" ht="21" customHeight="1" x14ac:dyDescent="0.25">
      <c r="B19" s="95">
        <v>4</v>
      </c>
      <c r="C19" s="96" t="s">
        <v>401</v>
      </c>
      <c r="D19" s="99">
        <f t="shared" si="1"/>
        <v>0</v>
      </c>
      <c r="E19" s="103" t="s">
        <v>120</v>
      </c>
      <c r="F19" s="103"/>
      <c r="G19" s="103"/>
      <c r="H19" s="99">
        <v>0</v>
      </c>
      <c r="I19" s="99">
        <v>0</v>
      </c>
      <c r="J19" s="99">
        <v>0</v>
      </c>
      <c r="K19" s="99">
        <v>0</v>
      </c>
      <c r="L19" s="99">
        <v>0</v>
      </c>
      <c r="M19" s="140">
        <v>0</v>
      </c>
      <c r="N19" s="99">
        <v>0</v>
      </c>
      <c r="O19" s="99">
        <v>0</v>
      </c>
      <c r="P19" s="99">
        <v>0</v>
      </c>
      <c r="Q19" s="99">
        <v>0</v>
      </c>
      <c r="R19" s="140">
        <v>0</v>
      </c>
      <c r="S19" s="99">
        <v>0</v>
      </c>
      <c r="T19" s="99">
        <v>0</v>
      </c>
      <c r="U19" s="99">
        <v>0</v>
      </c>
      <c r="V19" s="99">
        <v>0</v>
      </c>
      <c r="W19" s="99">
        <v>0</v>
      </c>
      <c r="X19" s="99">
        <v>0</v>
      </c>
      <c r="Y19" s="99">
        <v>0</v>
      </c>
      <c r="Z19" s="99">
        <v>0</v>
      </c>
      <c r="AA19" s="99">
        <v>0</v>
      </c>
    </row>
    <row r="20" spans="2:27" ht="21" customHeight="1" x14ac:dyDescent="0.25">
      <c r="B20" s="107">
        <v>5</v>
      </c>
      <c r="C20" s="130" t="s">
        <v>402</v>
      </c>
      <c r="D20" s="99">
        <f t="shared" ca="1" si="1"/>
        <v>15195.81626590942</v>
      </c>
      <c r="E20" s="103" t="s">
        <v>120</v>
      </c>
      <c r="F20" s="103"/>
      <c r="G20" s="103"/>
      <c r="H20" s="99">
        <f ca="1">SUM(H21:H23)</f>
        <v>1887.4755332386783</v>
      </c>
      <c r="I20" s="99">
        <f t="shared" ref="I20:AA20" ca="1" si="4">SUM(I21:I23)</f>
        <v>1762.1772310227661</v>
      </c>
      <c r="J20" s="99">
        <f t="shared" ca="1" si="4"/>
        <v>1636.8789288068542</v>
      </c>
      <c r="K20" s="99">
        <f t="shared" ca="1" si="4"/>
        <v>1511.5806265909423</v>
      </c>
      <c r="L20" s="99">
        <f t="shared" ca="1" si="4"/>
        <v>1386.2823243750302</v>
      </c>
      <c r="M20" s="140">
        <f t="shared" ca="1" si="4"/>
        <v>1260.9840221591182</v>
      </c>
      <c r="N20" s="99">
        <f t="shared" ca="1" si="4"/>
        <v>1135.6857199432063</v>
      </c>
      <c r="O20" s="99">
        <f t="shared" ca="1" si="4"/>
        <v>1010.3874177272945</v>
      </c>
      <c r="P20" s="99">
        <f t="shared" ca="1" si="4"/>
        <v>885.08911551138272</v>
      </c>
      <c r="Q20" s="99">
        <f t="shared" ca="1" si="4"/>
        <v>759.79081329547091</v>
      </c>
      <c r="R20" s="140">
        <f t="shared" ca="1" si="4"/>
        <v>634.49251107955899</v>
      </c>
      <c r="S20" s="99">
        <f t="shared" ca="1" si="4"/>
        <v>509.19420886364713</v>
      </c>
      <c r="T20" s="99">
        <f t="shared" ca="1" si="4"/>
        <v>383.89590664773527</v>
      </c>
      <c r="U20" s="99">
        <f t="shared" ca="1" si="4"/>
        <v>258.59760443182341</v>
      </c>
      <c r="V20" s="99">
        <f t="shared" ca="1" si="4"/>
        <v>133.29930221591152</v>
      </c>
      <c r="W20" s="99">
        <f t="shared" si="4"/>
        <v>8.0009999999999994</v>
      </c>
      <c r="X20" s="99">
        <f t="shared" si="4"/>
        <v>8.0009999999999994</v>
      </c>
      <c r="Y20" s="99">
        <f t="shared" si="4"/>
        <v>8.0009999999999994</v>
      </c>
      <c r="Z20" s="99">
        <f t="shared" si="4"/>
        <v>8.0009999999999994</v>
      </c>
      <c r="AA20" s="99">
        <f t="shared" si="4"/>
        <v>8.0009999999999994</v>
      </c>
    </row>
    <row r="21" spans="2:27" ht="21" customHeight="1" x14ac:dyDescent="0.25">
      <c r="B21" s="105">
        <v>5.0999999999999996</v>
      </c>
      <c r="C21" s="193" t="s">
        <v>403</v>
      </c>
      <c r="D21" s="104">
        <f t="shared" ca="1" si="1"/>
        <v>15035.796265909421</v>
      </c>
      <c r="E21" s="103" t="s">
        <v>120</v>
      </c>
      <c r="F21" s="103"/>
      <c r="G21" s="103"/>
      <c r="H21" s="104">
        <f ca="1">'表1-资金筹措及还本付息表'!H43</f>
        <v>1879.4745332386783</v>
      </c>
      <c r="I21" s="104">
        <f ca="1">'表1-资金筹措及还本付息表'!I53</f>
        <v>1754.1762310227662</v>
      </c>
      <c r="J21" s="104">
        <f ca="1">'表1-资金筹措及还本付息表'!J53</f>
        <v>1628.8779288068542</v>
      </c>
      <c r="K21" s="104">
        <f ca="1">'表1-资金筹措及还本付息表'!K53</f>
        <v>1503.5796265909423</v>
      </c>
      <c r="L21" s="104">
        <f ca="1">'表1-资金筹措及还本付息表'!L53</f>
        <v>1378.2813243750302</v>
      </c>
      <c r="M21" s="139">
        <f ca="1">'表1-资金筹措及还本付息表'!M53</f>
        <v>1252.9830221591183</v>
      </c>
      <c r="N21" s="104">
        <f ca="1">'表1-资金筹措及还本付息表'!N53</f>
        <v>1127.6847199432063</v>
      </c>
      <c r="O21" s="104">
        <f ca="1">'表1-资金筹措及还本付息表'!O53</f>
        <v>1002.3864177272945</v>
      </c>
      <c r="P21" s="104">
        <f ca="1">'表1-资金筹措及还本付息表'!P53</f>
        <v>877.08811551138274</v>
      </c>
      <c r="Q21" s="104">
        <f ca="1">'表1-资金筹措及还本付息表'!Q53</f>
        <v>751.78981329547094</v>
      </c>
      <c r="R21" s="139">
        <f ca="1">'表1-资金筹措及还本付息表'!R53</f>
        <v>626.49151107955902</v>
      </c>
      <c r="S21" s="104">
        <f ca="1">'表1-资金筹措及还本付息表'!S53</f>
        <v>501.19320886364716</v>
      </c>
      <c r="T21" s="104">
        <f ca="1">'表1-资金筹措及还本付息表'!T53</f>
        <v>375.8949066477353</v>
      </c>
      <c r="U21" s="104">
        <f ca="1">'表1-资金筹措及还本付息表'!U53</f>
        <v>250.59660443182344</v>
      </c>
      <c r="V21" s="104">
        <f ca="1">'表1-资金筹措及还本付息表'!V53</f>
        <v>125.29830221591153</v>
      </c>
      <c r="W21" s="104">
        <f>'表1-资金筹措及还本付息表'!W43</f>
        <v>0</v>
      </c>
      <c r="X21" s="104">
        <f>'表1-资金筹措及还本付息表'!X43</f>
        <v>0</v>
      </c>
      <c r="Y21" s="104">
        <f>'表1-资金筹措及还本付息表'!Y43</f>
        <v>0</v>
      </c>
      <c r="Z21" s="104">
        <f>'表1-资金筹措及还本付息表'!Z43</f>
        <v>0</v>
      </c>
      <c r="AA21" s="104">
        <f>'表1-资金筹措及还本付息表'!AA43</f>
        <v>0</v>
      </c>
    </row>
    <row r="22" spans="2:27" ht="21" customHeight="1" x14ac:dyDescent="0.25">
      <c r="B22" s="105">
        <v>5.2</v>
      </c>
      <c r="C22" s="193" t="s">
        <v>404</v>
      </c>
      <c r="D22" s="104">
        <f t="shared" si="1"/>
        <v>160.02000000000004</v>
      </c>
      <c r="E22" s="103" t="s">
        <v>120</v>
      </c>
      <c r="F22" s="103"/>
      <c r="G22" s="103"/>
      <c r="H22" s="104">
        <f>'表1-资金筹措及还本付息表'!H63</f>
        <v>8.0009999999999994</v>
      </c>
      <c r="I22" s="104">
        <f>'表1-资金筹措及还本付息表'!I63</f>
        <v>8.0009999999999994</v>
      </c>
      <c r="J22" s="104">
        <f>'表1-资金筹措及还本付息表'!J63</f>
        <v>8.0009999999999994</v>
      </c>
      <c r="K22" s="104">
        <f>'表1-资金筹措及还本付息表'!K63</f>
        <v>8.0009999999999994</v>
      </c>
      <c r="L22" s="104">
        <f>'表1-资金筹措及还本付息表'!L63</f>
        <v>8.0009999999999994</v>
      </c>
      <c r="M22" s="139">
        <f>'表1-资金筹措及还本付息表'!M63</f>
        <v>8.0009999999999994</v>
      </c>
      <c r="N22" s="104">
        <f>'表1-资金筹措及还本付息表'!N63</f>
        <v>8.0009999999999994</v>
      </c>
      <c r="O22" s="104">
        <f>'表1-资金筹措及还本付息表'!O63</f>
        <v>8.0009999999999994</v>
      </c>
      <c r="P22" s="104">
        <f>'表1-资金筹措及还本付息表'!P63</f>
        <v>8.0009999999999994</v>
      </c>
      <c r="Q22" s="104">
        <f>'表1-资金筹措及还本付息表'!Q63</f>
        <v>8.0009999999999994</v>
      </c>
      <c r="R22" s="139">
        <f>'表1-资金筹措及还本付息表'!R63</f>
        <v>8.0009999999999994</v>
      </c>
      <c r="S22" s="104">
        <f>'表1-资金筹措及还本付息表'!S63</f>
        <v>8.0009999999999994</v>
      </c>
      <c r="T22" s="104">
        <f>'表1-资金筹措及还本付息表'!T63</f>
        <v>8.0009999999999994</v>
      </c>
      <c r="U22" s="104">
        <f>'表1-资金筹措及还本付息表'!U63</f>
        <v>8.0009999999999994</v>
      </c>
      <c r="V22" s="104">
        <f>'表1-资金筹措及还本付息表'!V63</f>
        <v>8.0009999999999994</v>
      </c>
      <c r="W22" s="104">
        <f>'表1-资金筹措及还本付息表'!W63</f>
        <v>8.0009999999999994</v>
      </c>
      <c r="X22" s="104">
        <f>'表1-资金筹措及还本付息表'!X63</f>
        <v>8.0009999999999994</v>
      </c>
      <c r="Y22" s="104">
        <f>'表1-资金筹措及还本付息表'!Y63</f>
        <v>8.0009999999999994</v>
      </c>
      <c r="Z22" s="104">
        <f>'表1-资金筹措及还本付息表'!Z63</f>
        <v>8.0009999999999994</v>
      </c>
      <c r="AA22" s="104">
        <f>'表1-资金筹措及还本付息表'!AA63</f>
        <v>8.0009999999999994</v>
      </c>
    </row>
    <row r="23" spans="2:27" ht="21" customHeight="1" x14ac:dyDescent="0.25">
      <c r="B23" s="105">
        <v>5.3</v>
      </c>
      <c r="C23" s="193" t="s">
        <v>405</v>
      </c>
      <c r="D23" s="104">
        <f t="shared" si="1"/>
        <v>0</v>
      </c>
      <c r="E23" s="103" t="s">
        <v>120</v>
      </c>
      <c r="F23" s="103"/>
      <c r="G23" s="103"/>
      <c r="H23" s="104">
        <f>'表1-资金筹措及还本付息表'!H73</f>
        <v>0</v>
      </c>
      <c r="I23" s="104">
        <f>'表1-资金筹措及还本付息表'!I73</f>
        <v>0</v>
      </c>
      <c r="J23" s="104">
        <f>'表1-资金筹措及还本付息表'!J73</f>
        <v>0</v>
      </c>
      <c r="K23" s="104">
        <f>'表1-资金筹措及还本付息表'!K73</f>
        <v>0</v>
      </c>
      <c r="L23" s="104">
        <f>'表1-资金筹措及还本付息表'!L73</f>
        <v>0</v>
      </c>
      <c r="M23" s="139">
        <f>'表1-资金筹措及还本付息表'!M73</f>
        <v>0</v>
      </c>
      <c r="N23" s="104">
        <f>'表1-资金筹措及还本付息表'!N73</f>
        <v>0</v>
      </c>
      <c r="O23" s="104">
        <f>'表1-资金筹措及还本付息表'!O73</f>
        <v>0</v>
      </c>
      <c r="P23" s="104">
        <f>'表1-资金筹措及还本付息表'!P73</f>
        <v>0</v>
      </c>
      <c r="Q23" s="104">
        <f>'表1-资金筹措及还本付息表'!Q73</f>
        <v>0</v>
      </c>
      <c r="R23" s="139">
        <f>'表1-资金筹措及还本付息表'!R73</f>
        <v>0</v>
      </c>
      <c r="S23" s="104">
        <f>'表1-资金筹措及还本付息表'!S73</f>
        <v>0</v>
      </c>
      <c r="T23" s="104">
        <f>'表1-资金筹措及还本付息表'!T73</f>
        <v>0</v>
      </c>
      <c r="U23" s="104">
        <f>'表1-资金筹措及还本付息表'!U73</f>
        <v>0</v>
      </c>
      <c r="V23" s="104">
        <f>'表1-资金筹措及还本付息表'!V73</f>
        <v>0</v>
      </c>
      <c r="W23" s="104">
        <f>'表1-资金筹措及还本付息表'!W73</f>
        <v>0</v>
      </c>
      <c r="X23" s="104">
        <f>'表1-资金筹措及还本付息表'!X73</f>
        <v>0</v>
      </c>
      <c r="Y23" s="104">
        <f>'表1-资金筹措及还本付息表'!Y73</f>
        <v>0</v>
      </c>
      <c r="Z23" s="104">
        <f>'表1-资金筹措及还本付息表'!Z73</f>
        <v>0</v>
      </c>
      <c r="AA23" s="104">
        <f>'表1-资金筹措及还本付息表'!AA73</f>
        <v>0</v>
      </c>
    </row>
    <row r="24" spans="2:27" ht="21" customHeight="1" x14ac:dyDescent="0.25">
      <c r="B24" s="107" t="s">
        <v>340</v>
      </c>
      <c r="C24" s="157" t="s">
        <v>264</v>
      </c>
      <c r="D24" s="99">
        <f t="shared" si="1"/>
        <v>0</v>
      </c>
      <c r="E24" s="103" t="s">
        <v>120</v>
      </c>
      <c r="F24" s="103"/>
      <c r="G24" s="103"/>
      <c r="H24" s="99">
        <f>参数输入表!$H$682/(1+参数输入表!$H$686)</f>
        <v>0</v>
      </c>
      <c r="I24" s="99">
        <f>参数输入表!$H$682/(1+参数输入表!$H$686)</f>
        <v>0</v>
      </c>
      <c r="J24" s="99">
        <f>参数输入表!$H$682/(1+参数输入表!$H$686)</f>
        <v>0</v>
      </c>
      <c r="K24" s="99">
        <f>参数输入表!$H$682/(1+参数输入表!$H$686)</f>
        <v>0</v>
      </c>
      <c r="L24" s="99">
        <f>参数输入表!$H$682/(1+参数输入表!$H$686)</f>
        <v>0</v>
      </c>
      <c r="M24" s="140">
        <f>参数输入表!$H$682/(1+参数输入表!$H$686)</f>
        <v>0</v>
      </c>
      <c r="N24" s="99">
        <f>参数输入表!$H$682/(1+参数输入表!$H$686)</f>
        <v>0</v>
      </c>
      <c r="O24" s="99">
        <f>参数输入表!$H$682/(1+参数输入表!$H$686)</f>
        <v>0</v>
      </c>
      <c r="P24" s="99">
        <f>参数输入表!$H$682/(1+参数输入表!$H$686)</f>
        <v>0</v>
      </c>
      <c r="Q24" s="99">
        <f>参数输入表!$H$682/(1+参数输入表!$H$686)</f>
        <v>0</v>
      </c>
      <c r="R24" s="140">
        <f>参数输入表!$H$682/(1+参数输入表!$H$686)</f>
        <v>0</v>
      </c>
      <c r="S24" s="99">
        <f>参数输入表!$H$682/(1+参数输入表!$H$686)</f>
        <v>0</v>
      </c>
      <c r="T24" s="99">
        <f>参数输入表!$H$682/(1+参数输入表!$H$686)</f>
        <v>0</v>
      </c>
      <c r="U24" s="99">
        <f>参数输入表!$H$682/(1+参数输入表!$H$686)</f>
        <v>0</v>
      </c>
      <c r="V24" s="99">
        <f>参数输入表!$H$682/(1+参数输入表!$H$686)</f>
        <v>0</v>
      </c>
      <c r="W24" s="99">
        <f>参数输入表!$H$682/(1+参数输入表!$H$686)</f>
        <v>0</v>
      </c>
      <c r="X24" s="99">
        <f>参数输入表!$H$682/(1+参数输入表!$H$686)</f>
        <v>0</v>
      </c>
      <c r="Y24" s="99">
        <f>参数输入表!$H$682/(1+参数输入表!$H$686)</f>
        <v>0</v>
      </c>
      <c r="Z24" s="99">
        <f>参数输入表!$H$682/(1+参数输入表!$H$686)</f>
        <v>0</v>
      </c>
      <c r="AA24" s="99">
        <f>参数输入表!$H$682/(1+参数输入表!$H$686)</f>
        <v>0</v>
      </c>
    </row>
    <row r="25" spans="2:27" ht="21" customHeight="1" x14ac:dyDescent="0.25">
      <c r="B25" s="198"/>
      <c r="C25" s="199"/>
      <c r="D25" s="200"/>
      <c r="E25" s="201"/>
      <c r="F25" s="201"/>
      <c r="G25" s="201"/>
      <c r="H25" s="200"/>
      <c r="I25" s="200"/>
      <c r="J25" s="200"/>
      <c r="K25" s="200"/>
      <c r="L25" s="200"/>
      <c r="M25" s="202"/>
      <c r="N25" s="200"/>
      <c r="O25" s="200"/>
      <c r="P25" s="200"/>
      <c r="Q25" s="200"/>
      <c r="R25" s="202"/>
      <c r="S25" s="200"/>
      <c r="T25" s="200"/>
      <c r="U25" s="200"/>
      <c r="V25" s="200"/>
      <c r="W25" s="200"/>
      <c r="X25" s="200"/>
      <c r="Y25" s="200"/>
      <c r="Z25" s="200"/>
      <c r="AA25" s="200"/>
    </row>
    <row r="26" spans="2:27" ht="21" customHeight="1" x14ac:dyDescent="0.25">
      <c r="B26" s="184" t="s">
        <v>406</v>
      </c>
      <c r="C26" s="199"/>
      <c r="D26" s="200"/>
      <c r="E26" s="201"/>
      <c r="F26" s="201"/>
      <c r="G26" s="201"/>
      <c r="H26" s="200"/>
      <c r="I26" s="200"/>
      <c r="J26" s="200"/>
      <c r="K26" s="200"/>
      <c r="L26" s="200"/>
      <c r="M26" s="202"/>
      <c r="N26" s="200"/>
      <c r="O26" s="200"/>
      <c r="P26" s="200"/>
      <c r="Q26" s="200"/>
      <c r="R26" s="202"/>
      <c r="S26" s="200"/>
      <c r="T26" s="200"/>
      <c r="U26" s="200"/>
      <c r="V26" s="200"/>
      <c r="W26" s="200"/>
      <c r="X26" s="200"/>
      <c r="Y26" s="200"/>
      <c r="Z26" s="200"/>
      <c r="AA26" s="200"/>
    </row>
    <row r="27" spans="2:27" ht="21" customHeight="1" x14ac:dyDescent="0.25">
      <c r="B27" s="433" t="s">
        <v>14</v>
      </c>
      <c r="C27" s="433" t="s">
        <v>318</v>
      </c>
      <c r="D27" s="433" t="s">
        <v>306</v>
      </c>
      <c r="E27" s="433" t="s">
        <v>38</v>
      </c>
      <c r="F27" s="417" t="s">
        <v>93</v>
      </c>
      <c r="G27" s="417"/>
      <c r="H27" s="418" t="s">
        <v>103</v>
      </c>
      <c r="I27" s="418"/>
      <c r="J27" s="418"/>
      <c r="K27" s="418"/>
      <c r="L27" s="418"/>
      <c r="M27" s="432"/>
      <c r="N27" s="418"/>
      <c r="O27" s="418"/>
      <c r="P27" s="418"/>
      <c r="Q27" s="418"/>
      <c r="R27" s="432"/>
      <c r="S27" s="418"/>
      <c r="T27" s="418"/>
      <c r="U27" s="418"/>
      <c r="V27" s="418"/>
      <c r="W27" s="418"/>
      <c r="X27" s="418"/>
      <c r="Y27" s="418"/>
      <c r="Z27" s="418"/>
      <c r="AA27" s="418"/>
    </row>
    <row r="28" spans="2:27" ht="21" customHeight="1" x14ac:dyDescent="0.25">
      <c r="B28" s="434"/>
      <c r="C28" s="434"/>
      <c r="D28" s="434"/>
      <c r="E28" s="434"/>
      <c r="F28" s="93">
        <v>1</v>
      </c>
      <c r="G28" s="93">
        <v>2</v>
      </c>
      <c r="H28" s="94">
        <v>1</v>
      </c>
      <c r="I28" s="94">
        <v>2</v>
      </c>
      <c r="J28" s="94">
        <v>3</v>
      </c>
      <c r="K28" s="94">
        <v>4</v>
      </c>
      <c r="L28" s="94">
        <v>5</v>
      </c>
      <c r="M28" s="135">
        <v>6</v>
      </c>
      <c r="N28" s="94">
        <v>7</v>
      </c>
      <c r="O28" s="94">
        <v>8</v>
      </c>
      <c r="P28" s="94">
        <v>9</v>
      </c>
      <c r="Q28" s="94">
        <v>10</v>
      </c>
      <c r="R28" s="135">
        <v>11</v>
      </c>
      <c r="S28" s="94">
        <v>12</v>
      </c>
      <c r="T28" s="94">
        <v>13</v>
      </c>
      <c r="U28" s="94">
        <v>14</v>
      </c>
      <c r="V28" s="94">
        <v>15</v>
      </c>
      <c r="W28" s="94">
        <v>16</v>
      </c>
      <c r="X28" s="94">
        <v>17</v>
      </c>
      <c r="Y28" s="94">
        <v>18</v>
      </c>
      <c r="Z28" s="94">
        <v>19</v>
      </c>
      <c r="AA28" s="94">
        <v>20</v>
      </c>
    </row>
    <row r="29" spans="2:27" ht="21" customHeight="1" x14ac:dyDescent="0.25">
      <c r="B29" s="95" t="s">
        <v>339</v>
      </c>
      <c r="C29" s="96" t="s">
        <v>394</v>
      </c>
      <c r="D29" s="99">
        <f t="shared" ref="D29:D44" ca="1" si="5">SUM(F29:AA29)</f>
        <v>320155.2564993577</v>
      </c>
      <c r="E29" s="103" t="s">
        <v>120</v>
      </c>
      <c r="F29" s="137"/>
      <c r="G29" s="137"/>
      <c r="H29" s="137">
        <f ca="1">H30+H39+H40+H43</f>
        <v>16460.857699193726</v>
      </c>
      <c r="I29" s="137">
        <f t="shared" ref="I29:AA29" ca="1" si="6">I30+I39+I40+I43</f>
        <v>16456.394336361867</v>
      </c>
      <c r="J29" s="137">
        <f t="shared" ca="1" si="6"/>
        <v>16451.94374715833</v>
      </c>
      <c r="K29" s="137">
        <f t="shared" ca="1" si="6"/>
        <v>16447.505874101782</v>
      </c>
      <c r="L29" s="137">
        <f t="shared" ca="1" si="6"/>
        <v>16443.080659969561</v>
      </c>
      <c r="M29" s="138">
        <f t="shared" ca="1" si="6"/>
        <v>17265.803059641177</v>
      </c>
      <c r="N29" s="137">
        <f t="shared" ca="1" si="6"/>
        <v>17252.80171835102</v>
      </c>
      <c r="O29" s="137">
        <f t="shared" ca="1" si="6"/>
        <v>17239.847001901981</v>
      </c>
      <c r="P29" s="137">
        <f t="shared" ca="1" si="6"/>
        <v>17226.938700482271</v>
      </c>
      <c r="Q29" s="137">
        <f t="shared" ca="1" si="6"/>
        <v>17214.076605224262</v>
      </c>
      <c r="R29" s="138">
        <f t="shared" ca="1" si="6"/>
        <v>16376.909431585396</v>
      </c>
      <c r="S29" s="137">
        <f t="shared" ca="1" si="6"/>
        <v>16399.537355891771</v>
      </c>
      <c r="T29" s="137">
        <f t="shared" ca="1" si="6"/>
        <v>16386.812635290979</v>
      </c>
      <c r="U29" s="137">
        <f t="shared" ca="1" si="6"/>
        <v>16374.133294738198</v>
      </c>
      <c r="V29" s="137">
        <f t="shared" ca="1" si="6"/>
        <v>16361.499130023216</v>
      </c>
      <c r="W29" s="137">
        <f t="shared" ca="1" si="6"/>
        <v>13984.422956855278</v>
      </c>
      <c r="X29" s="137">
        <f t="shared" ca="1" si="6"/>
        <v>13971.878534856893</v>
      </c>
      <c r="Y29" s="137">
        <f t="shared" ca="1" si="6"/>
        <v>13959.378681562806</v>
      </c>
      <c r="Z29" s="137">
        <f t="shared" ca="1" si="6"/>
        <v>13946.923196413854</v>
      </c>
      <c r="AA29" s="137">
        <f t="shared" ca="1" si="6"/>
        <v>13934.511879753385</v>
      </c>
    </row>
    <row r="30" spans="2:27" ht="26.5" customHeight="1" x14ac:dyDescent="0.25">
      <c r="B30" s="95">
        <v>1</v>
      </c>
      <c r="C30" s="96" t="s">
        <v>199</v>
      </c>
      <c r="D30" s="99">
        <f t="shared" ca="1" si="5"/>
        <v>319691.66477608174</v>
      </c>
      <c r="E30" s="103"/>
      <c r="F30" s="137"/>
      <c r="G30" s="137"/>
      <c r="H30" s="137">
        <f ca="1">SUM(H31:H38)</f>
        <v>16437.67811302992</v>
      </c>
      <c r="I30" s="137">
        <f t="shared" ref="I30:AA30" ca="1" si="7">SUM(I31:I38)</f>
        <v>16433.214750198062</v>
      </c>
      <c r="J30" s="137">
        <f t="shared" ca="1" si="7"/>
        <v>16428.764160994524</v>
      </c>
      <c r="K30" s="137">
        <f t="shared" ca="1" si="7"/>
        <v>16424.326287937976</v>
      </c>
      <c r="L30" s="137">
        <f t="shared" ca="1" si="7"/>
        <v>16419.901073805755</v>
      </c>
      <c r="M30" s="138">
        <f t="shared" ca="1" si="7"/>
        <v>17242.623473477372</v>
      </c>
      <c r="N30" s="137">
        <f t="shared" ca="1" si="7"/>
        <v>17229.622132187214</v>
      </c>
      <c r="O30" s="137">
        <f t="shared" ca="1" si="7"/>
        <v>17216.667415738175</v>
      </c>
      <c r="P30" s="137">
        <f t="shared" ca="1" si="7"/>
        <v>17203.759114318465</v>
      </c>
      <c r="Q30" s="137">
        <f t="shared" ca="1" si="7"/>
        <v>17190.897019060456</v>
      </c>
      <c r="R30" s="138">
        <f t="shared" ca="1" si="7"/>
        <v>16353.729845421592</v>
      </c>
      <c r="S30" s="137">
        <f t="shared" ca="1" si="7"/>
        <v>16376.357769727965</v>
      </c>
      <c r="T30" s="137">
        <f t="shared" ca="1" si="7"/>
        <v>16363.633049127173</v>
      </c>
      <c r="U30" s="137">
        <f t="shared" ca="1" si="7"/>
        <v>16350.953708574394</v>
      </c>
      <c r="V30" s="137">
        <f t="shared" ca="1" si="7"/>
        <v>16338.319543859412</v>
      </c>
      <c r="W30" s="137">
        <f t="shared" ca="1" si="7"/>
        <v>13961.243370691474</v>
      </c>
      <c r="X30" s="137">
        <f t="shared" ca="1" si="7"/>
        <v>13948.698948693089</v>
      </c>
      <c r="Y30" s="137">
        <f t="shared" ca="1" si="7"/>
        <v>13936.199095399003</v>
      </c>
      <c r="Z30" s="137">
        <f t="shared" ca="1" si="7"/>
        <v>13923.743610250051</v>
      </c>
      <c r="AA30" s="137">
        <f t="shared" ca="1" si="7"/>
        <v>13911.332293589581</v>
      </c>
    </row>
    <row r="31" spans="2:27" s="183" customFormat="1" ht="20" customHeight="1" x14ac:dyDescent="0.25">
      <c r="B31" s="187">
        <v>1.1000000000000001</v>
      </c>
      <c r="C31" s="188" t="s">
        <v>407</v>
      </c>
      <c r="D31" s="189">
        <f t="shared" si="5"/>
        <v>104000</v>
      </c>
      <c r="E31" s="190" t="s">
        <v>120</v>
      </c>
      <c r="F31" s="191"/>
      <c r="G31" s="191"/>
      <c r="H31" s="191">
        <f>H7</f>
        <v>5200</v>
      </c>
      <c r="I31" s="191">
        <f t="shared" ref="I31:AA31" si="8">I7</f>
        <v>5200</v>
      </c>
      <c r="J31" s="191">
        <f t="shared" si="8"/>
        <v>5200</v>
      </c>
      <c r="K31" s="191">
        <f t="shared" si="8"/>
        <v>5200</v>
      </c>
      <c r="L31" s="191">
        <f t="shared" si="8"/>
        <v>5200</v>
      </c>
      <c r="M31" s="191">
        <f t="shared" si="8"/>
        <v>5200</v>
      </c>
      <c r="N31" s="191">
        <f t="shared" si="8"/>
        <v>5200</v>
      </c>
      <c r="O31" s="191">
        <f t="shared" si="8"/>
        <v>5200</v>
      </c>
      <c r="P31" s="191">
        <f t="shared" si="8"/>
        <v>5200</v>
      </c>
      <c r="Q31" s="191">
        <f t="shared" si="8"/>
        <v>5200</v>
      </c>
      <c r="R31" s="203">
        <f t="shared" si="8"/>
        <v>5200</v>
      </c>
      <c r="S31" s="191">
        <f t="shared" si="8"/>
        <v>5200</v>
      </c>
      <c r="T31" s="191">
        <f t="shared" si="8"/>
        <v>5200</v>
      </c>
      <c r="U31" s="191">
        <f t="shared" si="8"/>
        <v>5200</v>
      </c>
      <c r="V31" s="191">
        <f t="shared" si="8"/>
        <v>5200</v>
      </c>
      <c r="W31" s="191">
        <f t="shared" si="8"/>
        <v>5200</v>
      </c>
      <c r="X31" s="191">
        <f t="shared" si="8"/>
        <v>5200</v>
      </c>
      <c r="Y31" s="191">
        <f t="shared" si="8"/>
        <v>5200</v>
      </c>
      <c r="Z31" s="191">
        <f t="shared" si="8"/>
        <v>5200</v>
      </c>
      <c r="AA31" s="191">
        <f t="shared" si="8"/>
        <v>5200</v>
      </c>
    </row>
    <row r="32" spans="2:27" ht="21" customHeight="1" x14ac:dyDescent="0.25">
      <c r="B32" s="105">
        <v>1.2</v>
      </c>
      <c r="C32" s="204" t="s">
        <v>189</v>
      </c>
      <c r="D32" s="104">
        <f t="shared" ca="1" si="5"/>
        <v>13910.63886642441</v>
      </c>
      <c r="E32" s="103" t="s">
        <v>120</v>
      </c>
      <c r="F32" s="137"/>
      <c r="G32" s="137"/>
      <c r="H32" s="104">
        <f ca="1">H8</f>
        <v>695.20008491414103</v>
      </c>
      <c r="I32" s="104">
        <f t="shared" ref="I32:AA32" ca="1" si="9">I8</f>
        <v>695.20008491414103</v>
      </c>
      <c r="J32" s="104">
        <f t="shared" ca="1" si="9"/>
        <v>695.20008491414103</v>
      </c>
      <c r="K32" s="104">
        <f t="shared" ca="1" si="9"/>
        <v>695.20008491414103</v>
      </c>
      <c r="L32" s="104">
        <f t="shared" ca="1" si="9"/>
        <v>695.20008491414103</v>
      </c>
      <c r="M32" s="104">
        <f t="shared" ca="1" si="9"/>
        <v>695.20008491414103</v>
      </c>
      <c r="N32" s="104">
        <f t="shared" ca="1" si="9"/>
        <v>695.20008491414103</v>
      </c>
      <c r="O32" s="104">
        <f t="shared" ca="1" si="9"/>
        <v>695.20008491414103</v>
      </c>
      <c r="P32" s="104">
        <f t="shared" ca="1" si="9"/>
        <v>695.20008491414103</v>
      </c>
      <c r="Q32" s="104">
        <f t="shared" ca="1" si="9"/>
        <v>695.20008491414103</v>
      </c>
      <c r="R32" s="139">
        <f t="shared" ca="1" si="9"/>
        <v>701.83725305573398</v>
      </c>
      <c r="S32" s="104">
        <f t="shared" ca="1" si="9"/>
        <v>695.20008491414103</v>
      </c>
      <c r="T32" s="104">
        <f t="shared" ca="1" si="9"/>
        <v>695.20008491414103</v>
      </c>
      <c r="U32" s="104">
        <f t="shared" ca="1" si="9"/>
        <v>695.20008491414103</v>
      </c>
      <c r="V32" s="104">
        <f t="shared" ca="1" si="9"/>
        <v>695.20008491414103</v>
      </c>
      <c r="W32" s="104">
        <f t="shared" ca="1" si="9"/>
        <v>695.20008491414103</v>
      </c>
      <c r="X32" s="104">
        <f t="shared" ca="1" si="9"/>
        <v>695.20008491414103</v>
      </c>
      <c r="Y32" s="104">
        <f t="shared" ca="1" si="9"/>
        <v>695.20008491414103</v>
      </c>
      <c r="Z32" s="104">
        <f t="shared" ca="1" si="9"/>
        <v>695.20008491414103</v>
      </c>
      <c r="AA32" s="104">
        <f t="shared" ca="1" si="9"/>
        <v>695.20008491414103</v>
      </c>
    </row>
    <row r="33" spans="2:27" ht="21" customHeight="1" x14ac:dyDescent="0.25">
      <c r="B33" s="105">
        <v>1.3</v>
      </c>
      <c r="C33" s="193" t="s">
        <v>198</v>
      </c>
      <c r="D33" s="104">
        <f t="shared" si="5"/>
        <v>15360</v>
      </c>
      <c r="E33" s="103" t="s">
        <v>120</v>
      </c>
      <c r="F33" s="137"/>
      <c r="G33" s="137"/>
      <c r="H33" s="104">
        <f>(参数输入表!$H$397*参数输入表!$H$400+参数输入表!$H$398*参数输入表!$H$401)*(1+参数输入表!$H$402)*(1+参数输入表!$H$403*(H28-1))/(1+参数输入表!$H$404)</f>
        <v>768</v>
      </c>
      <c r="I33" s="104">
        <f>(参数输入表!$H$397*参数输入表!$H$400+参数输入表!$H$398*参数输入表!$H$401)*(1+参数输入表!$H$402)*(1+参数输入表!$H$403*(I28-1))/(1+参数输入表!$H$404)</f>
        <v>768</v>
      </c>
      <c r="J33" s="104">
        <f>(参数输入表!$H$397*参数输入表!$H$400+参数输入表!$H$398*参数输入表!$H$401)*(1+参数输入表!$H$402)*(1+参数输入表!$H$403*(J28-1))/(1+参数输入表!$H$404)</f>
        <v>768</v>
      </c>
      <c r="K33" s="104">
        <f>(参数输入表!$H$397*参数输入表!$H$400+参数输入表!$H$398*参数输入表!$H$401)*(1+参数输入表!$H$402)*(1+参数输入表!$H$403*(K28-1))/(1+参数输入表!$H$404)</f>
        <v>768</v>
      </c>
      <c r="L33" s="104">
        <f>(参数输入表!$H$397*参数输入表!$H$400+参数输入表!$H$398*参数输入表!$H$401)*(1+参数输入表!$H$402)*(1+参数输入表!$H$403*(L28-1))/(1+参数输入表!$H$404)</f>
        <v>768</v>
      </c>
      <c r="M33" s="139">
        <f>(参数输入表!$H$397*参数输入表!$H$400+参数输入表!$H$398*参数输入表!$H$401)*(1+参数输入表!$H$402)*(1+参数输入表!$H$403*(M28-1))/(1+参数输入表!$H$404)</f>
        <v>768</v>
      </c>
      <c r="N33" s="104">
        <f>(参数输入表!$H$397*参数输入表!$H$400+参数输入表!$H$398*参数输入表!$H$401)*(1+参数输入表!$H$402)*(1+参数输入表!$H$403*(N28-1))/(1+参数输入表!$H$404)</f>
        <v>768</v>
      </c>
      <c r="O33" s="104">
        <f>(参数输入表!$H$397*参数输入表!$H$400+参数输入表!$H$398*参数输入表!$H$401)*(1+参数输入表!$H$402)*(1+参数输入表!$H$403*(O28-1))/(1+参数输入表!$H$404)</f>
        <v>768</v>
      </c>
      <c r="P33" s="104">
        <f>(参数输入表!$H$397*参数输入表!$H$400+参数输入表!$H$398*参数输入表!$H$401)*(1+参数输入表!$H$402)*(1+参数输入表!$H$403*(P28-1))/(1+参数输入表!$H$404)</f>
        <v>768</v>
      </c>
      <c r="Q33" s="104">
        <f>(参数输入表!$H$397*参数输入表!$H$400+参数输入表!$H$398*参数输入表!$H$401)*(1+参数输入表!$H$402)*(1+参数输入表!$H$403*(Q28-1))/(1+参数输入表!$H$404)</f>
        <v>768</v>
      </c>
      <c r="R33" s="139">
        <f>(参数输入表!$H$397*参数输入表!$H$400+参数输入表!$H$398*参数输入表!$H$401)*(1+参数输入表!$H$402)*(1+参数输入表!$H$403*(R28-1))/(1+参数输入表!$H$404)</f>
        <v>768</v>
      </c>
      <c r="S33" s="104">
        <f>(参数输入表!$H$397*参数输入表!$H$400+参数输入表!$H$398*参数输入表!$H$401)*(1+参数输入表!$H$402)*(1+参数输入表!$H$403*(S28-1))/(1+参数输入表!$H$404)</f>
        <v>768</v>
      </c>
      <c r="T33" s="104">
        <f>(参数输入表!$H$397*参数输入表!$H$400+参数输入表!$H$398*参数输入表!$H$401)*(1+参数输入表!$H$402)*(1+参数输入表!$H$403*(T28-1))/(1+参数输入表!$H$404)</f>
        <v>768</v>
      </c>
      <c r="U33" s="104">
        <f>(参数输入表!$H$397*参数输入表!$H$400+参数输入表!$H$398*参数输入表!$H$401)*(1+参数输入表!$H$402)*(1+参数输入表!$H$403*(U28-1))/(1+参数输入表!$H$404)</f>
        <v>768</v>
      </c>
      <c r="V33" s="104">
        <f>(参数输入表!$H$397*参数输入表!$H$400+参数输入表!$H$398*参数输入表!$H$401)*(1+参数输入表!$H$402)*(1+参数输入表!$H$403*(V28-1))/(1+参数输入表!$H$404)</f>
        <v>768</v>
      </c>
      <c r="W33" s="104">
        <f>(参数输入表!$H$397*参数输入表!$H$400+参数输入表!$H$398*参数输入表!$H$401)*(1+参数输入表!$H$402)*(1+参数输入表!$H$403*(W28-1))/(1+参数输入表!$H$404)</f>
        <v>768</v>
      </c>
      <c r="X33" s="104">
        <f>(参数输入表!$H$397*参数输入表!$H$400+参数输入表!$H$398*参数输入表!$H$401)*(1+参数输入表!$H$402)*(1+参数输入表!$H$403*(X28-1))/(1+参数输入表!$H$404)</f>
        <v>768</v>
      </c>
      <c r="Y33" s="104">
        <f>(参数输入表!$H$397*参数输入表!$H$400+参数输入表!$H$398*参数输入表!$H$401)*(1+参数输入表!$H$402)*(1+参数输入表!$H$403*(Y28-1))/(1+参数输入表!$H$404)</f>
        <v>768</v>
      </c>
      <c r="Z33" s="104">
        <f>(参数输入表!$H$397*参数输入表!$H$400+参数输入表!$H$398*参数输入表!$H$401)*(1+参数输入表!$H$402)*(1+参数输入表!$H$403*(Z28-1))/(1+参数输入表!$H$404)</f>
        <v>768</v>
      </c>
      <c r="AA33" s="104">
        <f>(参数输入表!$H$397*参数输入表!$H$400+参数输入表!$H$398*参数输入表!$H$401)*(1+参数输入表!$H$402)*(1+参数输入表!$H$403*(AA28-1))/(1+参数输入表!$H$404)</f>
        <v>768</v>
      </c>
    </row>
    <row r="34" spans="2:27" ht="21" customHeight="1" x14ac:dyDescent="0.25">
      <c r="B34" s="105">
        <v>1.4</v>
      </c>
      <c r="C34" s="194" t="s">
        <v>396</v>
      </c>
      <c r="D34" s="104">
        <f t="shared" si="5"/>
        <v>0</v>
      </c>
      <c r="E34" s="103" t="s">
        <v>120</v>
      </c>
      <c r="F34" s="137"/>
      <c r="G34" s="137"/>
      <c r="H34" s="104">
        <f>'表2-折旧摊销表'!H76</f>
        <v>0</v>
      </c>
      <c r="I34" s="104">
        <f>'表2-折旧摊销表'!I76</f>
        <v>0</v>
      </c>
      <c r="J34" s="104">
        <f>'表2-折旧摊销表'!J76</f>
        <v>0</v>
      </c>
      <c r="K34" s="104">
        <f>'表2-折旧摊销表'!K76</f>
        <v>0</v>
      </c>
      <c r="L34" s="104">
        <f>'表2-折旧摊销表'!L76</f>
        <v>0</v>
      </c>
      <c r="M34" s="139">
        <f>'表2-折旧摊销表'!M76</f>
        <v>0</v>
      </c>
      <c r="N34" s="104">
        <f>'表2-折旧摊销表'!N76</f>
        <v>0</v>
      </c>
      <c r="O34" s="104">
        <f>'表2-折旧摊销表'!O76</f>
        <v>0</v>
      </c>
      <c r="P34" s="104">
        <f>'表2-折旧摊销表'!P76</f>
        <v>0</v>
      </c>
      <c r="Q34" s="104">
        <f>'表2-折旧摊销表'!Q76</f>
        <v>0</v>
      </c>
      <c r="R34" s="139">
        <f>'表2-折旧摊销表'!R76</f>
        <v>0</v>
      </c>
      <c r="S34" s="104">
        <f>'表2-折旧摊销表'!S76</f>
        <v>0</v>
      </c>
      <c r="T34" s="104">
        <f>'表2-折旧摊销表'!T76</f>
        <v>0</v>
      </c>
      <c r="U34" s="104">
        <f>'表2-折旧摊销表'!U76</f>
        <v>0</v>
      </c>
      <c r="V34" s="104">
        <f>'表2-折旧摊销表'!V76</f>
        <v>0</v>
      </c>
      <c r="W34" s="104">
        <f>'表2-折旧摊销表'!W76</f>
        <v>0</v>
      </c>
      <c r="X34" s="104">
        <f>'表2-折旧摊销表'!X76</f>
        <v>0</v>
      </c>
      <c r="Y34" s="104">
        <f>'表2-折旧摊销表'!Y76</f>
        <v>0</v>
      </c>
      <c r="Z34" s="104">
        <f>'表2-折旧摊销表'!Z76</f>
        <v>0</v>
      </c>
      <c r="AA34" s="104">
        <f>'表2-折旧摊销表'!AA76</f>
        <v>0</v>
      </c>
    </row>
    <row r="35" spans="2:27" ht="21" customHeight="1" x14ac:dyDescent="0.25">
      <c r="B35" s="105">
        <v>1.5</v>
      </c>
      <c r="C35" s="193" t="s">
        <v>397</v>
      </c>
      <c r="D35" s="104">
        <f t="shared" ca="1" si="5"/>
        <v>55402.198961966402</v>
      </c>
      <c r="E35" s="103" t="s">
        <v>120</v>
      </c>
      <c r="F35" s="137"/>
      <c r="G35" s="137"/>
      <c r="H35" s="104">
        <f ca="1">'表2-折旧摊销表'!H69+'表2-折旧摊销表'!H79+'表2-折旧摊销表'!H82+'表2-折旧摊销表'!H39+'表2-折旧摊销表'!H41</f>
        <v>3771.0112139564862</v>
      </c>
      <c r="I35" s="104">
        <f ca="1">'表2-折旧摊销表'!I69+'表2-折旧摊销表'!I79+'表2-折旧摊销表'!I82+'表2-折旧摊销表'!I39+'表2-折旧摊销表'!I41</f>
        <v>3771.0112139564862</v>
      </c>
      <c r="J35" s="104">
        <f ca="1">'表2-折旧摊销表'!J69+'表2-折旧摊销表'!J79+'表2-折旧摊销表'!J82+'表2-折旧摊销表'!J39+'表2-折旧摊销表'!J41</f>
        <v>3771.0112139564862</v>
      </c>
      <c r="K35" s="104">
        <f ca="1">'表2-折旧摊销表'!K69+'表2-折旧摊销表'!K79+'表2-折旧摊销表'!K82+'表2-折旧摊销表'!K39+'表2-折旧摊销表'!K41</f>
        <v>3771.0112139564862</v>
      </c>
      <c r="L35" s="104">
        <f ca="1">'表2-折旧摊销表'!L69+'表2-折旧摊销表'!L79+'表2-折旧摊销表'!L82+'表2-折旧摊销表'!L39+'表2-折旧摊销表'!L41</f>
        <v>3771.0112139564862</v>
      </c>
      <c r="M35" s="104">
        <f ca="1">'表2-折旧摊销表'!M69+'表2-折旧摊销表'!M79+'表2-折旧摊销表'!M82+'表2-折旧摊销表'!M39+'表2-折旧摊销表'!M41</f>
        <v>3771.0112139564862</v>
      </c>
      <c r="N35" s="104">
        <f ca="1">'表2-折旧摊销表'!N69+'表2-折旧摊销表'!N79+'表2-折旧摊销表'!N82+'表2-折旧摊销表'!N39+'表2-折旧摊销表'!N41</f>
        <v>3771.0112139564862</v>
      </c>
      <c r="O35" s="104">
        <f ca="1">'表2-折旧摊销表'!O69+'表2-折旧摊销表'!O79+'表2-折旧摊销表'!O82+'表2-折旧摊销表'!O39+'表2-折旧摊销表'!O41</f>
        <v>3771.0112139564862</v>
      </c>
      <c r="P35" s="104">
        <f ca="1">'表2-折旧摊销表'!P69+'表2-折旧摊销表'!P79+'表2-折旧摊销表'!P82+'表2-折旧摊销表'!P39+'表2-折旧摊销表'!P41</f>
        <v>3771.0112139564862</v>
      </c>
      <c r="Q35" s="104">
        <f ca="1">'表2-折旧摊销表'!Q69+'表2-折旧摊销表'!Q79+'表2-折旧摊销表'!Q82+'表2-折旧摊销表'!Q39+'表2-折旧摊销表'!Q41</f>
        <v>3771.0112139564862</v>
      </c>
      <c r="R35" s="104">
        <f ca="1">'表2-折旧摊销表'!R69+'表2-折旧摊销表'!R79+'表2-折旧摊销表'!R82+'表2-折旧摊销表'!R39+'表2-折旧摊销表'!R41</f>
        <v>2913.6203143328148</v>
      </c>
      <c r="S35" s="104">
        <f ca="1">'表2-折旧摊销表'!S69+'表2-折旧摊销表'!S79+'表2-折旧摊销表'!S82+'表2-折旧摊销表'!S39+'表2-折旧摊销表'!S41</f>
        <v>2955.6557125629033</v>
      </c>
      <c r="T35" s="104">
        <f ca="1">'表2-折旧摊销表'!T69+'表2-折旧摊销表'!T79+'表2-折旧摊销表'!T82+'表2-折旧摊销表'!T39+'表2-折旧摊销表'!T41</f>
        <v>2955.6557125629033</v>
      </c>
      <c r="U35" s="104">
        <f ca="1">'表2-折旧摊销表'!U69+'表2-折旧摊销表'!U79+'表2-折旧摊销表'!U82+'表2-折旧摊销表'!U39+'表2-折旧摊销表'!U41</f>
        <v>2955.6557125629033</v>
      </c>
      <c r="V35" s="104">
        <f ca="1">'表2-折旧摊销表'!V69+'表2-折旧摊销表'!V79+'表2-折旧摊销表'!V82+'表2-折旧摊销表'!V39+'表2-折旧摊销表'!V41</f>
        <v>2955.6557125629033</v>
      </c>
      <c r="W35" s="104">
        <f>'表2-折旧摊销表'!W69+'表2-折旧摊销表'!W79+'表2-折旧摊销表'!W82+'表2-折旧摊销表'!W39+'表2-折旧摊销表'!W41</f>
        <v>591.16873156342194</v>
      </c>
      <c r="X35" s="104">
        <f>'表2-折旧摊销表'!X69+'表2-折旧摊销表'!X79+'表2-折旧摊销表'!X82+'表2-折旧摊销表'!X39+'表2-折旧摊销表'!X41</f>
        <v>591.16873156342194</v>
      </c>
      <c r="Y35" s="104">
        <f>'表2-折旧摊销表'!Y69+'表2-折旧摊销表'!Y79+'表2-折旧摊销表'!Y82+'表2-折旧摊销表'!Y39+'表2-折旧摊销表'!Y41</f>
        <v>591.16873156342194</v>
      </c>
      <c r="Z35" s="104">
        <f>'表2-折旧摊销表'!Z69+'表2-折旧摊销表'!Z79+'表2-折旧摊销表'!Z82+'表2-折旧摊销表'!Z39+'表2-折旧摊销表'!Z41</f>
        <v>591.16873156342206</v>
      </c>
      <c r="AA35" s="104">
        <f>'表2-折旧摊销表'!AA69+'表2-折旧摊销表'!AA79+'表2-折旧摊销表'!AA82+'表2-折旧摊销表'!AA39+'表2-折旧摊销表'!AA41</f>
        <v>591.16873156342206</v>
      </c>
    </row>
    <row r="36" spans="2:27" s="183" customFormat="1" ht="21" customHeight="1" x14ac:dyDescent="0.25">
      <c r="B36" s="187">
        <v>1.6</v>
      </c>
      <c r="C36" s="195" t="s">
        <v>21</v>
      </c>
      <c r="D36" s="189">
        <f t="shared" si="5"/>
        <v>44000</v>
      </c>
      <c r="E36" s="190" t="s">
        <v>120</v>
      </c>
      <c r="F36" s="191"/>
      <c r="G36" s="191"/>
      <c r="H36" s="189">
        <f>H12</f>
        <v>2200</v>
      </c>
      <c r="I36" s="189">
        <f t="shared" ref="I36:AA36" si="10">I12</f>
        <v>2200</v>
      </c>
      <c r="J36" s="189">
        <f t="shared" si="10"/>
        <v>2200</v>
      </c>
      <c r="K36" s="189">
        <f t="shared" si="10"/>
        <v>2200</v>
      </c>
      <c r="L36" s="189">
        <f t="shared" si="10"/>
        <v>2200</v>
      </c>
      <c r="M36" s="189">
        <f t="shared" si="10"/>
        <v>2200</v>
      </c>
      <c r="N36" s="189">
        <f t="shared" si="10"/>
        <v>2200</v>
      </c>
      <c r="O36" s="189">
        <f t="shared" si="10"/>
        <v>2200</v>
      </c>
      <c r="P36" s="189">
        <f t="shared" si="10"/>
        <v>2200</v>
      </c>
      <c r="Q36" s="189">
        <f t="shared" si="10"/>
        <v>2200</v>
      </c>
      <c r="R36" s="192">
        <f t="shared" si="10"/>
        <v>2200</v>
      </c>
      <c r="S36" s="189">
        <f t="shared" si="10"/>
        <v>2200</v>
      </c>
      <c r="T36" s="189">
        <f t="shared" si="10"/>
        <v>2200</v>
      </c>
      <c r="U36" s="189">
        <f t="shared" si="10"/>
        <v>2200</v>
      </c>
      <c r="V36" s="189">
        <f t="shared" si="10"/>
        <v>2200</v>
      </c>
      <c r="W36" s="189">
        <f t="shared" si="10"/>
        <v>2200</v>
      </c>
      <c r="X36" s="189">
        <f t="shared" si="10"/>
        <v>2200</v>
      </c>
      <c r="Y36" s="189">
        <f t="shared" si="10"/>
        <v>2200</v>
      </c>
      <c r="Z36" s="189">
        <f t="shared" si="10"/>
        <v>2200</v>
      </c>
      <c r="AA36" s="189">
        <f t="shared" si="10"/>
        <v>2200</v>
      </c>
    </row>
    <row r="37" spans="2:27" s="183" customFormat="1" ht="21" customHeight="1" x14ac:dyDescent="0.25">
      <c r="B37" s="187">
        <v>1.7</v>
      </c>
      <c r="C37" s="195" t="s">
        <v>398</v>
      </c>
      <c r="D37" s="189">
        <f t="shared" si="5"/>
        <v>83018.826947690832</v>
      </c>
      <c r="E37" s="190" t="s">
        <v>120</v>
      </c>
      <c r="F37" s="191"/>
      <c r="G37" s="191"/>
      <c r="H37" s="189">
        <f>H13</f>
        <v>3603.4668141592924</v>
      </c>
      <c r="I37" s="189">
        <f t="shared" ref="I37:AA37" si="11">I13</f>
        <v>3599.0034513274336</v>
      </c>
      <c r="J37" s="189">
        <f t="shared" si="11"/>
        <v>3594.5528621238946</v>
      </c>
      <c r="K37" s="189">
        <f t="shared" si="11"/>
        <v>3590.1149890673455</v>
      </c>
      <c r="L37" s="189">
        <f t="shared" si="11"/>
        <v>3585.6897749351269</v>
      </c>
      <c r="M37" s="189">
        <f t="shared" si="11"/>
        <v>4408.4121746067422</v>
      </c>
      <c r="N37" s="189">
        <f t="shared" si="11"/>
        <v>4395.4108333165877</v>
      </c>
      <c r="O37" s="189">
        <f t="shared" si="11"/>
        <v>4382.4561168675473</v>
      </c>
      <c r="P37" s="189">
        <f t="shared" si="11"/>
        <v>4369.5478154478378</v>
      </c>
      <c r="Q37" s="189">
        <f t="shared" si="11"/>
        <v>4356.6857201898265</v>
      </c>
      <c r="R37" s="192">
        <f t="shared" si="11"/>
        <v>4370.2722780330432</v>
      </c>
      <c r="S37" s="189">
        <f t="shared" si="11"/>
        <v>4357.5019722509214</v>
      </c>
      <c r="T37" s="189">
        <f t="shared" si="11"/>
        <v>4344.7772516501282</v>
      </c>
      <c r="U37" s="189">
        <f t="shared" si="11"/>
        <v>4332.0979110973485</v>
      </c>
      <c r="V37" s="189">
        <f t="shared" si="11"/>
        <v>4319.4637463823674</v>
      </c>
      <c r="W37" s="189">
        <f t="shared" si="11"/>
        <v>4306.8745542139122</v>
      </c>
      <c r="X37" s="189">
        <f t="shared" si="11"/>
        <v>4294.3301322155257</v>
      </c>
      <c r="Y37" s="189">
        <f t="shared" si="11"/>
        <v>4281.8302789214395</v>
      </c>
      <c r="Z37" s="189">
        <f t="shared" si="11"/>
        <v>4269.3747937724875</v>
      </c>
      <c r="AA37" s="189">
        <f t="shared" si="11"/>
        <v>4256.9634771120172</v>
      </c>
    </row>
    <row r="38" spans="2:27" s="183" customFormat="1" ht="21" customHeight="1" x14ac:dyDescent="0.25">
      <c r="B38" s="187">
        <v>1.8</v>
      </c>
      <c r="C38" s="195" t="s">
        <v>211</v>
      </c>
      <c r="D38" s="189">
        <f t="shared" si="5"/>
        <v>4000</v>
      </c>
      <c r="E38" s="190" t="s">
        <v>120</v>
      </c>
      <c r="F38" s="191"/>
      <c r="G38" s="191"/>
      <c r="H38" s="189">
        <f>H14</f>
        <v>200</v>
      </c>
      <c r="I38" s="189">
        <f t="shared" ref="I38:AA38" si="12">I14</f>
        <v>200</v>
      </c>
      <c r="J38" s="189">
        <f t="shared" si="12"/>
        <v>200</v>
      </c>
      <c r="K38" s="189">
        <f t="shared" si="12"/>
        <v>200</v>
      </c>
      <c r="L38" s="189">
        <f t="shared" si="12"/>
        <v>200</v>
      </c>
      <c r="M38" s="189">
        <f t="shared" si="12"/>
        <v>200</v>
      </c>
      <c r="N38" s="189">
        <f t="shared" si="12"/>
        <v>200</v>
      </c>
      <c r="O38" s="189">
        <f t="shared" si="12"/>
        <v>200</v>
      </c>
      <c r="P38" s="189">
        <f t="shared" si="12"/>
        <v>200</v>
      </c>
      <c r="Q38" s="189">
        <f t="shared" si="12"/>
        <v>200</v>
      </c>
      <c r="R38" s="189">
        <f t="shared" si="12"/>
        <v>200</v>
      </c>
      <c r="S38" s="189">
        <f t="shared" si="12"/>
        <v>200</v>
      </c>
      <c r="T38" s="189">
        <f t="shared" si="12"/>
        <v>200</v>
      </c>
      <c r="U38" s="189">
        <f t="shared" si="12"/>
        <v>200</v>
      </c>
      <c r="V38" s="189">
        <f t="shared" si="12"/>
        <v>200</v>
      </c>
      <c r="W38" s="189">
        <f t="shared" si="12"/>
        <v>200</v>
      </c>
      <c r="X38" s="189">
        <f t="shared" si="12"/>
        <v>200</v>
      </c>
      <c r="Y38" s="189">
        <f t="shared" si="12"/>
        <v>200</v>
      </c>
      <c r="Z38" s="189">
        <f t="shared" si="12"/>
        <v>200</v>
      </c>
      <c r="AA38" s="189">
        <f t="shared" si="12"/>
        <v>200</v>
      </c>
    </row>
    <row r="39" spans="2:27" ht="21" customHeight="1" x14ac:dyDescent="0.25">
      <c r="B39" s="95">
        <v>2</v>
      </c>
      <c r="C39" s="96" t="s">
        <v>399</v>
      </c>
      <c r="D39" s="99">
        <f t="shared" si="5"/>
        <v>0</v>
      </c>
      <c r="E39" s="103" t="s">
        <v>120</v>
      </c>
      <c r="F39" s="103"/>
      <c r="G39" s="103"/>
      <c r="H39" s="99">
        <v>0</v>
      </c>
      <c r="I39" s="99">
        <v>0</v>
      </c>
      <c r="J39" s="99">
        <v>0</v>
      </c>
      <c r="K39" s="99">
        <v>0</v>
      </c>
      <c r="L39" s="99">
        <v>0</v>
      </c>
      <c r="M39" s="140">
        <v>0</v>
      </c>
      <c r="N39" s="99">
        <v>0</v>
      </c>
      <c r="O39" s="99">
        <v>0</v>
      </c>
      <c r="P39" s="99">
        <v>0</v>
      </c>
      <c r="Q39" s="99">
        <v>0</v>
      </c>
      <c r="R39" s="140">
        <v>0</v>
      </c>
      <c r="S39" s="99">
        <v>0</v>
      </c>
      <c r="T39" s="99">
        <v>0</v>
      </c>
      <c r="U39" s="99">
        <v>0</v>
      </c>
      <c r="V39" s="99">
        <v>0</v>
      </c>
      <c r="W39" s="99">
        <v>0</v>
      </c>
      <c r="X39" s="99">
        <v>0</v>
      </c>
      <c r="Y39" s="99">
        <v>0</v>
      </c>
      <c r="Z39" s="99">
        <v>0</v>
      </c>
      <c r="AA39" s="99">
        <v>0</v>
      </c>
    </row>
    <row r="40" spans="2:27" ht="21" customHeight="1" x14ac:dyDescent="0.25">
      <c r="B40" s="95">
        <v>3</v>
      </c>
      <c r="C40" s="96" t="s">
        <v>195</v>
      </c>
      <c r="D40" s="99">
        <f t="shared" ca="1" si="5"/>
        <v>463.591723276094</v>
      </c>
      <c r="E40" s="103" t="s">
        <v>120</v>
      </c>
      <c r="F40" s="103"/>
      <c r="G40" s="103"/>
      <c r="H40" s="99">
        <f t="shared" ref="H40:AA40" ca="1" si="13">SUM(H41:H42)</f>
        <v>23.179586163804704</v>
      </c>
      <c r="I40" s="99">
        <f t="shared" ca="1" si="13"/>
        <v>23.179586163804704</v>
      </c>
      <c r="J40" s="99">
        <f t="shared" ca="1" si="13"/>
        <v>23.179586163804704</v>
      </c>
      <c r="K40" s="99">
        <f t="shared" ca="1" si="13"/>
        <v>23.179586163804704</v>
      </c>
      <c r="L40" s="99">
        <f t="shared" ca="1" si="13"/>
        <v>23.179586163804704</v>
      </c>
      <c r="M40" s="140">
        <f t="shared" ca="1" si="13"/>
        <v>23.179586163804704</v>
      </c>
      <c r="N40" s="99">
        <f t="shared" ca="1" si="13"/>
        <v>23.179586163804704</v>
      </c>
      <c r="O40" s="99">
        <f t="shared" ca="1" si="13"/>
        <v>23.179586163804704</v>
      </c>
      <c r="P40" s="99">
        <f t="shared" ca="1" si="13"/>
        <v>23.179586163804704</v>
      </c>
      <c r="Q40" s="99">
        <f t="shared" ca="1" si="13"/>
        <v>23.179586163804704</v>
      </c>
      <c r="R40" s="140">
        <f t="shared" ca="1" si="13"/>
        <v>23.179586163804704</v>
      </c>
      <c r="S40" s="99">
        <f t="shared" ca="1" si="13"/>
        <v>23.179586163804704</v>
      </c>
      <c r="T40" s="99">
        <f t="shared" ca="1" si="13"/>
        <v>23.179586163804704</v>
      </c>
      <c r="U40" s="99">
        <f t="shared" ca="1" si="13"/>
        <v>23.179586163804704</v>
      </c>
      <c r="V40" s="99">
        <f t="shared" ca="1" si="13"/>
        <v>23.179586163804704</v>
      </c>
      <c r="W40" s="99">
        <f t="shared" ca="1" si="13"/>
        <v>23.179586163804704</v>
      </c>
      <c r="X40" s="99">
        <f t="shared" ca="1" si="13"/>
        <v>23.179586163804704</v>
      </c>
      <c r="Y40" s="99">
        <f t="shared" ca="1" si="13"/>
        <v>23.179586163804704</v>
      </c>
      <c r="Z40" s="99">
        <f t="shared" ca="1" si="13"/>
        <v>23.179586163804704</v>
      </c>
      <c r="AA40" s="99">
        <f t="shared" ca="1" si="13"/>
        <v>23.179586163804704</v>
      </c>
    </row>
    <row r="41" spans="2:27" s="183" customFormat="1" ht="21" customHeight="1" x14ac:dyDescent="0.25">
      <c r="B41" s="187">
        <v>3.1</v>
      </c>
      <c r="C41" s="196" t="s">
        <v>400</v>
      </c>
      <c r="D41" s="189">
        <f t="shared" ca="1" si="5"/>
        <v>463.591723276094</v>
      </c>
      <c r="E41" s="190" t="s">
        <v>120</v>
      </c>
      <c r="F41" s="190"/>
      <c r="G41" s="190"/>
      <c r="H41" s="189">
        <f ca="1">H17</f>
        <v>23.179586163804704</v>
      </c>
      <c r="I41" s="189">
        <f t="shared" ref="I41:AA41" ca="1" si="14">I17</f>
        <v>23.179586163804704</v>
      </c>
      <c r="J41" s="189">
        <f t="shared" ca="1" si="14"/>
        <v>23.179586163804704</v>
      </c>
      <c r="K41" s="189">
        <f t="shared" ca="1" si="14"/>
        <v>23.179586163804704</v>
      </c>
      <c r="L41" s="189">
        <f t="shared" ca="1" si="14"/>
        <v>23.179586163804704</v>
      </c>
      <c r="M41" s="189">
        <f t="shared" ca="1" si="14"/>
        <v>23.179586163804704</v>
      </c>
      <c r="N41" s="189">
        <f t="shared" ca="1" si="14"/>
        <v>23.179586163804704</v>
      </c>
      <c r="O41" s="189">
        <f t="shared" ca="1" si="14"/>
        <v>23.179586163804704</v>
      </c>
      <c r="P41" s="189">
        <f t="shared" ca="1" si="14"/>
        <v>23.179586163804704</v>
      </c>
      <c r="Q41" s="189">
        <f t="shared" ca="1" si="14"/>
        <v>23.179586163804704</v>
      </c>
      <c r="R41" s="192">
        <f t="shared" ca="1" si="14"/>
        <v>23.179586163804704</v>
      </c>
      <c r="S41" s="189">
        <f t="shared" ca="1" si="14"/>
        <v>23.179586163804704</v>
      </c>
      <c r="T41" s="189">
        <f t="shared" ca="1" si="14"/>
        <v>23.179586163804704</v>
      </c>
      <c r="U41" s="189">
        <f t="shared" ca="1" si="14"/>
        <v>23.179586163804704</v>
      </c>
      <c r="V41" s="189">
        <f t="shared" ca="1" si="14"/>
        <v>23.179586163804704</v>
      </c>
      <c r="W41" s="189">
        <f t="shared" ca="1" si="14"/>
        <v>23.179586163804704</v>
      </c>
      <c r="X41" s="189">
        <f t="shared" ca="1" si="14"/>
        <v>23.179586163804704</v>
      </c>
      <c r="Y41" s="189">
        <f t="shared" ca="1" si="14"/>
        <v>23.179586163804704</v>
      </c>
      <c r="Z41" s="189">
        <f t="shared" ca="1" si="14"/>
        <v>23.179586163804704</v>
      </c>
      <c r="AA41" s="189">
        <f t="shared" ca="1" si="14"/>
        <v>23.179586163804704</v>
      </c>
    </row>
    <row r="42" spans="2:27" ht="21" customHeight="1" x14ac:dyDescent="0.25">
      <c r="B42" s="112">
        <v>3.2</v>
      </c>
      <c r="C42" s="197" t="s">
        <v>212</v>
      </c>
      <c r="D42" s="104">
        <f t="shared" ca="1" si="5"/>
        <v>0</v>
      </c>
      <c r="E42" s="103" t="s">
        <v>120</v>
      </c>
      <c r="F42" s="103"/>
      <c r="G42" s="103"/>
      <c r="H42" s="104">
        <v>0</v>
      </c>
      <c r="I42" s="104">
        <v>0</v>
      </c>
      <c r="J42" s="104">
        <v>0</v>
      </c>
      <c r="K42" s="104">
        <v>0</v>
      </c>
      <c r="L42" s="104">
        <v>0</v>
      </c>
      <c r="M42" s="139">
        <v>0</v>
      </c>
      <c r="N42" s="104">
        <v>0</v>
      </c>
      <c r="O42" s="104">
        <v>0</v>
      </c>
      <c r="P42" s="104">
        <v>0</v>
      </c>
      <c r="Q42" s="104">
        <v>0</v>
      </c>
      <c r="R42" s="139">
        <v>0</v>
      </c>
      <c r="S42" s="104">
        <v>0</v>
      </c>
      <c r="T42" s="104">
        <v>0</v>
      </c>
      <c r="U42" s="104">
        <v>0</v>
      </c>
      <c r="V42" s="104">
        <v>0</v>
      </c>
      <c r="W42" s="104">
        <v>0</v>
      </c>
      <c r="X42" s="104">
        <v>0</v>
      </c>
      <c r="Y42" s="104">
        <v>0</v>
      </c>
      <c r="Z42" s="104">
        <v>0</v>
      </c>
      <c r="AA42" s="104">
        <f ca="1">参数输入表!H412*参数输入表!H411/(1+参数输入表!$H$413)</f>
        <v>0</v>
      </c>
    </row>
    <row r="43" spans="2:27" ht="21" customHeight="1" x14ac:dyDescent="0.25">
      <c r="B43" s="95">
        <v>4</v>
      </c>
      <c r="C43" s="96" t="s">
        <v>401</v>
      </c>
      <c r="D43" s="99">
        <f t="shared" si="5"/>
        <v>0</v>
      </c>
      <c r="E43" s="103" t="s">
        <v>120</v>
      </c>
      <c r="F43" s="103"/>
      <c r="G43" s="103"/>
      <c r="H43" s="99">
        <v>0</v>
      </c>
      <c r="I43" s="99">
        <v>0</v>
      </c>
      <c r="J43" s="99">
        <v>0</v>
      </c>
      <c r="K43" s="99">
        <v>0</v>
      </c>
      <c r="L43" s="99">
        <v>0</v>
      </c>
      <c r="M43" s="140">
        <v>0</v>
      </c>
      <c r="N43" s="99">
        <v>0</v>
      </c>
      <c r="O43" s="99">
        <v>0</v>
      </c>
      <c r="P43" s="99">
        <v>0</v>
      </c>
      <c r="Q43" s="99">
        <v>0</v>
      </c>
      <c r="R43" s="140">
        <v>0</v>
      </c>
      <c r="S43" s="99">
        <v>0</v>
      </c>
      <c r="T43" s="99">
        <v>0</v>
      </c>
      <c r="U43" s="99">
        <v>0</v>
      </c>
      <c r="V43" s="99">
        <v>0</v>
      </c>
      <c r="W43" s="99">
        <v>0</v>
      </c>
      <c r="X43" s="99">
        <v>0</v>
      </c>
      <c r="Y43" s="99">
        <v>0</v>
      </c>
      <c r="Z43" s="99">
        <v>0</v>
      </c>
      <c r="AA43" s="99">
        <v>0</v>
      </c>
    </row>
    <row r="44" spans="2:27" x14ac:dyDescent="0.25">
      <c r="B44" s="107" t="s">
        <v>340</v>
      </c>
      <c r="C44" s="157" t="s">
        <v>264</v>
      </c>
      <c r="D44" s="99">
        <f t="shared" si="5"/>
        <v>0</v>
      </c>
      <c r="E44" s="103" t="s">
        <v>120</v>
      </c>
      <c r="F44" s="103"/>
      <c r="G44" s="103"/>
      <c r="H44" s="99">
        <f>参数输入表!$H$682/(1+参数输入表!$H$686)</f>
        <v>0</v>
      </c>
      <c r="I44" s="99">
        <f>参数输入表!$H$682/(1+参数输入表!$H$686)</f>
        <v>0</v>
      </c>
      <c r="J44" s="99">
        <f>参数输入表!$H$682/(1+参数输入表!$H$686)</f>
        <v>0</v>
      </c>
      <c r="K44" s="99">
        <f>参数输入表!$H$682/(1+参数输入表!$H$686)</f>
        <v>0</v>
      </c>
      <c r="L44" s="99">
        <f>参数输入表!$H$682/(1+参数输入表!$H$686)</f>
        <v>0</v>
      </c>
      <c r="M44" s="140">
        <f>参数输入表!$H$682/(1+参数输入表!$H$686)</f>
        <v>0</v>
      </c>
      <c r="N44" s="99">
        <f>参数输入表!$H$682/(1+参数输入表!$H$686)</f>
        <v>0</v>
      </c>
      <c r="O44" s="99">
        <f>参数输入表!$H$682/(1+参数输入表!$H$686)</f>
        <v>0</v>
      </c>
      <c r="P44" s="99">
        <f>参数输入表!$H$682/(1+参数输入表!$H$686)</f>
        <v>0</v>
      </c>
      <c r="Q44" s="99">
        <f>参数输入表!$H$682/(1+参数输入表!$H$686)</f>
        <v>0</v>
      </c>
      <c r="R44" s="140">
        <f>参数输入表!$H$682/(1+参数输入表!$H$686)</f>
        <v>0</v>
      </c>
      <c r="S44" s="99">
        <f>参数输入表!$H$682/(1+参数输入表!$H$686)</f>
        <v>0</v>
      </c>
      <c r="T44" s="99">
        <f>参数输入表!$H$682/(1+参数输入表!$H$686)</f>
        <v>0</v>
      </c>
      <c r="U44" s="99">
        <f>参数输入表!$H$682/(1+参数输入表!$H$686)</f>
        <v>0</v>
      </c>
      <c r="V44" s="99">
        <f>参数输入表!$H$682/(1+参数输入表!$H$686)</f>
        <v>0</v>
      </c>
      <c r="W44" s="99">
        <f>参数输入表!$H$682/(1+参数输入表!$H$686)</f>
        <v>0</v>
      </c>
      <c r="X44" s="99">
        <f>参数输入表!$H$682/(1+参数输入表!$H$686)</f>
        <v>0</v>
      </c>
      <c r="Y44" s="99">
        <f>参数输入表!$H$682/(1+参数输入表!$H$686)</f>
        <v>0</v>
      </c>
      <c r="Z44" s="99">
        <f>参数输入表!$H$682/(1+参数输入表!$H$686)</f>
        <v>0</v>
      </c>
      <c r="AA44" s="99">
        <f>参数输入表!$H$682/(1+参数输入表!$H$686)</f>
        <v>0</v>
      </c>
    </row>
    <row r="45" spans="2:27" x14ac:dyDescent="0.25">
      <c r="B45" s="198"/>
      <c r="C45" s="199"/>
      <c r="D45" s="200"/>
      <c r="E45" s="201"/>
      <c r="F45" s="201"/>
      <c r="G45" s="201"/>
      <c r="H45" s="200"/>
      <c r="I45" s="200"/>
      <c r="J45" s="200"/>
      <c r="K45" s="200"/>
      <c r="L45" s="200"/>
      <c r="M45" s="202"/>
      <c r="N45" s="200"/>
      <c r="O45" s="200"/>
      <c r="P45" s="200"/>
      <c r="Q45" s="200"/>
      <c r="R45" s="202"/>
      <c r="S45" s="200"/>
      <c r="T45" s="200"/>
      <c r="U45" s="200"/>
      <c r="V45" s="200"/>
      <c r="W45" s="200"/>
      <c r="X45" s="200"/>
      <c r="Y45" s="200"/>
      <c r="Z45" s="200"/>
      <c r="AA45" s="200"/>
    </row>
    <row r="46" spans="2:27" x14ac:dyDescent="0.25">
      <c r="B46" s="198"/>
      <c r="C46" s="199"/>
      <c r="D46" s="200"/>
      <c r="E46" s="201"/>
      <c r="F46" s="201"/>
      <c r="G46" s="201"/>
      <c r="H46" s="200"/>
      <c r="I46" s="200"/>
      <c r="J46" s="200"/>
      <c r="K46" s="200"/>
      <c r="L46" s="200"/>
      <c r="M46" s="202"/>
      <c r="N46" s="200"/>
      <c r="O46" s="200"/>
      <c r="P46" s="200"/>
      <c r="Q46" s="200"/>
      <c r="R46" s="202"/>
      <c r="S46" s="200"/>
      <c r="T46" s="200"/>
      <c r="U46" s="200"/>
      <c r="V46" s="200"/>
      <c r="W46" s="200"/>
      <c r="X46" s="200"/>
      <c r="Y46" s="200"/>
      <c r="Z46" s="200"/>
      <c r="AA46" s="200"/>
    </row>
    <row r="47" spans="2:27" x14ac:dyDescent="0.25">
      <c r="B47" s="168" t="s">
        <v>408</v>
      </c>
      <c r="C47" s="199"/>
      <c r="D47" s="200"/>
      <c r="E47" s="201"/>
      <c r="F47" s="201"/>
      <c r="G47" s="201"/>
      <c r="H47" s="167"/>
      <c r="I47" s="167"/>
      <c r="J47" s="167"/>
      <c r="K47" s="167"/>
      <c r="L47" s="167"/>
      <c r="M47" s="205"/>
      <c r="N47" s="167"/>
      <c r="O47" s="167"/>
      <c r="P47" s="167"/>
      <c r="Q47" s="167"/>
      <c r="R47" s="205"/>
      <c r="S47" s="167"/>
      <c r="T47" s="167"/>
      <c r="U47" s="167"/>
      <c r="V47" s="167"/>
      <c r="W47" s="167"/>
      <c r="X47" s="167"/>
      <c r="Y47" s="167"/>
      <c r="Z47" s="167"/>
      <c r="AA47" s="167"/>
    </row>
    <row r="48" spans="2:27" x14ac:dyDescent="0.25">
      <c r="B48" s="178" t="s">
        <v>339</v>
      </c>
      <c r="C48" s="180" t="s">
        <v>409</v>
      </c>
      <c r="D48" s="206">
        <f t="shared" ref="D48:D55" ca="1" si="15">SUM(F48:AA48)</f>
        <v>264753.05753739132</v>
      </c>
      <c r="E48" s="207" t="s">
        <v>120</v>
      </c>
      <c r="F48" s="207"/>
      <c r="G48" s="207"/>
      <c r="H48" s="206">
        <f ca="1">H49+H57+H58+H61</f>
        <v>12689.846485237236</v>
      </c>
      <c r="I48" s="206">
        <f t="shared" ref="I48:AA48" ca="1" si="16">I49+I57+I58+I61</f>
        <v>12685.383122405377</v>
      </c>
      <c r="J48" s="206">
        <f t="shared" ca="1" si="16"/>
        <v>12680.93253320184</v>
      </c>
      <c r="K48" s="206">
        <f t="shared" ca="1" si="16"/>
        <v>12676.49466014529</v>
      </c>
      <c r="L48" s="206">
        <f t="shared" ca="1" si="16"/>
        <v>12672.069446013071</v>
      </c>
      <c r="M48" s="208">
        <f t="shared" ca="1" si="16"/>
        <v>13494.791845684687</v>
      </c>
      <c r="N48" s="206">
        <f t="shared" ca="1" si="16"/>
        <v>13481.790504394532</v>
      </c>
      <c r="O48" s="206">
        <f t="shared" ca="1" si="16"/>
        <v>13468.835787945491</v>
      </c>
      <c r="P48" s="206">
        <f t="shared" ca="1" si="16"/>
        <v>13455.927486525781</v>
      </c>
      <c r="Q48" s="206">
        <f t="shared" ca="1" si="16"/>
        <v>13443.065391267772</v>
      </c>
      <c r="R48" s="208">
        <f t="shared" ca="1" si="16"/>
        <v>13463.28911725258</v>
      </c>
      <c r="S48" s="206">
        <f t="shared" ca="1" si="16"/>
        <v>13443.881643328865</v>
      </c>
      <c r="T48" s="206">
        <f t="shared" ca="1" si="16"/>
        <v>13431.156922728072</v>
      </c>
      <c r="U48" s="206">
        <f t="shared" ca="1" si="16"/>
        <v>13418.477582175294</v>
      </c>
      <c r="V48" s="206">
        <f t="shared" ca="1" si="16"/>
        <v>13405.843417460312</v>
      </c>
      <c r="W48" s="206">
        <f t="shared" ca="1" si="16"/>
        <v>13393.254225291856</v>
      </c>
      <c r="X48" s="206">
        <f t="shared" ca="1" si="16"/>
        <v>13380.70980329347</v>
      </c>
      <c r="Y48" s="206">
        <f t="shared" ca="1" si="16"/>
        <v>13368.209949999384</v>
      </c>
      <c r="Z48" s="206">
        <f t="shared" ca="1" si="16"/>
        <v>13355.754464850432</v>
      </c>
      <c r="AA48" s="206">
        <f t="shared" ca="1" si="16"/>
        <v>13343.343148189962</v>
      </c>
    </row>
    <row r="49" spans="2:27" x14ac:dyDescent="0.25">
      <c r="B49" s="179">
        <v>1</v>
      </c>
      <c r="C49" s="209" t="s">
        <v>410</v>
      </c>
      <c r="D49" s="206">
        <f t="shared" ca="1" si="15"/>
        <v>264289.46581411525</v>
      </c>
      <c r="E49" s="207" t="s">
        <v>120</v>
      </c>
      <c r="F49" s="178"/>
      <c r="G49" s="178"/>
      <c r="H49" s="210">
        <f t="shared" ref="H49:AA49" ca="1" si="17">SUM(H50:H56)</f>
        <v>12666.666899073432</v>
      </c>
      <c r="I49" s="210">
        <f t="shared" ca="1" si="17"/>
        <v>12662.203536241574</v>
      </c>
      <c r="J49" s="210">
        <f t="shared" ca="1" si="17"/>
        <v>12657.752947038036</v>
      </c>
      <c r="K49" s="210">
        <f t="shared" ca="1" si="17"/>
        <v>12653.315073981486</v>
      </c>
      <c r="L49" s="210">
        <f t="shared" ca="1" si="17"/>
        <v>12648.889859849267</v>
      </c>
      <c r="M49" s="211">
        <f t="shared" ca="1" si="17"/>
        <v>13471.612259520884</v>
      </c>
      <c r="N49" s="210">
        <f t="shared" ca="1" si="17"/>
        <v>13458.610918230728</v>
      </c>
      <c r="O49" s="210">
        <f t="shared" ca="1" si="17"/>
        <v>13445.656201781687</v>
      </c>
      <c r="P49" s="210">
        <f t="shared" ca="1" si="17"/>
        <v>13432.747900361977</v>
      </c>
      <c r="Q49" s="210">
        <f t="shared" ca="1" si="17"/>
        <v>13419.885805103968</v>
      </c>
      <c r="R49" s="211">
        <f t="shared" ca="1" si="17"/>
        <v>13440.109531088776</v>
      </c>
      <c r="S49" s="210">
        <f t="shared" ca="1" si="17"/>
        <v>13420.702057165061</v>
      </c>
      <c r="T49" s="210">
        <f t="shared" ca="1" si="17"/>
        <v>13407.977336564269</v>
      </c>
      <c r="U49" s="210">
        <f t="shared" ca="1" si="17"/>
        <v>13395.29799601149</v>
      </c>
      <c r="V49" s="210">
        <f t="shared" ca="1" si="17"/>
        <v>13382.663831296508</v>
      </c>
      <c r="W49" s="210">
        <f t="shared" ca="1" si="17"/>
        <v>13370.074639128052</v>
      </c>
      <c r="X49" s="210">
        <f t="shared" ca="1" si="17"/>
        <v>13357.530217129666</v>
      </c>
      <c r="Y49" s="210">
        <f t="shared" ca="1" si="17"/>
        <v>13345.03036383558</v>
      </c>
      <c r="Z49" s="210">
        <f t="shared" ca="1" si="17"/>
        <v>13332.574878686628</v>
      </c>
      <c r="AA49" s="210">
        <f t="shared" ca="1" si="17"/>
        <v>13320.163562026159</v>
      </c>
    </row>
    <row r="50" spans="2:27" s="183" customFormat="1" x14ac:dyDescent="0.25">
      <c r="B50" s="187">
        <v>1.1000000000000001</v>
      </c>
      <c r="C50" s="188" t="s">
        <v>407</v>
      </c>
      <c r="D50" s="189">
        <f t="shared" si="15"/>
        <v>104000</v>
      </c>
      <c r="E50" s="190" t="s">
        <v>120</v>
      </c>
      <c r="F50" s="190"/>
      <c r="G50" s="190"/>
      <c r="H50" s="189">
        <f>H7</f>
        <v>5200</v>
      </c>
      <c r="I50" s="189">
        <f t="shared" ref="I50:AA50" si="18">I7</f>
        <v>5200</v>
      </c>
      <c r="J50" s="189">
        <f t="shared" si="18"/>
        <v>5200</v>
      </c>
      <c r="K50" s="189">
        <f t="shared" si="18"/>
        <v>5200</v>
      </c>
      <c r="L50" s="189">
        <f t="shared" si="18"/>
        <v>5200</v>
      </c>
      <c r="M50" s="189">
        <f t="shared" si="18"/>
        <v>5200</v>
      </c>
      <c r="N50" s="189">
        <f t="shared" si="18"/>
        <v>5200</v>
      </c>
      <c r="O50" s="189">
        <f t="shared" si="18"/>
        <v>5200</v>
      </c>
      <c r="P50" s="189">
        <f t="shared" si="18"/>
        <v>5200</v>
      </c>
      <c r="Q50" s="189">
        <f t="shared" si="18"/>
        <v>5200</v>
      </c>
      <c r="R50" s="192">
        <f t="shared" si="18"/>
        <v>5200</v>
      </c>
      <c r="S50" s="189">
        <f t="shared" si="18"/>
        <v>5200</v>
      </c>
      <c r="T50" s="189">
        <f t="shared" si="18"/>
        <v>5200</v>
      </c>
      <c r="U50" s="189">
        <f t="shared" si="18"/>
        <v>5200</v>
      </c>
      <c r="V50" s="189">
        <f t="shared" si="18"/>
        <v>5200</v>
      </c>
      <c r="W50" s="189">
        <f t="shared" si="18"/>
        <v>5200</v>
      </c>
      <c r="X50" s="189">
        <f t="shared" si="18"/>
        <v>5200</v>
      </c>
      <c r="Y50" s="189">
        <f t="shared" si="18"/>
        <v>5200</v>
      </c>
      <c r="Z50" s="189">
        <f t="shared" si="18"/>
        <v>5200</v>
      </c>
      <c r="AA50" s="189">
        <f t="shared" si="18"/>
        <v>5200</v>
      </c>
    </row>
    <row r="51" spans="2:27" x14ac:dyDescent="0.25">
      <c r="B51" s="182">
        <v>1.2</v>
      </c>
      <c r="C51" s="212" t="s">
        <v>189</v>
      </c>
      <c r="D51" s="115">
        <f t="shared" ca="1" si="15"/>
        <v>13910.63886642441</v>
      </c>
      <c r="E51" s="207" t="s">
        <v>120</v>
      </c>
      <c r="F51" s="207"/>
      <c r="G51" s="207"/>
      <c r="H51" s="115">
        <f ca="1">H8</f>
        <v>695.20008491414103</v>
      </c>
      <c r="I51" s="115">
        <f t="shared" ref="I51:AA51" ca="1" si="19">I8</f>
        <v>695.20008491414103</v>
      </c>
      <c r="J51" s="115">
        <f t="shared" ca="1" si="19"/>
        <v>695.20008491414103</v>
      </c>
      <c r="K51" s="115">
        <f t="shared" ca="1" si="19"/>
        <v>695.20008491414103</v>
      </c>
      <c r="L51" s="115">
        <f t="shared" ca="1" si="19"/>
        <v>695.20008491414103</v>
      </c>
      <c r="M51" s="115">
        <f t="shared" ca="1" si="19"/>
        <v>695.20008491414103</v>
      </c>
      <c r="N51" s="115">
        <f t="shared" ca="1" si="19"/>
        <v>695.20008491414103</v>
      </c>
      <c r="O51" s="115">
        <f t="shared" ca="1" si="19"/>
        <v>695.20008491414103</v>
      </c>
      <c r="P51" s="115">
        <f t="shared" ca="1" si="19"/>
        <v>695.20008491414103</v>
      </c>
      <c r="Q51" s="115">
        <f t="shared" ca="1" si="19"/>
        <v>695.20008491414103</v>
      </c>
      <c r="R51" s="145">
        <f t="shared" ca="1" si="19"/>
        <v>701.83725305573398</v>
      </c>
      <c r="S51" s="115">
        <f t="shared" ca="1" si="19"/>
        <v>695.20008491414103</v>
      </c>
      <c r="T51" s="115">
        <f t="shared" ca="1" si="19"/>
        <v>695.20008491414103</v>
      </c>
      <c r="U51" s="115">
        <f t="shared" ca="1" si="19"/>
        <v>695.20008491414103</v>
      </c>
      <c r="V51" s="115">
        <f t="shared" ca="1" si="19"/>
        <v>695.20008491414103</v>
      </c>
      <c r="W51" s="115">
        <f t="shared" ca="1" si="19"/>
        <v>695.20008491414103</v>
      </c>
      <c r="X51" s="115">
        <f t="shared" ca="1" si="19"/>
        <v>695.20008491414103</v>
      </c>
      <c r="Y51" s="115">
        <f t="shared" ca="1" si="19"/>
        <v>695.20008491414103</v>
      </c>
      <c r="Z51" s="115">
        <f t="shared" ca="1" si="19"/>
        <v>695.20008491414103</v>
      </c>
      <c r="AA51" s="115">
        <f t="shared" ca="1" si="19"/>
        <v>695.20008491414103</v>
      </c>
    </row>
    <row r="52" spans="2:27" x14ac:dyDescent="0.25">
      <c r="B52" s="182">
        <v>1.3</v>
      </c>
      <c r="C52" s="171" t="s">
        <v>198</v>
      </c>
      <c r="D52" s="115">
        <f t="shared" si="15"/>
        <v>15360</v>
      </c>
      <c r="E52" s="207" t="s">
        <v>120</v>
      </c>
      <c r="F52" s="207"/>
      <c r="G52" s="207"/>
      <c r="H52" s="115">
        <f>(参数输入表!$H$397*参数输入表!$H$400+参数输入表!$H$398*参数输入表!$H$401)*(1+参数输入表!$H$402)*(1+参数输入表!$H$403*(H4-1))</f>
        <v>768</v>
      </c>
      <c r="I52" s="115">
        <f>(参数输入表!$H$397*参数输入表!$H$400+参数输入表!$H$398*参数输入表!$H$401)*(1+参数输入表!$H$402)*(1+参数输入表!$H$403*(I4-1))</f>
        <v>768</v>
      </c>
      <c r="J52" s="115">
        <f>(参数输入表!$H$397*参数输入表!$H$400+参数输入表!$H$398*参数输入表!$H$401)*(1+参数输入表!$H$402)*(1+参数输入表!$H$403*(J4-1))</f>
        <v>768</v>
      </c>
      <c r="K52" s="115">
        <f>(参数输入表!$H$397*参数输入表!$H$400+参数输入表!$H$398*参数输入表!$H$401)*(1+参数输入表!$H$402)*(1+参数输入表!$H$403*(K4-1))</f>
        <v>768</v>
      </c>
      <c r="L52" s="115">
        <f>(参数输入表!$H$397*参数输入表!$H$400+参数输入表!$H$398*参数输入表!$H$401)*(1+参数输入表!$H$402)*(1+参数输入表!$H$403*(L4-1))</f>
        <v>768</v>
      </c>
      <c r="M52" s="145">
        <f>(参数输入表!$H$397*参数输入表!$H$400+参数输入表!$H$398*参数输入表!$H$401)*(1+参数输入表!$H$402)*(1+参数输入表!$H$403*(M4-1))</f>
        <v>768</v>
      </c>
      <c r="N52" s="115">
        <f>(参数输入表!$H$397*参数输入表!$H$400+参数输入表!$H$398*参数输入表!$H$401)*(1+参数输入表!$H$402)*(1+参数输入表!$H$403*(N4-1))</f>
        <v>768</v>
      </c>
      <c r="O52" s="115">
        <f>(参数输入表!$H$397*参数输入表!$H$400+参数输入表!$H$398*参数输入表!$H$401)*(1+参数输入表!$H$402)*(1+参数输入表!$H$403*(O4-1))</f>
        <v>768</v>
      </c>
      <c r="P52" s="115">
        <f>(参数输入表!$H$397*参数输入表!$H$400+参数输入表!$H$398*参数输入表!$H$401)*(1+参数输入表!$H$402)*(1+参数输入表!$H$403*(P4-1))</f>
        <v>768</v>
      </c>
      <c r="Q52" s="115">
        <f>(参数输入表!$H$397*参数输入表!$H$400+参数输入表!$H$398*参数输入表!$H$401)*(1+参数输入表!$H$402)*(1+参数输入表!$H$403*(Q4-1))</f>
        <v>768</v>
      </c>
      <c r="R52" s="145">
        <f>(参数输入表!$H$397*参数输入表!$H$400+参数输入表!$H$398*参数输入表!$H$401)*(1+参数输入表!$H$402)*(1+参数输入表!$H$403*(R4-1))</f>
        <v>768</v>
      </c>
      <c r="S52" s="115">
        <f>(参数输入表!$H$397*参数输入表!$H$400+参数输入表!$H$398*参数输入表!$H$401)*(1+参数输入表!$H$402)*(1+参数输入表!$H$403*(S4-1))</f>
        <v>768</v>
      </c>
      <c r="T52" s="115">
        <f>(参数输入表!$H$397*参数输入表!$H$400+参数输入表!$H$398*参数输入表!$H$401)*(1+参数输入表!$H$402)*(1+参数输入表!$H$403*(T4-1))</f>
        <v>768</v>
      </c>
      <c r="U52" s="115">
        <f>(参数输入表!$H$397*参数输入表!$H$400+参数输入表!$H$398*参数输入表!$H$401)*(1+参数输入表!$H$402)*(1+参数输入表!$H$403*(U4-1))</f>
        <v>768</v>
      </c>
      <c r="V52" s="115">
        <f>(参数输入表!$H$397*参数输入表!$H$400+参数输入表!$H$398*参数输入表!$H$401)*(1+参数输入表!$H$402)*(1+参数输入表!$H$403*(V4-1))</f>
        <v>768</v>
      </c>
      <c r="W52" s="115">
        <f>(参数输入表!$H$397*参数输入表!$H$400+参数输入表!$H$398*参数输入表!$H$401)*(1+参数输入表!$H$402)*(1+参数输入表!$H$403*(W4-1))</f>
        <v>768</v>
      </c>
      <c r="X52" s="115">
        <f>(参数输入表!$H$397*参数输入表!$H$400+参数输入表!$H$398*参数输入表!$H$401)*(1+参数输入表!$H$402)*(1+参数输入表!$H$403*(X4-1))</f>
        <v>768</v>
      </c>
      <c r="Y52" s="115">
        <f>(参数输入表!$H$397*参数输入表!$H$400+参数输入表!$H$398*参数输入表!$H$401)*(1+参数输入表!$H$402)*(1+参数输入表!$H$403*(Y4-1))</f>
        <v>768</v>
      </c>
      <c r="Z52" s="115">
        <f>(参数输入表!$H$397*参数输入表!$H$400+参数输入表!$H$398*参数输入表!$H$401)*(1+参数输入表!$H$402)*(1+参数输入表!$H$403*(Z4-1))</f>
        <v>768</v>
      </c>
      <c r="AA52" s="115">
        <f>(参数输入表!$H$397*参数输入表!$H$400+参数输入表!$H$398*参数输入表!$H$401)*(1+参数输入表!$H$402)*(1+参数输入表!$H$403*(AA4-1))</f>
        <v>768</v>
      </c>
    </row>
    <row r="53" spans="2:27" x14ac:dyDescent="0.25">
      <c r="B53" s="182">
        <v>1.4</v>
      </c>
      <c r="C53" s="171" t="s">
        <v>411</v>
      </c>
      <c r="D53" s="115">
        <f t="shared" si="15"/>
        <v>0</v>
      </c>
      <c r="E53" s="207" t="s">
        <v>120</v>
      </c>
      <c r="F53" s="207"/>
      <c r="G53" s="207"/>
      <c r="H53" s="115">
        <f>参数输入表!H631</f>
        <v>0</v>
      </c>
      <c r="I53" s="115">
        <f>参数输入表!H632</f>
        <v>0</v>
      </c>
      <c r="J53" s="115">
        <f>参数输入表!H633</f>
        <v>0</v>
      </c>
      <c r="K53" s="115">
        <f>参数输入表!H634</f>
        <v>0</v>
      </c>
      <c r="L53" s="115">
        <f>参数输入表!H635</f>
        <v>0</v>
      </c>
      <c r="M53" s="145">
        <f>参数输入表!H636</f>
        <v>0</v>
      </c>
      <c r="N53" s="115">
        <f>参数输入表!H637</f>
        <v>0</v>
      </c>
      <c r="O53" s="115">
        <f>参数输入表!H638</f>
        <v>0</v>
      </c>
      <c r="P53" s="115">
        <f>参数输入表!H639</f>
        <v>0</v>
      </c>
      <c r="Q53" s="115">
        <f>参数输入表!H640</f>
        <v>0</v>
      </c>
      <c r="R53" s="145">
        <f>参数输入表!H641</f>
        <v>0</v>
      </c>
      <c r="S53" s="115">
        <f>参数输入表!H642</f>
        <v>0</v>
      </c>
      <c r="T53" s="115">
        <f>参数输入表!H643</f>
        <v>0</v>
      </c>
      <c r="U53" s="115">
        <f>参数输入表!H644</f>
        <v>0</v>
      </c>
      <c r="V53" s="115">
        <f>参数输入表!H645</f>
        <v>0</v>
      </c>
      <c r="W53" s="115">
        <f>参数输入表!H646</f>
        <v>0</v>
      </c>
      <c r="X53" s="115">
        <f>参数输入表!H647</f>
        <v>0</v>
      </c>
      <c r="Y53" s="115">
        <f>参数输入表!H648</f>
        <v>0</v>
      </c>
      <c r="Z53" s="115">
        <f>参数输入表!H649</f>
        <v>0</v>
      </c>
      <c r="AA53" s="115">
        <f>参数输入表!H650</f>
        <v>0</v>
      </c>
    </row>
    <row r="54" spans="2:27" s="183" customFormat="1" x14ac:dyDescent="0.25">
      <c r="B54" s="187">
        <v>1.5</v>
      </c>
      <c r="C54" s="195" t="s">
        <v>21</v>
      </c>
      <c r="D54" s="189">
        <f t="shared" si="15"/>
        <v>44000</v>
      </c>
      <c r="E54" s="190" t="s">
        <v>120</v>
      </c>
      <c r="F54" s="190"/>
      <c r="G54" s="190"/>
      <c r="H54" s="189">
        <f>H12</f>
        <v>2200</v>
      </c>
      <c r="I54" s="189">
        <f t="shared" ref="I54:AA54" si="20">I12</f>
        <v>2200</v>
      </c>
      <c r="J54" s="189">
        <f t="shared" si="20"/>
        <v>2200</v>
      </c>
      <c r="K54" s="189">
        <f t="shared" si="20"/>
        <v>2200</v>
      </c>
      <c r="L54" s="189">
        <f t="shared" si="20"/>
        <v>2200</v>
      </c>
      <c r="M54" s="189">
        <f t="shared" si="20"/>
        <v>2200</v>
      </c>
      <c r="N54" s="189">
        <f t="shared" si="20"/>
        <v>2200</v>
      </c>
      <c r="O54" s="189">
        <f t="shared" si="20"/>
        <v>2200</v>
      </c>
      <c r="P54" s="189">
        <f t="shared" si="20"/>
        <v>2200</v>
      </c>
      <c r="Q54" s="189">
        <f t="shared" si="20"/>
        <v>2200</v>
      </c>
      <c r="R54" s="192">
        <f t="shared" si="20"/>
        <v>2200</v>
      </c>
      <c r="S54" s="189">
        <f t="shared" si="20"/>
        <v>2200</v>
      </c>
      <c r="T54" s="189">
        <f t="shared" si="20"/>
        <v>2200</v>
      </c>
      <c r="U54" s="189">
        <f t="shared" si="20"/>
        <v>2200</v>
      </c>
      <c r="V54" s="189">
        <f t="shared" si="20"/>
        <v>2200</v>
      </c>
      <c r="W54" s="189">
        <f t="shared" si="20"/>
        <v>2200</v>
      </c>
      <c r="X54" s="189">
        <f t="shared" si="20"/>
        <v>2200</v>
      </c>
      <c r="Y54" s="189">
        <f t="shared" si="20"/>
        <v>2200</v>
      </c>
      <c r="Z54" s="189">
        <f t="shared" si="20"/>
        <v>2200</v>
      </c>
      <c r="AA54" s="189">
        <f t="shared" si="20"/>
        <v>2200</v>
      </c>
    </row>
    <row r="55" spans="2:27" s="183" customFormat="1" x14ac:dyDescent="0.25">
      <c r="B55" s="187">
        <v>1.7</v>
      </c>
      <c r="C55" s="195" t="s">
        <v>412</v>
      </c>
      <c r="D55" s="189">
        <f t="shared" si="15"/>
        <v>83018.826947690832</v>
      </c>
      <c r="E55" s="190" t="s">
        <v>120</v>
      </c>
      <c r="F55" s="190"/>
      <c r="G55" s="190"/>
      <c r="H55" s="189">
        <f>H37</f>
        <v>3603.4668141592924</v>
      </c>
      <c r="I55" s="189">
        <f t="shared" ref="I55:AA55" si="21">I37</f>
        <v>3599.0034513274336</v>
      </c>
      <c r="J55" s="189">
        <f t="shared" si="21"/>
        <v>3594.5528621238946</v>
      </c>
      <c r="K55" s="189">
        <f t="shared" si="21"/>
        <v>3590.1149890673455</v>
      </c>
      <c r="L55" s="189">
        <f t="shared" si="21"/>
        <v>3585.6897749351269</v>
      </c>
      <c r="M55" s="189">
        <f t="shared" si="21"/>
        <v>4408.4121746067422</v>
      </c>
      <c r="N55" s="189">
        <f t="shared" si="21"/>
        <v>4395.4108333165877</v>
      </c>
      <c r="O55" s="189">
        <f t="shared" si="21"/>
        <v>4382.4561168675473</v>
      </c>
      <c r="P55" s="189">
        <f t="shared" si="21"/>
        <v>4369.5478154478378</v>
      </c>
      <c r="Q55" s="189">
        <f t="shared" si="21"/>
        <v>4356.6857201898265</v>
      </c>
      <c r="R55" s="192">
        <f t="shared" si="21"/>
        <v>4370.2722780330432</v>
      </c>
      <c r="S55" s="189">
        <f t="shared" si="21"/>
        <v>4357.5019722509214</v>
      </c>
      <c r="T55" s="189">
        <f t="shared" si="21"/>
        <v>4344.7772516501282</v>
      </c>
      <c r="U55" s="189">
        <f t="shared" si="21"/>
        <v>4332.0979110973485</v>
      </c>
      <c r="V55" s="189">
        <f t="shared" si="21"/>
        <v>4319.4637463823674</v>
      </c>
      <c r="W55" s="189">
        <f t="shared" si="21"/>
        <v>4306.8745542139122</v>
      </c>
      <c r="X55" s="189">
        <f t="shared" si="21"/>
        <v>4294.3301322155257</v>
      </c>
      <c r="Y55" s="189">
        <f t="shared" si="21"/>
        <v>4281.8302789214395</v>
      </c>
      <c r="Z55" s="189">
        <f t="shared" si="21"/>
        <v>4269.3747937724875</v>
      </c>
      <c r="AA55" s="189">
        <f t="shared" si="21"/>
        <v>4256.9634771120172</v>
      </c>
    </row>
    <row r="56" spans="2:27" x14ac:dyDescent="0.25">
      <c r="B56" s="182">
        <v>1.7</v>
      </c>
      <c r="C56" s="171" t="s">
        <v>211</v>
      </c>
      <c r="D56" s="115">
        <f t="shared" ref="D56:D62" si="22">SUM(F56:AA56)</f>
        <v>4000</v>
      </c>
      <c r="E56" s="207" t="s">
        <v>120</v>
      </c>
      <c r="F56" s="207"/>
      <c r="G56" s="207"/>
      <c r="H56" s="115">
        <f>H38</f>
        <v>200</v>
      </c>
      <c r="I56" s="115">
        <f t="shared" ref="I56:AA56" si="23">I38</f>
        <v>200</v>
      </c>
      <c r="J56" s="115">
        <f t="shared" si="23"/>
        <v>200</v>
      </c>
      <c r="K56" s="115">
        <f t="shared" si="23"/>
        <v>200</v>
      </c>
      <c r="L56" s="115">
        <f t="shared" si="23"/>
        <v>200</v>
      </c>
      <c r="M56" s="115">
        <f t="shared" si="23"/>
        <v>200</v>
      </c>
      <c r="N56" s="115">
        <f t="shared" si="23"/>
        <v>200</v>
      </c>
      <c r="O56" s="115">
        <f t="shared" si="23"/>
        <v>200</v>
      </c>
      <c r="P56" s="115">
        <f t="shared" si="23"/>
        <v>200</v>
      </c>
      <c r="Q56" s="115">
        <f t="shared" si="23"/>
        <v>200</v>
      </c>
      <c r="R56" s="115">
        <f t="shared" si="23"/>
        <v>200</v>
      </c>
      <c r="S56" s="115">
        <f t="shared" si="23"/>
        <v>200</v>
      </c>
      <c r="T56" s="115">
        <f t="shared" si="23"/>
        <v>200</v>
      </c>
      <c r="U56" s="115">
        <f t="shared" si="23"/>
        <v>200</v>
      </c>
      <c r="V56" s="115">
        <f t="shared" si="23"/>
        <v>200</v>
      </c>
      <c r="W56" s="115">
        <f t="shared" si="23"/>
        <v>200</v>
      </c>
      <c r="X56" s="115">
        <f t="shared" si="23"/>
        <v>200</v>
      </c>
      <c r="Y56" s="115">
        <f t="shared" si="23"/>
        <v>200</v>
      </c>
      <c r="Z56" s="115">
        <f t="shared" si="23"/>
        <v>200</v>
      </c>
      <c r="AA56" s="115">
        <f t="shared" si="23"/>
        <v>200</v>
      </c>
    </row>
    <row r="57" spans="2:27" x14ac:dyDescent="0.25">
      <c r="B57" s="179">
        <v>2</v>
      </c>
      <c r="C57" s="209" t="s">
        <v>413</v>
      </c>
      <c r="D57" s="206">
        <f t="shared" si="22"/>
        <v>0</v>
      </c>
      <c r="E57" s="207" t="s">
        <v>120</v>
      </c>
      <c r="F57" s="115"/>
      <c r="G57" s="115"/>
      <c r="H57" s="206">
        <v>0</v>
      </c>
      <c r="I57" s="206">
        <v>0</v>
      </c>
      <c r="J57" s="206">
        <v>0</v>
      </c>
      <c r="K57" s="206">
        <v>0</v>
      </c>
      <c r="L57" s="206">
        <v>0</v>
      </c>
      <c r="M57" s="208">
        <v>0</v>
      </c>
      <c r="N57" s="206">
        <v>0</v>
      </c>
      <c r="O57" s="206">
        <v>0</v>
      </c>
      <c r="P57" s="206">
        <v>0</v>
      </c>
      <c r="Q57" s="206">
        <v>0</v>
      </c>
      <c r="R57" s="208">
        <v>0</v>
      </c>
      <c r="S57" s="206">
        <v>0</v>
      </c>
      <c r="T57" s="206">
        <v>0</v>
      </c>
      <c r="U57" s="206">
        <v>0</v>
      </c>
      <c r="V57" s="206">
        <v>0</v>
      </c>
      <c r="W57" s="206">
        <v>0</v>
      </c>
      <c r="X57" s="206">
        <v>0</v>
      </c>
      <c r="Y57" s="206">
        <v>0</v>
      </c>
      <c r="Z57" s="206">
        <v>0</v>
      </c>
      <c r="AA57" s="206">
        <v>0</v>
      </c>
    </row>
    <row r="58" spans="2:27" x14ac:dyDescent="0.25">
      <c r="B58" s="179">
        <v>3</v>
      </c>
      <c r="C58" s="209" t="s">
        <v>414</v>
      </c>
      <c r="D58" s="206">
        <f t="shared" ca="1" si="22"/>
        <v>463.591723276094</v>
      </c>
      <c r="E58" s="207" t="s">
        <v>120</v>
      </c>
      <c r="F58" s="115"/>
      <c r="G58" s="115"/>
      <c r="H58" s="206">
        <f ca="1">SUM(H59:H60)</f>
        <v>23.179586163804704</v>
      </c>
      <c r="I58" s="206">
        <f t="shared" ref="I58:AA58" ca="1" si="24">SUM(I59:I60)</f>
        <v>23.179586163804704</v>
      </c>
      <c r="J58" s="206">
        <f t="shared" ca="1" si="24"/>
        <v>23.179586163804704</v>
      </c>
      <c r="K58" s="206">
        <f t="shared" ca="1" si="24"/>
        <v>23.179586163804704</v>
      </c>
      <c r="L58" s="206">
        <f t="shared" ca="1" si="24"/>
        <v>23.179586163804704</v>
      </c>
      <c r="M58" s="208">
        <f t="shared" ca="1" si="24"/>
        <v>23.179586163804704</v>
      </c>
      <c r="N58" s="206">
        <f t="shared" ca="1" si="24"/>
        <v>23.179586163804704</v>
      </c>
      <c r="O58" s="206">
        <f t="shared" ca="1" si="24"/>
        <v>23.179586163804704</v>
      </c>
      <c r="P58" s="206">
        <f t="shared" ca="1" si="24"/>
        <v>23.179586163804704</v>
      </c>
      <c r="Q58" s="206">
        <f t="shared" ca="1" si="24"/>
        <v>23.179586163804704</v>
      </c>
      <c r="R58" s="208">
        <f t="shared" ca="1" si="24"/>
        <v>23.179586163804704</v>
      </c>
      <c r="S58" s="206">
        <f t="shared" ca="1" si="24"/>
        <v>23.179586163804704</v>
      </c>
      <c r="T58" s="206">
        <f t="shared" ca="1" si="24"/>
        <v>23.179586163804704</v>
      </c>
      <c r="U58" s="206">
        <f t="shared" ca="1" si="24"/>
        <v>23.179586163804704</v>
      </c>
      <c r="V58" s="206">
        <f t="shared" ca="1" si="24"/>
        <v>23.179586163804704</v>
      </c>
      <c r="W58" s="206">
        <f t="shared" ca="1" si="24"/>
        <v>23.179586163804704</v>
      </c>
      <c r="X58" s="206">
        <f t="shared" ca="1" si="24"/>
        <v>23.179586163804704</v>
      </c>
      <c r="Y58" s="206">
        <f t="shared" ca="1" si="24"/>
        <v>23.179586163804704</v>
      </c>
      <c r="Z58" s="206">
        <f t="shared" ca="1" si="24"/>
        <v>23.179586163804704</v>
      </c>
      <c r="AA58" s="206">
        <f t="shared" ca="1" si="24"/>
        <v>23.179586163804704</v>
      </c>
    </row>
    <row r="59" spans="2:27" x14ac:dyDescent="0.25">
      <c r="B59" s="182">
        <v>3.1</v>
      </c>
      <c r="C59" s="171" t="s">
        <v>400</v>
      </c>
      <c r="D59" s="115">
        <f t="shared" ca="1" si="22"/>
        <v>463.591723276094</v>
      </c>
      <c r="E59" s="207" t="s">
        <v>120</v>
      </c>
      <c r="F59" s="115"/>
      <c r="G59" s="115"/>
      <c r="H59" s="115">
        <f ca="1">H41</f>
        <v>23.179586163804704</v>
      </c>
      <c r="I59" s="115">
        <f t="shared" ref="I59:AA59" ca="1" si="25">I41</f>
        <v>23.179586163804704</v>
      </c>
      <c r="J59" s="115">
        <f t="shared" ca="1" si="25"/>
        <v>23.179586163804704</v>
      </c>
      <c r="K59" s="115">
        <f t="shared" ca="1" si="25"/>
        <v>23.179586163804704</v>
      </c>
      <c r="L59" s="115">
        <f t="shared" ca="1" si="25"/>
        <v>23.179586163804704</v>
      </c>
      <c r="M59" s="115">
        <f t="shared" ca="1" si="25"/>
        <v>23.179586163804704</v>
      </c>
      <c r="N59" s="115">
        <f t="shared" ca="1" si="25"/>
        <v>23.179586163804704</v>
      </c>
      <c r="O59" s="115">
        <f t="shared" ca="1" si="25"/>
        <v>23.179586163804704</v>
      </c>
      <c r="P59" s="115">
        <f t="shared" ca="1" si="25"/>
        <v>23.179586163804704</v>
      </c>
      <c r="Q59" s="115">
        <f t="shared" ca="1" si="25"/>
        <v>23.179586163804704</v>
      </c>
      <c r="R59" s="145">
        <f t="shared" ca="1" si="25"/>
        <v>23.179586163804704</v>
      </c>
      <c r="S59" s="115">
        <f t="shared" ca="1" si="25"/>
        <v>23.179586163804704</v>
      </c>
      <c r="T59" s="115">
        <f t="shared" ca="1" si="25"/>
        <v>23.179586163804704</v>
      </c>
      <c r="U59" s="115">
        <f t="shared" ca="1" si="25"/>
        <v>23.179586163804704</v>
      </c>
      <c r="V59" s="115">
        <f t="shared" ca="1" si="25"/>
        <v>23.179586163804704</v>
      </c>
      <c r="W59" s="115">
        <f t="shared" ca="1" si="25"/>
        <v>23.179586163804704</v>
      </c>
      <c r="X59" s="115">
        <f t="shared" ca="1" si="25"/>
        <v>23.179586163804704</v>
      </c>
      <c r="Y59" s="115">
        <f t="shared" ca="1" si="25"/>
        <v>23.179586163804704</v>
      </c>
      <c r="Z59" s="115">
        <f t="shared" ca="1" si="25"/>
        <v>23.179586163804704</v>
      </c>
      <c r="AA59" s="115">
        <f t="shared" ca="1" si="25"/>
        <v>23.179586163804704</v>
      </c>
    </row>
    <row r="60" spans="2:27" x14ac:dyDescent="0.25">
      <c r="B60" s="182">
        <v>3.2</v>
      </c>
      <c r="C60" s="171" t="s">
        <v>212</v>
      </c>
      <c r="D60" s="115">
        <f t="shared" ca="1" si="22"/>
        <v>0</v>
      </c>
      <c r="E60" s="207" t="s">
        <v>120</v>
      </c>
      <c r="F60" s="115"/>
      <c r="G60" s="115"/>
      <c r="H60" s="115">
        <v>0</v>
      </c>
      <c r="I60" s="115">
        <v>0</v>
      </c>
      <c r="J60" s="115">
        <v>0</v>
      </c>
      <c r="K60" s="115">
        <v>0</v>
      </c>
      <c r="L60" s="115">
        <v>0</v>
      </c>
      <c r="M60" s="145">
        <v>0</v>
      </c>
      <c r="N60" s="115">
        <v>0</v>
      </c>
      <c r="O60" s="115">
        <v>0</v>
      </c>
      <c r="P60" s="115">
        <v>0</v>
      </c>
      <c r="Q60" s="115">
        <v>0</v>
      </c>
      <c r="R60" s="145">
        <v>0</v>
      </c>
      <c r="S60" s="115">
        <v>0</v>
      </c>
      <c r="T60" s="115">
        <v>0</v>
      </c>
      <c r="U60" s="115">
        <v>0</v>
      </c>
      <c r="V60" s="115">
        <v>0</v>
      </c>
      <c r="W60" s="115">
        <v>0</v>
      </c>
      <c r="X60" s="115">
        <v>0</v>
      </c>
      <c r="Y60" s="115">
        <v>0</v>
      </c>
      <c r="Z60" s="115">
        <v>0</v>
      </c>
      <c r="AA60" s="115">
        <f ca="1">参数输入表!H412*参数输入表!H411</f>
        <v>0</v>
      </c>
    </row>
    <row r="61" spans="2:27" x14ac:dyDescent="0.25">
      <c r="B61" s="179">
        <v>4</v>
      </c>
      <c r="C61" s="209" t="s">
        <v>415</v>
      </c>
      <c r="D61" s="206">
        <f t="shared" si="22"/>
        <v>0</v>
      </c>
      <c r="E61" s="207" t="s">
        <v>120</v>
      </c>
      <c r="F61" s="115"/>
      <c r="G61" s="115"/>
      <c r="H61" s="206">
        <v>0</v>
      </c>
      <c r="I61" s="206">
        <v>0</v>
      </c>
      <c r="J61" s="206">
        <v>0</v>
      </c>
      <c r="K61" s="206">
        <v>0</v>
      </c>
      <c r="L61" s="206">
        <v>0</v>
      </c>
      <c r="M61" s="208">
        <v>0</v>
      </c>
      <c r="N61" s="206">
        <v>0</v>
      </c>
      <c r="O61" s="206">
        <v>0</v>
      </c>
      <c r="P61" s="206">
        <v>0</v>
      </c>
      <c r="Q61" s="206">
        <v>0</v>
      </c>
      <c r="R61" s="208">
        <v>0</v>
      </c>
      <c r="S61" s="206">
        <v>0</v>
      </c>
      <c r="T61" s="206">
        <v>0</v>
      </c>
      <c r="U61" s="206">
        <v>0</v>
      </c>
      <c r="V61" s="206">
        <v>0</v>
      </c>
      <c r="W61" s="206">
        <v>0</v>
      </c>
      <c r="X61" s="206">
        <v>0</v>
      </c>
      <c r="Y61" s="206">
        <v>0</v>
      </c>
      <c r="Z61" s="206">
        <v>0</v>
      </c>
      <c r="AA61" s="206">
        <v>0</v>
      </c>
    </row>
    <row r="62" spans="2:27" x14ac:dyDescent="0.25">
      <c r="B62" s="178" t="s">
        <v>340</v>
      </c>
      <c r="C62" s="180" t="s">
        <v>416</v>
      </c>
      <c r="D62" s="206">
        <f t="shared" si="22"/>
        <v>0</v>
      </c>
      <c r="E62" s="207" t="s">
        <v>120</v>
      </c>
      <c r="F62" s="115"/>
      <c r="G62" s="115"/>
      <c r="H62" s="206">
        <f>参数输入表!$H$682</f>
        <v>0</v>
      </c>
      <c r="I62" s="206">
        <f>参数输入表!$H$682</f>
        <v>0</v>
      </c>
      <c r="J62" s="206">
        <f>参数输入表!$H$682</f>
        <v>0</v>
      </c>
      <c r="K62" s="206">
        <f>参数输入表!$H$682</f>
        <v>0</v>
      </c>
      <c r="L62" s="206">
        <f>参数输入表!$H$682</f>
        <v>0</v>
      </c>
      <c r="M62" s="208">
        <f>参数输入表!$H$682</f>
        <v>0</v>
      </c>
      <c r="N62" s="206">
        <f>参数输入表!$H$682</f>
        <v>0</v>
      </c>
      <c r="O62" s="206">
        <f>参数输入表!$H$682</f>
        <v>0</v>
      </c>
      <c r="P62" s="206">
        <f>参数输入表!$H$682</f>
        <v>0</v>
      </c>
      <c r="Q62" s="206">
        <f>参数输入表!$H$682</f>
        <v>0</v>
      </c>
      <c r="R62" s="208">
        <f>参数输入表!$H$682</f>
        <v>0</v>
      </c>
      <c r="S62" s="206">
        <f>参数输入表!$H$682</f>
        <v>0</v>
      </c>
      <c r="T62" s="206">
        <f>参数输入表!$H$682</f>
        <v>0</v>
      </c>
      <c r="U62" s="206">
        <f>参数输入表!$H$682</f>
        <v>0</v>
      </c>
      <c r="V62" s="206">
        <f>参数输入表!$H$682</f>
        <v>0</v>
      </c>
      <c r="W62" s="206">
        <f>参数输入表!$H$682</f>
        <v>0</v>
      </c>
      <c r="X62" s="206">
        <f>参数输入表!$H$682</f>
        <v>0</v>
      </c>
      <c r="Y62" s="206">
        <f>参数输入表!$H$682</f>
        <v>0</v>
      </c>
      <c r="Z62" s="206">
        <f>参数输入表!$H$682</f>
        <v>0</v>
      </c>
      <c r="AA62" s="206">
        <f>参数输入表!$H$682</f>
        <v>0</v>
      </c>
    </row>
    <row r="63" spans="2:27" x14ac:dyDescent="0.25">
      <c r="B63" s="198"/>
      <c r="C63" s="213"/>
      <c r="D63" s="200"/>
      <c r="E63" s="201"/>
    </row>
    <row r="65" spans="3:5" x14ac:dyDescent="0.25">
      <c r="C65" s="119" t="s">
        <v>417</v>
      </c>
      <c r="D65" s="156"/>
      <c r="E65" s="156"/>
    </row>
    <row r="66" spans="3:5" x14ac:dyDescent="0.25">
      <c r="C66" s="119" t="s">
        <v>418</v>
      </c>
      <c r="D66" s="156"/>
      <c r="E66" s="156"/>
    </row>
    <row r="68" spans="3:5" x14ac:dyDescent="0.25">
      <c r="C68" s="119" t="s">
        <v>419</v>
      </c>
    </row>
  </sheetData>
  <mergeCells count="12">
    <mergeCell ref="F3:G3"/>
    <mergeCell ref="H3:AA3"/>
    <mergeCell ref="F27:G27"/>
    <mergeCell ref="H27:AA27"/>
    <mergeCell ref="B3:B4"/>
    <mergeCell ref="B27:B28"/>
    <mergeCell ref="C3:C4"/>
    <mergeCell ref="C27:C28"/>
    <mergeCell ref="D3:D4"/>
    <mergeCell ref="D27:D28"/>
    <mergeCell ref="E3:E4"/>
    <mergeCell ref="E27:E28"/>
  </mergeCells>
  <phoneticPr fontId="65" type="noConversion"/>
  <pageMargins left="0.7" right="0.7" top="0.75" bottom="0.75" header="0.3" footer="0.3"/>
  <pageSetup paperSize="9" orientation="portrait" horizontalDpi="1200" verticalDpi="120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AA65"/>
  <sheetViews>
    <sheetView showGridLines="0" topLeftCell="A16" zoomScale="80" zoomScaleNormal="80" workbookViewId="0">
      <selection activeCell="H28" sqref="H28"/>
    </sheetView>
  </sheetViews>
  <sheetFormatPr defaultColWidth="8.81640625" defaultRowHeight="16.5" x14ac:dyDescent="0.25"/>
  <cols>
    <col min="1" max="1" width="2.81640625" style="156" customWidth="1"/>
    <col min="2" max="2" width="8.81640625" style="156"/>
    <col min="3" max="3" width="31.08984375" style="156" customWidth="1"/>
    <col min="4" max="4" width="14.81640625" style="156" customWidth="1"/>
    <col min="5" max="5" width="8.81640625" style="156"/>
    <col min="6" max="6" width="13.08984375" style="156" customWidth="1"/>
    <col min="7" max="7" width="11.81640625" style="156" customWidth="1"/>
    <col min="8" max="27" width="13" style="156" customWidth="1"/>
    <col min="28" max="16384" width="8.81640625" style="156"/>
  </cols>
  <sheetData>
    <row r="1" spans="2:27" ht="6.5" customHeight="1" x14ac:dyDescent="0.25"/>
    <row r="2" spans="2:27" ht="21.65" customHeight="1" x14ac:dyDescent="0.25">
      <c r="B2" s="92" t="s">
        <v>420</v>
      </c>
    </row>
    <row r="3" spans="2:27" x14ac:dyDescent="0.25">
      <c r="B3" s="433" t="s">
        <v>14</v>
      </c>
      <c r="C3" s="433" t="s">
        <v>318</v>
      </c>
      <c r="D3" s="433" t="s">
        <v>306</v>
      </c>
      <c r="E3" s="433" t="s">
        <v>38</v>
      </c>
      <c r="F3" s="417" t="s">
        <v>93</v>
      </c>
      <c r="G3" s="417"/>
      <c r="H3" s="418" t="s">
        <v>103</v>
      </c>
      <c r="I3" s="418"/>
      <c r="J3" s="418"/>
      <c r="K3" s="418"/>
      <c r="L3" s="418"/>
      <c r="M3" s="418"/>
      <c r="N3" s="418"/>
      <c r="O3" s="418"/>
      <c r="P3" s="418"/>
      <c r="Q3" s="418"/>
      <c r="R3" s="418"/>
      <c r="S3" s="418"/>
      <c r="T3" s="418"/>
      <c r="U3" s="418"/>
      <c r="V3" s="418"/>
      <c r="W3" s="418"/>
      <c r="X3" s="418"/>
      <c r="Y3" s="418"/>
      <c r="Z3" s="418"/>
      <c r="AA3" s="418"/>
    </row>
    <row r="4" spans="2:27" x14ac:dyDescent="0.25">
      <c r="B4" s="434"/>
      <c r="C4" s="434"/>
      <c r="D4" s="434"/>
      <c r="E4" s="434"/>
      <c r="F4" s="93">
        <v>1</v>
      </c>
      <c r="G4" s="93">
        <v>2</v>
      </c>
      <c r="H4" s="94">
        <v>1</v>
      </c>
      <c r="I4" s="94">
        <v>2</v>
      </c>
      <c r="J4" s="94">
        <v>3</v>
      </c>
      <c r="K4" s="94">
        <v>4</v>
      </c>
      <c r="L4" s="94">
        <v>5</v>
      </c>
      <c r="M4" s="94">
        <v>6</v>
      </c>
      <c r="N4" s="94">
        <v>7</v>
      </c>
      <c r="O4" s="94">
        <v>8</v>
      </c>
      <c r="P4" s="94">
        <v>9</v>
      </c>
      <c r="Q4" s="94">
        <v>10</v>
      </c>
      <c r="R4" s="94">
        <v>11</v>
      </c>
      <c r="S4" s="94">
        <v>12</v>
      </c>
      <c r="T4" s="94">
        <v>13</v>
      </c>
      <c r="U4" s="94">
        <v>14</v>
      </c>
      <c r="V4" s="94">
        <v>15</v>
      </c>
      <c r="W4" s="94">
        <v>16</v>
      </c>
      <c r="X4" s="94">
        <v>17</v>
      </c>
      <c r="Y4" s="94">
        <v>18</v>
      </c>
      <c r="Z4" s="94">
        <v>19</v>
      </c>
      <c r="AA4" s="94">
        <v>20</v>
      </c>
    </row>
    <row r="5" spans="2:27" x14ac:dyDescent="0.25">
      <c r="B5" s="95">
        <v>1</v>
      </c>
      <c r="C5" s="96" t="s">
        <v>421</v>
      </c>
      <c r="D5" s="131">
        <f>SUM(F5:AA5)</f>
        <v>373365.73584905674</v>
      </c>
      <c r="E5" s="112" t="s">
        <v>120</v>
      </c>
      <c r="F5" s="136"/>
      <c r="G5" s="136"/>
      <c r="H5" s="137">
        <f>H6+H10</f>
        <v>25177.720754716982</v>
      </c>
      <c r="I5" s="137">
        <f t="shared" ref="I5:AA5" si="0">I6+I10</f>
        <v>17630.550943396229</v>
      </c>
      <c r="J5" s="137">
        <f t="shared" si="0"/>
        <v>17630.550943396229</v>
      </c>
      <c r="K5" s="137">
        <f t="shared" si="0"/>
        <v>17630.550943396229</v>
      </c>
      <c r="L5" s="137">
        <f t="shared" si="0"/>
        <v>17630.550943396229</v>
      </c>
      <c r="M5" s="137">
        <f t="shared" si="0"/>
        <v>17630.550943396229</v>
      </c>
      <c r="N5" s="137">
        <f t="shared" si="0"/>
        <v>18573.947169811323</v>
      </c>
      <c r="O5" s="137">
        <f t="shared" si="0"/>
        <v>18573.947169811323</v>
      </c>
      <c r="P5" s="137">
        <f t="shared" si="0"/>
        <v>18573.947169811323</v>
      </c>
      <c r="Q5" s="137">
        <f t="shared" si="0"/>
        <v>18573.947169811323</v>
      </c>
      <c r="R5" s="137">
        <f t="shared" si="0"/>
        <v>18573.947169811323</v>
      </c>
      <c r="S5" s="137">
        <f t="shared" si="0"/>
        <v>18573.947169811323</v>
      </c>
      <c r="T5" s="137">
        <f t="shared" si="0"/>
        <v>18573.947169811323</v>
      </c>
      <c r="U5" s="137">
        <f t="shared" si="0"/>
        <v>18573.947169811323</v>
      </c>
      <c r="V5" s="137">
        <f t="shared" si="0"/>
        <v>18573.947169811323</v>
      </c>
      <c r="W5" s="137">
        <f t="shared" si="0"/>
        <v>18573.947169811323</v>
      </c>
      <c r="X5" s="137">
        <f t="shared" si="0"/>
        <v>18573.947169811323</v>
      </c>
      <c r="Y5" s="137">
        <f t="shared" si="0"/>
        <v>18573.947169811323</v>
      </c>
      <c r="Z5" s="137">
        <f t="shared" si="0"/>
        <v>18573.947169811323</v>
      </c>
      <c r="AA5" s="137">
        <f t="shared" si="0"/>
        <v>18573.947169811323</v>
      </c>
    </row>
    <row r="6" spans="2:27" x14ac:dyDescent="0.25">
      <c r="B6" s="107">
        <v>1.1000000000000001</v>
      </c>
      <c r="C6" s="157" t="s">
        <v>422</v>
      </c>
      <c r="D6" s="131">
        <f>SUM(F6:AA6)</f>
        <v>373365.73584905674</v>
      </c>
      <c r="E6" s="112" t="s">
        <v>120</v>
      </c>
      <c r="F6" s="104"/>
      <c r="G6" s="104"/>
      <c r="H6" s="99">
        <f>H7</f>
        <v>25177.720754716982</v>
      </c>
      <c r="I6" s="99">
        <f t="shared" ref="I6:AA6" si="1">I7</f>
        <v>17630.550943396229</v>
      </c>
      <c r="J6" s="99">
        <f t="shared" si="1"/>
        <v>17630.550943396229</v>
      </c>
      <c r="K6" s="99">
        <f t="shared" si="1"/>
        <v>17630.550943396229</v>
      </c>
      <c r="L6" s="99">
        <f t="shared" si="1"/>
        <v>17630.550943396229</v>
      </c>
      <c r="M6" s="99">
        <f t="shared" si="1"/>
        <v>17630.550943396229</v>
      </c>
      <c r="N6" s="99">
        <f t="shared" si="1"/>
        <v>18573.947169811323</v>
      </c>
      <c r="O6" s="99">
        <f t="shared" si="1"/>
        <v>18573.947169811323</v>
      </c>
      <c r="P6" s="99">
        <f t="shared" si="1"/>
        <v>18573.947169811323</v>
      </c>
      <c r="Q6" s="99">
        <f t="shared" si="1"/>
        <v>18573.947169811323</v>
      </c>
      <c r="R6" s="99">
        <f t="shared" si="1"/>
        <v>18573.947169811323</v>
      </c>
      <c r="S6" s="99">
        <f t="shared" si="1"/>
        <v>18573.947169811323</v>
      </c>
      <c r="T6" s="99">
        <f t="shared" si="1"/>
        <v>18573.947169811323</v>
      </c>
      <c r="U6" s="99">
        <f t="shared" si="1"/>
        <v>18573.947169811323</v>
      </c>
      <c r="V6" s="99">
        <f t="shared" si="1"/>
        <v>18573.947169811323</v>
      </c>
      <c r="W6" s="99">
        <f t="shared" si="1"/>
        <v>18573.947169811323</v>
      </c>
      <c r="X6" s="99">
        <f t="shared" si="1"/>
        <v>18573.947169811323</v>
      </c>
      <c r="Y6" s="99">
        <f t="shared" si="1"/>
        <v>18573.947169811323</v>
      </c>
      <c r="Z6" s="99">
        <f t="shared" si="1"/>
        <v>18573.947169811323</v>
      </c>
      <c r="AA6" s="99">
        <f t="shared" si="1"/>
        <v>18573.947169811323</v>
      </c>
    </row>
    <row r="7" spans="2:27" s="154" customFormat="1" x14ac:dyDescent="0.25">
      <c r="B7" s="158" t="s">
        <v>423</v>
      </c>
      <c r="C7" s="159" t="s">
        <v>119</v>
      </c>
      <c r="D7" s="131">
        <f>SUM(H7:AA7)</f>
        <v>373365.73584905674</v>
      </c>
      <c r="E7" s="112" t="s">
        <v>120</v>
      </c>
      <c r="F7" s="160"/>
      <c r="G7" s="160">
        <f>H7*1.06</f>
        <v>26688.384000000002</v>
      </c>
      <c r="H7" s="161">
        <f>H8+H9</f>
        <v>25177.720754716982</v>
      </c>
      <c r="I7" s="161">
        <f t="shared" ref="I7:AA7" si="2">I8+I9</f>
        <v>17630.550943396229</v>
      </c>
      <c r="J7" s="161">
        <f t="shared" si="2"/>
        <v>17630.550943396229</v>
      </c>
      <c r="K7" s="161">
        <f t="shared" si="2"/>
        <v>17630.550943396229</v>
      </c>
      <c r="L7" s="161">
        <f t="shared" si="2"/>
        <v>17630.550943396229</v>
      </c>
      <c r="M7" s="161">
        <f t="shared" si="2"/>
        <v>17630.550943396229</v>
      </c>
      <c r="N7" s="161">
        <f t="shared" si="2"/>
        <v>18573.947169811323</v>
      </c>
      <c r="O7" s="161">
        <f t="shared" si="2"/>
        <v>18573.947169811323</v>
      </c>
      <c r="P7" s="161">
        <f t="shared" si="2"/>
        <v>18573.947169811323</v>
      </c>
      <c r="Q7" s="161">
        <f t="shared" si="2"/>
        <v>18573.947169811323</v>
      </c>
      <c r="R7" s="161">
        <f t="shared" si="2"/>
        <v>18573.947169811323</v>
      </c>
      <c r="S7" s="161">
        <f t="shared" si="2"/>
        <v>18573.947169811323</v>
      </c>
      <c r="T7" s="161">
        <f t="shared" si="2"/>
        <v>18573.947169811323</v>
      </c>
      <c r="U7" s="161">
        <f t="shared" si="2"/>
        <v>18573.947169811323</v>
      </c>
      <c r="V7" s="161">
        <f t="shared" si="2"/>
        <v>18573.947169811323</v>
      </c>
      <c r="W7" s="161">
        <f t="shared" si="2"/>
        <v>18573.947169811323</v>
      </c>
      <c r="X7" s="161">
        <f t="shared" si="2"/>
        <v>18573.947169811323</v>
      </c>
      <c r="Y7" s="161">
        <f t="shared" si="2"/>
        <v>18573.947169811323</v>
      </c>
      <c r="Z7" s="161">
        <f t="shared" si="2"/>
        <v>18573.947169811323</v>
      </c>
      <c r="AA7" s="161">
        <f t="shared" si="2"/>
        <v>18573.947169811323</v>
      </c>
    </row>
    <row r="8" spans="2:27" s="154" customFormat="1" x14ac:dyDescent="0.25">
      <c r="B8" s="158"/>
      <c r="C8" s="159" t="s">
        <v>424</v>
      </c>
      <c r="D8" s="131">
        <f>SUM(H8:AA8)</f>
        <v>333743.09433962259</v>
      </c>
      <c r="E8" s="112" t="s">
        <v>120</v>
      </c>
      <c r="F8" s="160"/>
      <c r="G8" s="160"/>
      <c r="H8" s="161">
        <f>(参数输入表!H113*参数输入表!H114+参数输入表!H116*参数输入表!H117)/(1+参数输入表!$H$251)</f>
        <v>16687.154716981135</v>
      </c>
      <c r="I8" s="161">
        <f>(参数输入表!H120*参数输入表!H121+参数输入表!H123*参数输入表!H124)/(1+参数输入表!$H$251)</f>
        <v>16687.154716981135</v>
      </c>
      <c r="J8" s="161">
        <f>(参数输入表!H127*参数输入表!H128+参数输入表!H130*参数输入表!H131)/(1+参数输入表!$H$251)</f>
        <v>16687.154716981135</v>
      </c>
      <c r="K8" s="161">
        <f>(参数输入表!H134*参数输入表!H135+参数输入表!H137*参数输入表!H138)/(1+参数输入表!$H$251)</f>
        <v>16687.154716981135</v>
      </c>
      <c r="L8" s="161">
        <f>(参数输入表!H141*参数输入表!H142+参数输入表!H144*参数输入表!H145)/(1+参数输入表!$H$251)</f>
        <v>16687.154716981135</v>
      </c>
      <c r="M8" s="161">
        <f>(参数输入表!H148*参数输入表!H149+参数输入表!H151*参数输入表!H152)/(1+参数输入表!$H$251)</f>
        <v>16687.154716981135</v>
      </c>
      <c r="N8" s="161">
        <f>(参数输入表!H155*参数输入表!H156+参数输入表!H158*参数输入表!H159)/(1+参数输入表!$H$251)</f>
        <v>16687.154716981135</v>
      </c>
      <c r="O8" s="161">
        <f>(参数输入表!H162*参数输入表!H163+参数输入表!H165*参数输入表!H166)/(1+参数输入表!$H$251)</f>
        <v>16687.154716981135</v>
      </c>
      <c r="P8" s="161">
        <f>(参数输入表!H169*参数输入表!H170+参数输入表!H172*参数输入表!H173)/(1+参数输入表!$H$251)</f>
        <v>16687.154716981135</v>
      </c>
      <c r="Q8" s="161">
        <f>(参数输入表!H176*参数输入表!H177+参数输入表!H179*参数输入表!H180)/(1+参数输入表!$H$251)</f>
        <v>16687.154716981135</v>
      </c>
      <c r="R8" s="161">
        <f>(参数输入表!H183*参数输入表!H184+参数输入表!H186*参数输入表!H187)/(1+参数输入表!$H$251)</f>
        <v>16687.154716981135</v>
      </c>
      <c r="S8" s="161">
        <f>(参数输入表!H190*参数输入表!H191+参数输入表!H193*参数输入表!H194)/(1+参数输入表!$H$251)</f>
        <v>16687.154716981135</v>
      </c>
      <c r="T8" s="161">
        <f>(参数输入表!H197*参数输入表!H198+参数输入表!H200*参数输入表!H201)/(1+参数输入表!$H$251)</f>
        <v>16687.154716981135</v>
      </c>
      <c r="U8" s="161">
        <f>(参数输入表!H204*参数输入表!H205+参数输入表!H207*参数输入表!H208)/(1+参数输入表!$H$251)</f>
        <v>16687.154716981135</v>
      </c>
      <c r="V8" s="161">
        <f>(参数输入表!H211*参数输入表!H212+参数输入表!H214*参数输入表!H215)/(1+参数输入表!$H$251)</f>
        <v>16687.154716981135</v>
      </c>
      <c r="W8" s="161">
        <f>(参数输入表!H218*参数输入表!H219+参数输入表!H221*参数输入表!H222)/(1+参数输入表!$H$251)</f>
        <v>16687.154716981135</v>
      </c>
      <c r="X8" s="161">
        <f>(参数输入表!H225*参数输入表!H226+参数输入表!H228*参数输入表!H229)/(1+参数输入表!$H$251)</f>
        <v>16687.154716981135</v>
      </c>
      <c r="Y8" s="161">
        <f>(参数输入表!H232*参数输入表!H233+参数输入表!H235*参数输入表!H236)/(1+参数输入表!$H$251)</f>
        <v>16687.154716981135</v>
      </c>
      <c r="Z8" s="161">
        <f>(参数输入表!H239*参数输入表!H240+参数输入表!H242*参数输入表!H243)/(1+参数输入表!$H$251)</f>
        <v>16687.154716981135</v>
      </c>
      <c r="AA8" s="161">
        <f>(参数输入表!H246*参数输入表!H247+参数输入表!H249*参数输入表!H250)/(1+参数输入表!$H$251)</f>
        <v>16687.154716981135</v>
      </c>
    </row>
    <row r="9" spans="2:27" s="155" customFormat="1" x14ac:dyDescent="0.25">
      <c r="B9" s="162"/>
      <c r="C9" s="163" t="s">
        <v>425</v>
      </c>
      <c r="D9" s="160">
        <f>SUM(F9:AA9)</f>
        <v>39622.641509433961</v>
      </c>
      <c r="E9" s="112" t="s">
        <v>120</v>
      </c>
      <c r="F9" s="160"/>
      <c r="G9" s="160"/>
      <c r="H9" s="160">
        <f>参数输入表!H254/(1+参数输入表!$H$293)</f>
        <v>8490.566037735849</v>
      </c>
      <c r="I9" s="160">
        <f>参数输入表!H256/(1+参数输入表!$H$293)</f>
        <v>943.39622641509425</v>
      </c>
      <c r="J9" s="160">
        <f>参数输入表!H258/(1+参数输入表!$H$293)</f>
        <v>943.39622641509425</v>
      </c>
      <c r="K9" s="160">
        <f>参数输入表!H260/(1+参数输入表!$H$293)</f>
        <v>943.39622641509425</v>
      </c>
      <c r="L9" s="160">
        <f>参数输入表!H262/(1+参数输入表!$H$293)</f>
        <v>943.39622641509425</v>
      </c>
      <c r="M9" s="160">
        <f>参数输入表!H264/(1+参数输入表!$H$293)</f>
        <v>943.39622641509425</v>
      </c>
      <c r="N9" s="160">
        <f>参数输入表!H266/(1+参数输入表!$H$293)</f>
        <v>1886.7924528301885</v>
      </c>
      <c r="O9" s="160">
        <f>参数输入表!H268/(1+参数输入表!$H$293)</f>
        <v>1886.7924528301885</v>
      </c>
      <c r="P9" s="160">
        <f>参数输入表!H270/(1+参数输入表!$H$293)</f>
        <v>1886.7924528301885</v>
      </c>
      <c r="Q9" s="160">
        <f>参数输入表!H272/(1+参数输入表!$H$293)</f>
        <v>1886.7924528301885</v>
      </c>
      <c r="R9" s="160">
        <f>参数输入表!H274/(1+参数输入表!$H$293)</f>
        <v>1886.7924528301885</v>
      </c>
      <c r="S9" s="160">
        <f>参数输入表!H276/(1+参数输入表!$H$293)</f>
        <v>1886.7924528301885</v>
      </c>
      <c r="T9" s="160">
        <f>参数输入表!H278/(1+参数输入表!$H$293)</f>
        <v>1886.7924528301885</v>
      </c>
      <c r="U9" s="160">
        <f>参数输入表!H280/(1+参数输入表!$H$293)</f>
        <v>1886.7924528301885</v>
      </c>
      <c r="V9" s="160">
        <f>参数输入表!H282/(1+参数输入表!$H$293)</f>
        <v>1886.7924528301885</v>
      </c>
      <c r="W9" s="160">
        <f>参数输入表!H284/(1+参数输入表!$H$293)</f>
        <v>1886.7924528301885</v>
      </c>
      <c r="X9" s="160">
        <f>参数输入表!H286/(1+参数输入表!$H$293)</f>
        <v>1886.7924528301885</v>
      </c>
      <c r="Y9" s="160">
        <f>参数输入表!H288/(1+参数输入表!$H$293)</f>
        <v>1886.7924528301885</v>
      </c>
      <c r="Z9" s="160">
        <f>参数输入表!H290/(1+参数输入表!$H$293)</f>
        <v>1886.7924528301885</v>
      </c>
      <c r="AA9" s="160">
        <f>参数输入表!H290/(1+参数输入表!$H$293)</f>
        <v>1886.7924528301885</v>
      </c>
    </row>
    <row r="10" spans="2:27" x14ac:dyDescent="0.25">
      <c r="B10" s="107">
        <v>2</v>
      </c>
      <c r="C10" s="157" t="s">
        <v>122</v>
      </c>
      <c r="D10" s="131">
        <f t="shared" ref="D10:D38" si="3">SUM(F10:AA10)</f>
        <v>0</v>
      </c>
      <c r="E10" s="112" t="s">
        <v>120</v>
      </c>
      <c r="F10" s="104"/>
      <c r="G10" s="104"/>
      <c r="H10" s="99">
        <f>(参数输入表!H295)/(1+参数输入表!$H$315)</f>
        <v>0</v>
      </c>
      <c r="I10" s="99">
        <f>(参数输入表!H296)/(1+参数输入表!$H$315)</f>
        <v>0</v>
      </c>
      <c r="J10" s="99">
        <f>(参数输入表!H297)/(1+参数输入表!$H$315)</f>
        <v>0</v>
      </c>
      <c r="K10" s="99">
        <f>(参数输入表!H298)/(1+参数输入表!$H$315)</f>
        <v>0</v>
      </c>
      <c r="L10" s="99">
        <f>(参数输入表!H299)/(1+参数输入表!$H$315)</f>
        <v>0</v>
      </c>
      <c r="M10" s="99">
        <f>(参数输入表!H300)/(1+参数输入表!$H$315)</f>
        <v>0</v>
      </c>
      <c r="N10" s="99">
        <f>(参数输入表!H301)/(1+参数输入表!$H$315)</f>
        <v>0</v>
      </c>
      <c r="O10" s="99">
        <f>(参数输入表!H302)/(1+参数输入表!$H$315)</f>
        <v>0</v>
      </c>
      <c r="P10" s="99">
        <f>(参数输入表!H303)/(1+参数输入表!$H$315)</f>
        <v>0</v>
      </c>
      <c r="Q10" s="99">
        <f>(参数输入表!H304)/(1+参数输入表!$H$315)</f>
        <v>0</v>
      </c>
      <c r="R10" s="99">
        <f>(参数输入表!H305)/(1+参数输入表!$H$315)</f>
        <v>0</v>
      </c>
      <c r="S10" s="99">
        <f>(参数输入表!H306)/(1+参数输入表!$H$315)</f>
        <v>0</v>
      </c>
      <c r="T10" s="99">
        <f>(参数输入表!H307)/(1+参数输入表!$H$315)</f>
        <v>0</v>
      </c>
      <c r="U10" s="99">
        <f>(参数输入表!H308)/(1+参数输入表!$H$315)</f>
        <v>0</v>
      </c>
      <c r="V10" s="99">
        <f>(参数输入表!H309)/(1+参数输入表!$H$315)</f>
        <v>0</v>
      </c>
      <c r="W10" s="99">
        <f>(参数输入表!H310)/(1+参数输入表!$H$315)</f>
        <v>0</v>
      </c>
      <c r="X10" s="99">
        <f>(参数输入表!H311)/(1+参数输入表!$H$315)</f>
        <v>0</v>
      </c>
      <c r="Y10" s="99">
        <f>(参数输入表!H312)/(1+参数输入表!$H$315)</f>
        <v>0</v>
      </c>
      <c r="Z10" s="99">
        <f>(参数输入表!H313)/(1+参数输入表!$H$315)</f>
        <v>0</v>
      </c>
      <c r="AA10" s="99">
        <f>(参数输入表!H314)/(1+参数输入表!$H$315)</f>
        <v>0</v>
      </c>
    </row>
    <row r="11" spans="2:27" x14ac:dyDescent="0.25">
      <c r="B11" s="107">
        <v>3</v>
      </c>
      <c r="C11" s="157" t="s">
        <v>123</v>
      </c>
      <c r="D11" s="131">
        <f t="shared" ca="1" si="3"/>
        <v>0</v>
      </c>
      <c r="E11" s="112" t="s">
        <v>120</v>
      </c>
      <c r="F11" s="104"/>
      <c r="G11" s="104"/>
      <c r="H11" s="99">
        <f ca="1">SUM(H12:H13)</f>
        <v>0</v>
      </c>
      <c r="I11" s="99">
        <f t="shared" ref="I11:AA11" ca="1" si="4">SUM(I12:I13)</f>
        <v>0</v>
      </c>
      <c r="J11" s="99">
        <f t="shared" ca="1" si="4"/>
        <v>0</v>
      </c>
      <c r="K11" s="99">
        <f t="shared" ca="1" si="4"/>
        <v>0</v>
      </c>
      <c r="L11" s="99">
        <f t="shared" ca="1" si="4"/>
        <v>0</v>
      </c>
      <c r="M11" s="99">
        <f t="shared" ca="1" si="4"/>
        <v>0</v>
      </c>
      <c r="N11" s="99">
        <f t="shared" ca="1" si="4"/>
        <v>0</v>
      </c>
      <c r="O11" s="99">
        <f t="shared" ca="1" si="4"/>
        <v>0</v>
      </c>
      <c r="P11" s="99">
        <f t="shared" ca="1" si="4"/>
        <v>0</v>
      </c>
      <c r="Q11" s="99">
        <f t="shared" ca="1" si="4"/>
        <v>0</v>
      </c>
      <c r="R11" s="99">
        <f t="shared" ca="1" si="4"/>
        <v>0</v>
      </c>
      <c r="S11" s="99">
        <f t="shared" ca="1" si="4"/>
        <v>0</v>
      </c>
      <c r="T11" s="99">
        <f t="shared" ca="1" si="4"/>
        <v>0</v>
      </c>
      <c r="U11" s="99">
        <f t="shared" ca="1" si="4"/>
        <v>0</v>
      </c>
      <c r="V11" s="99">
        <f t="shared" ca="1" si="4"/>
        <v>0</v>
      </c>
      <c r="W11" s="99">
        <f t="shared" ca="1" si="4"/>
        <v>0</v>
      </c>
      <c r="X11" s="99">
        <f t="shared" ca="1" si="4"/>
        <v>0</v>
      </c>
      <c r="Y11" s="99">
        <f t="shared" ca="1" si="4"/>
        <v>0</v>
      </c>
      <c r="Z11" s="99">
        <f t="shared" ca="1" si="4"/>
        <v>0</v>
      </c>
      <c r="AA11" s="99">
        <f t="shared" ca="1" si="4"/>
        <v>0</v>
      </c>
    </row>
    <row r="12" spans="2:27" x14ac:dyDescent="0.25">
      <c r="B12" s="107">
        <v>3.1</v>
      </c>
      <c r="C12" s="164" t="s">
        <v>426</v>
      </c>
      <c r="D12" s="131">
        <f t="shared" si="3"/>
        <v>0</v>
      </c>
      <c r="E12" s="112" t="s">
        <v>120</v>
      </c>
      <c r="F12" s="104"/>
      <c r="G12" s="104"/>
      <c r="H12" s="99">
        <f>参数输入表!H318</f>
        <v>0</v>
      </c>
      <c r="I12" s="99"/>
      <c r="J12" s="99"/>
      <c r="K12" s="99"/>
      <c r="L12" s="99"/>
      <c r="M12" s="99"/>
      <c r="N12" s="99"/>
      <c r="O12" s="99"/>
      <c r="P12" s="99"/>
      <c r="Q12" s="99"/>
      <c r="R12" s="99"/>
      <c r="S12" s="99"/>
      <c r="T12" s="99"/>
      <c r="U12" s="99"/>
      <c r="V12" s="99"/>
      <c r="W12" s="99"/>
      <c r="X12" s="99"/>
      <c r="Y12" s="99"/>
      <c r="Z12" s="99"/>
      <c r="AA12" s="99"/>
    </row>
    <row r="13" spans="2:27" x14ac:dyDescent="0.25">
      <c r="B13" s="107">
        <v>3.2</v>
      </c>
      <c r="C13" s="164" t="s">
        <v>427</v>
      </c>
      <c r="D13" s="131">
        <f t="shared" ca="1" si="3"/>
        <v>0</v>
      </c>
      <c r="E13" s="112" t="s">
        <v>120</v>
      </c>
      <c r="F13" s="104"/>
      <c r="G13" s="104"/>
      <c r="H13" s="99">
        <f ca="1">H16*参数输入表!$H$688</f>
        <v>0</v>
      </c>
      <c r="I13" s="99">
        <f ca="1">I16*参数输入表!$H$688</f>
        <v>0</v>
      </c>
      <c r="J13" s="99">
        <f ca="1">J16*参数输入表!$H$688</f>
        <v>0</v>
      </c>
      <c r="K13" s="99">
        <f ca="1">K16*参数输入表!$H$688</f>
        <v>0</v>
      </c>
      <c r="L13" s="99">
        <f ca="1">L16*参数输入表!$H$688</f>
        <v>0</v>
      </c>
      <c r="M13" s="99">
        <f ca="1">M16*参数输入表!$H$688</f>
        <v>0</v>
      </c>
      <c r="N13" s="99">
        <f ca="1">N16*参数输入表!$H$688</f>
        <v>0</v>
      </c>
      <c r="O13" s="99">
        <f ca="1">O16*参数输入表!$H$688</f>
        <v>0</v>
      </c>
      <c r="P13" s="99">
        <f ca="1">P16*参数输入表!$H$688</f>
        <v>0</v>
      </c>
      <c r="Q13" s="99">
        <f ca="1">Q16*参数输入表!$H$688</f>
        <v>0</v>
      </c>
      <c r="R13" s="99">
        <f ca="1">R16*参数输入表!$H$688</f>
        <v>0</v>
      </c>
      <c r="S13" s="99">
        <f ca="1">S16*参数输入表!$H$688</f>
        <v>0</v>
      </c>
      <c r="T13" s="99">
        <f ca="1">T16*参数输入表!$H$688</f>
        <v>0</v>
      </c>
      <c r="U13" s="99">
        <f ca="1">U16*参数输入表!$H$688</f>
        <v>0</v>
      </c>
      <c r="V13" s="99">
        <f ca="1">V16*参数输入表!$H$688</f>
        <v>0</v>
      </c>
      <c r="W13" s="99">
        <f ca="1">W16*参数输入表!$H$688</f>
        <v>0</v>
      </c>
      <c r="X13" s="99">
        <f ca="1">X16*参数输入表!$H$688</f>
        <v>0</v>
      </c>
      <c r="Y13" s="99">
        <f ca="1">Y16*参数输入表!$H$688</f>
        <v>0</v>
      </c>
      <c r="Z13" s="99">
        <f ca="1">Z16*参数输入表!$H$688</f>
        <v>0</v>
      </c>
      <c r="AA13" s="99">
        <f ca="1">AA16*参数输入表!$H$688</f>
        <v>0</v>
      </c>
    </row>
    <row r="14" spans="2:27" x14ac:dyDescent="0.25">
      <c r="B14" s="165"/>
      <c r="C14" s="166"/>
      <c r="D14" s="167"/>
      <c r="E14" s="165"/>
      <c r="F14" s="167"/>
      <c r="G14" s="167"/>
      <c r="H14" s="167"/>
      <c r="I14" s="167"/>
      <c r="J14" s="167"/>
      <c r="K14" s="167"/>
      <c r="L14" s="167"/>
      <c r="M14" s="167"/>
      <c r="N14" s="167"/>
      <c r="O14" s="167"/>
      <c r="P14" s="167"/>
      <c r="Q14" s="167"/>
      <c r="R14" s="167"/>
      <c r="S14" s="167"/>
      <c r="T14" s="167"/>
      <c r="U14" s="167"/>
      <c r="V14" s="167"/>
      <c r="W14" s="167"/>
      <c r="X14" s="167"/>
      <c r="Y14" s="167"/>
      <c r="Z14" s="167"/>
      <c r="AA14" s="167"/>
    </row>
    <row r="15" spans="2:27" x14ac:dyDescent="0.25">
      <c r="B15" s="168" t="s">
        <v>428</v>
      </c>
      <c r="C15" s="166"/>
      <c r="D15" s="167"/>
      <c r="E15" s="165"/>
      <c r="F15" s="167"/>
      <c r="G15" s="167"/>
      <c r="H15" s="167"/>
      <c r="I15" s="167"/>
      <c r="J15" s="167"/>
      <c r="K15" s="167"/>
      <c r="L15" s="167"/>
      <c r="M15" s="167"/>
      <c r="N15" s="167"/>
      <c r="O15" s="167"/>
      <c r="P15" s="167"/>
      <c r="Q15" s="167"/>
      <c r="R15" s="167"/>
      <c r="S15" s="167"/>
      <c r="T15" s="167"/>
      <c r="U15" s="167"/>
      <c r="V15" s="167"/>
      <c r="W15" s="167"/>
      <c r="X15" s="167"/>
      <c r="Y15" s="167"/>
      <c r="Z15" s="167"/>
      <c r="AA15" s="167"/>
    </row>
    <row r="16" spans="2:27" x14ac:dyDescent="0.25">
      <c r="B16" s="107">
        <v>1</v>
      </c>
      <c r="C16" s="157" t="s">
        <v>429</v>
      </c>
      <c r="D16" s="131">
        <f t="shared" ca="1" si="3"/>
        <v>7094.9645238497851</v>
      </c>
      <c r="E16" s="112" t="s">
        <v>120</v>
      </c>
      <c r="F16" s="99">
        <v>0</v>
      </c>
      <c r="G16" s="99">
        <f t="shared" ref="G16:H16" si="5">IF(G39&gt;0,0,G38-F39)</f>
        <v>0</v>
      </c>
      <c r="H16" s="99">
        <f t="shared" ca="1" si="5"/>
        <v>0</v>
      </c>
      <c r="I16" s="99">
        <f t="shared" ref="I16:AA16" ca="1" si="6">IF(I39&gt;0,0,I38-H39)</f>
        <v>0</v>
      </c>
      <c r="J16" s="99">
        <f t="shared" ca="1" si="6"/>
        <v>0</v>
      </c>
      <c r="K16" s="99">
        <f t="shared" ca="1" si="6"/>
        <v>0</v>
      </c>
      <c r="L16" s="99">
        <f t="shared" ca="1" si="6"/>
        <v>0</v>
      </c>
      <c r="M16" s="99">
        <f t="shared" ca="1" si="6"/>
        <v>0</v>
      </c>
      <c r="N16" s="99">
        <f t="shared" ca="1" si="6"/>
        <v>0</v>
      </c>
      <c r="O16" s="99">
        <f t="shared" ca="1" si="6"/>
        <v>521.00827654672946</v>
      </c>
      <c r="P16" s="99">
        <f t="shared" ca="1" si="6"/>
        <v>546.39561418046037</v>
      </c>
      <c r="Q16" s="99">
        <f t="shared" ca="1" si="6"/>
        <v>548.06768656400186</v>
      </c>
      <c r="R16" s="99">
        <f t="shared" ca="1" si="6"/>
        <v>546.30143404438365</v>
      </c>
      <c r="S16" s="99">
        <f t="shared" ca="1" si="6"/>
        <v>490.43944990225418</v>
      </c>
      <c r="T16" s="99">
        <f t="shared" ca="1" si="6"/>
        <v>549.61578747416263</v>
      </c>
      <c r="U16" s="99">
        <f t="shared" ca="1" si="6"/>
        <v>551.26410174602404</v>
      </c>
      <c r="V16" s="99">
        <f t="shared" ca="1" si="6"/>
        <v>552.90654315897154</v>
      </c>
      <c r="W16" s="99">
        <f t="shared" ca="1" si="6"/>
        <v>554.54313814087072</v>
      </c>
      <c r="X16" s="99">
        <f t="shared" ca="1" si="6"/>
        <v>556.17391300066095</v>
      </c>
      <c r="Y16" s="99">
        <f t="shared" ca="1" si="6"/>
        <v>557.7988939288922</v>
      </c>
      <c r="Z16" s="99">
        <f t="shared" ca="1" si="6"/>
        <v>559.41810699825589</v>
      </c>
      <c r="AA16" s="99">
        <f t="shared" ca="1" si="6"/>
        <v>561.03157816411704</v>
      </c>
    </row>
    <row r="17" spans="2:27" x14ac:dyDescent="0.25">
      <c r="B17" s="107">
        <v>2</v>
      </c>
      <c r="C17" s="157" t="s">
        <v>430</v>
      </c>
      <c r="D17" s="131">
        <f t="shared" si="3"/>
        <v>22401.944150943393</v>
      </c>
      <c r="E17" s="112" t="s">
        <v>120</v>
      </c>
      <c r="F17" s="99">
        <f t="shared" ref="F17:AA17" si="7">SUM(F18:F19)</f>
        <v>0</v>
      </c>
      <c r="G17" s="99">
        <f t="shared" si="7"/>
        <v>0</v>
      </c>
      <c r="H17" s="99">
        <f t="shared" si="7"/>
        <v>1510.6632452830188</v>
      </c>
      <c r="I17" s="99">
        <f t="shared" si="7"/>
        <v>1057.8330566037737</v>
      </c>
      <c r="J17" s="99">
        <f t="shared" si="7"/>
        <v>1057.8330566037737</v>
      </c>
      <c r="K17" s="99">
        <f t="shared" si="7"/>
        <v>1057.8330566037737</v>
      </c>
      <c r="L17" s="99">
        <f t="shared" si="7"/>
        <v>1057.8330566037737</v>
      </c>
      <c r="M17" s="99">
        <f t="shared" si="7"/>
        <v>1057.8330566037737</v>
      </c>
      <c r="N17" s="99">
        <f t="shared" si="7"/>
        <v>1114.4368301886793</v>
      </c>
      <c r="O17" s="99">
        <f t="shared" si="7"/>
        <v>1114.4368301886793</v>
      </c>
      <c r="P17" s="99">
        <f t="shared" si="7"/>
        <v>1114.4368301886793</v>
      </c>
      <c r="Q17" s="99">
        <f t="shared" si="7"/>
        <v>1114.4368301886793</v>
      </c>
      <c r="R17" s="99">
        <f t="shared" si="7"/>
        <v>1114.4368301886793</v>
      </c>
      <c r="S17" s="99">
        <f t="shared" si="7"/>
        <v>1114.4368301886793</v>
      </c>
      <c r="T17" s="99">
        <f t="shared" si="7"/>
        <v>1114.4368301886793</v>
      </c>
      <c r="U17" s="99">
        <f t="shared" si="7"/>
        <v>1114.4368301886793</v>
      </c>
      <c r="V17" s="99">
        <f t="shared" si="7"/>
        <v>1114.4368301886793</v>
      </c>
      <c r="W17" s="99">
        <f t="shared" si="7"/>
        <v>1114.4368301886793</v>
      </c>
      <c r="X17" s="99">
        <f t="shared" si="7"/>
        <v>1114.4368301886793</v>
      </c>
      <c r="Y17" s="99">
        <f t="shared" si="7"/>
        <v>1114.4368301886793</v>
      </c>
      <c r="Z17" s="99">
        <f t="shared" si="7"/>
        <v>1114.4368301886793</v>
      </c>
      <c r="AA17" s="99">
        <f t="shared" si="7"/>
        <v>1114.4368301886793</v>
      </c>
    </row>
    <row r="18" spans="2:27" x14ac:dyDescent="0.25">
      <c r="B18" s="112"/>
      <c r="C18" s="169" t="s">
        <v>431</v>
      </c>
      <c r="D18" s="104">
        <f t="shared" si="3"/>
        <v>22401.944150943393</v>
      </c>
      <c r="E18" s="112" t="s">
        <v>120</v>
      </c>
      <c r="F18" s="104"/>
      <c r="G18" s="104"/>
      <c r="H18" s="104">
        <f>H6*参数输入表!$H$251</f>
        <v>1510.6632452830188</v>
      </c>
      <c r="I18" s="104">
        <f>I6*参数输入表!$H$251</f>
        <v>1057.8330566037737</v>
      </c>
      <c r="J18" s="104">
        <f>J6*参数输入表!$H$251</f>
        <v>1057.8330566037737</v>
      </c>
      <c r="K18" s="104">
        <f>K6*参数输入表!$H$251</f>
        <v>1057.8330566037737</v>
      </c>
      <c r="L18" s="104">
        <f>L6*参数输入表!$H$251</f>
        <v>1057.8330566037737</v>
      </c>
      <c r="M18" s="104">
        <f>M6*参数输入表!$H$251</f>
        <v>1057.8330566037737</v>
      </c>
      <c r="N18" s="104">
        <f>N6*参数输入表!$H$251</f>
        <v>1114.4368301886793</v>
      </c>
      <c r="O18" s="104">
        <f>O6*参数输入表!$H$251</f>
        <v>1114.4368301886793</v>
      </c>
      <c r="P18" s="104">
        <f>P6*参数输入表!$H$251</f>
        <v>1114.4368301886793</v>
      </c>
      <c r="Q18" s="104">
        <f>Q6*参数输入表!$H$251</f>
        <v>1114.4368301886793</v>
      </c>
      <c r="R18" s="104">
        <f>R6*参数输入表!$H$251</f>
        <v>1114.4368301886793</v>
      </c>
      <c r="S18" s="104">
        <f>S6*参数输入表!$H$251</f>
        <v>1114.4368301886793</v>
      </c>
      <c r="T18" s="104">
        <f>T6*参数输入表!$H$251</f>
        <v>1114.4368301886793</v>
      </c>
      <c r="U18" s="104">
        <f>U6*参数输入表!$H$251</f>
        <v>1114.4368301886793</v>
      </c>
      <c r="V18" s="104">
        <f>V6*参数输入表!$H$251</f>
        <v>1114.4368301886793</v>
      </c>
      <c r="W18" s="104">
        <f>W6*参数输入表!$H$251</f>
        <v>1114.4368301886793</v>
      </c>
      <c r="X18" s="104">
        <f>X6*参数输入表!$H$251</f>
        <v>1114.4368301886793</v>
      </c>
      <c r="Y18" s="104">
        <f>Y6*参数输入表!$H$251</f>
        <v>1114.4368301886793</v>
      </c>
      <c r="Z18" s="104">
        <f>Z6*参数输入表!$H$251</f>
        <v>1114.4368301886793</v>
      </c>
      <c r="AA18" s="104">
        <f>AA6*参数输入表!$H$251</f>
        <v>1114.4368301886793</v>
      </c>
    </row>
    <row r="19" spans="2:27" x14ac:dyDescent="0.25">
      <c r="B19" s="112"/>
      <c r="C19" s="169" t="s">
        <v>432</v>
      </c>
      <c r="D19" s="104">
        <f t="shared" si="3"/>
        <v>0</v>
      </c>
      <c r="E19" s="112" t="s">
        <v>120</v>
      </c>
      <c r="F19" s="104"/>
      <c r="G19" s="104"/>
      <c r="H19" s="104">
        <f>H10*参数输入表!$H$315</f>
        <v>0</v>
      </c>
      <c r="I19" s="104">
        <f>I10*参数输入表!$H$315</f>
        <v>0</v>
      </c>
      <c r="J19" s="104">
        <f>J10*参数输入表!$H$315</f>
        <v>0</v>
      </c>
      <c r="K19" s="104">
        <f>K10*参数输入表!$H$315</f>
        <v>0</v>
      </c>
      <c r="L19" s="104">
        <f>L10*参数输入表!$H$315</f>
        <v>0</v>
      </c>
      <c r="M19" s="104">
        <f>M10*参数输入表!$H$315</f>
        <v>0</v>
      </c>
      <c r="N19" s="104">
        <f>N10*参数输入表!$H$315</f>
        <v>0</v>
      </c>
      <c r="O19" s="104">
        <f>O10*参数输入表!$H$315</f>
        <v>0</v>
      </c>
      <c r="P19" s="104">
        <f>P10*参数输入表!$H$315</f>
        <v>0</v>
      </c>
      <c r="Q19" s="104">
        <f>Q10*参数输入表!$H$315</f>
        <v>0</v>
      </c>
      <c r="R19" s="104">
        <f>R10*参数输入表!$H$315</f>
        <v>0</v>
      </c>
      <c r="S19" s="104">
        <f>S10*参数输入表!$H$315</f>
        <v>0</v>
      </c>
      <c r="T19" s="104">
        <f>T10*参数输入表!$H$315</f>
        <v>0</v>
      </c>
      <c r="U19" s="104">
        <f>U10*参数输入表!$H$315</f>
        <v>0</v>
      </c>
      <c r="V19" s="104">
        <f>V10*参数输入表!$H$315</f>
        <v>0</v>
      </c>
      <c r="W19" s="104">
        <f>W10*参数输入表!$H$315</f>
        <v>0</v>
      </c>
      <c r="X19" s="104">
        <f>X10*参数输入表!$H$315</f>
        <v>0</v>
      </c>
      <c r="Y19" s="104">
        <f>Y10*参数输入表!$H$315</f>
        <v>0</v>
      </c>
      <c r="Z19" s="104">
        <f>Z10*参数输入表!$H$315</f>
        <v>0</v>
      </c>
      <c r="AA19" s="104">
        <f>AA10*参数输入表!$H$315</f>
        <v>0</v>
      </c>
    </row>
    <row r="20" spans="2:27" x14ac:dyDescent="0.25">
      <c r="B20" s="107">
        <v>3</v>
      </c>
      <c r="C20" s="157" t="s">
        <v>262</v>
      </c>
      <c r="D20" s="131">
        <f t="shared" ca="1" si="3"/>
        <v>15306.979627093613</v>
      </c>
      <c r="E20" s="112" t="s">
        <v>120</v>
      </c>
      <c r="F20" s="99">
        <f>F21+F22+F36+F37</f>
        <v>2674.2060000000001</v>
      </c>
      <c r="G20" s="99">
        <f t="shared" ref="G20:AA20" si="8">G21+G22+G36+G37</f>
        <v>1782.8040000000001</v>
      </c>
      <c r="H20" s="99">
        <f t="shared" ca="1" si="8"/>
        <v>468.45068584070805</v>
      </c>
      <c r="I20" s="99">
        <f t="shared" ca="1" si="8"/>
        <v>467.8704486725664</v>
      </c>
      <c r="J20" s="99">
        <f t="shared" ca="1" si="8"/>
        <v>467.2918720761063</v>
      </c>
      <c r="K20" s="99">
        <f t="shared" ca="1" si="8"/>
        <v>466.71494857875496</v>
      </c>
      <c r="L20" s="99">
        <f t="shared" ca="1" si="8"/>
        <v>466.13967074156653</v>
      </c>
      <c r="M20" s="99">
        <f t="shared" ca="1" si="8"/>
        <v>573.0935826988765</v>
      </c>
      <c r="N20" s="99">
        <f t="shared" ca="1" si="8"/>
        <v>571.40340833115647</v>
      </c>
      <c r="O20" s="99">
        <f t="shared" ca="1" si="8"/>
        <v>569.71929519278115</v>
      </c>
      <c r="P20" s="99">
        <f t="shared" ca="1" si="8"/>
        <v>568.04121600821895</v>
      </c>
      <c r="Q20" s="99">
        <f t="shared" ca="1" si="8"/>
        <v>566.36914362467746</v>
      </c>
      <c r="R20" s="99">
        <f t="shared" ca="1" si="8"/>
        <v>568.13539614429567</v>
      </c>
      <c r="S20" s="99">
        <f t="shared" ca="1" si="8"/>
        <v>623.99738028642514</v>
      </c>
      <c r="T20" s="99">
        <f t="shared" ca="1" si="8"/>
        <v>564.82104271451669</v>
      </c>
      <c r="U20" s="99">
        <f t="shared" ca="1" si="8"/>
        <v>563.17272844265528</v>
      </c>
      <c r="V20" s="99">
        <f t="shared" ca="1" si="8"/>
        <v>561.53028702970778</v>
      </c>
      <c r="W20" s="99">
        <f t="shared" ca="1" si="8"/>
        <v>559.8936920478086</v>
      </c>
      <c r="X20" s="99">
        <f t="shared" ca="1" si="8"/>
        <v>558.26291718801838</v>
      </c>
      <c r="Y20" s="99">
        <f t="shared" ca="1" si="8"/>
        <v>556.63793625978712</v>
      </c>
      <c r="Z20" s="99">
        <f t="shared" ca="1" si="8"/>
        <v>555.01872319042343</v>
      </c>
      <c r="AA20" s="99">
        <f t="shared" ca="1" si="8"/>
        <v>553.40525202456229</v>
      </c>
    </row>
    <row r="21" spans="2:27" x14ac:dyDescent="0.25">
      <c r="B21" s="136">
        <v>3.1</v>
      </c>
      <c r="C21" s="170" t="s">
        <v>433</v>
      </c>
      <c r="D21" s="99">
        <f t="shared" si="3"/>
        <v>4457.01</v>
      </c>
      <c r="E21" s="112" t="s">
        <v>120</v>
      </c>
      <c r="F21" s="99">
        <f>参数输入表!H353*参数输入表!H102</f>
        <v>2674.2060000000001</v>
      </c>
      <c r="G21" s="99">
        <f>参数输入表!H353*参数输入表!H103</f>
        <v>1782.8040000000001</v>
      </c>
      <c r="H21" s="99"/>
      <c r="I21" s="99"/>
      <c r="J21" s="99"/>
      <c r="K21" s="99"/>
      <c r="L21" s="99"/>
      <c r="M21" s="99"/>
      <c r="N21" s="99"/>
      <c r="O21" s="99"/>
      <c r="P21" s="99"/>
      <c r="Q21" s="99"/>
      <c r="R21" s="99"/>
      <c r="S21" s="99"/>
      <c r="T21" s="99"/>
      <c r="U21" s="99"/>
      <c r="V21" s="99"/>
      <c r="W21" s="99"/>
      <c r="X21" s="99"/>
      <c r="Y21" s="99"/>
      <c r="Z21" s="99"/>
      <c r="AA21" s="99"/>
    </row>
    <row r="22" spans="2:27" x14ac:dyDescent="0.25">
      <c r="B22" s="136">
        <v>3.2</v>
      </c>
      <c r="C22" s="170" t="s">
        <v>434</v>
      </c>
      <c r="D22" s="99">
        <f t="shared" ca="1" si="3"/>
        <v>10792.447503199806</v>
      </c>
      <c r="E22" s="112" t="s">
        <v>120</v>
      </c>
      <c r="F22" s="99">
        <f>F23+F31+F32+F35</f>
        <v>0</v>
      </c>
      <c r="G22" s="99">
        <f>G23+G31+G32+G35</f>
        <v>0</v>
      </c>
      <c r="H22" s="99">
        <f ca="1">H23+H31+H32+H35</f>
        <v>468.45068584070805</v>
      </c>
      <c r="I22" s="99">
        <f t="shared" ref="I22:AA22" ca="1" si="9">I23+I31+I32+I35</f>
        <v>467.8704486725664</v>
      </c>
      <c r="J22" s="99">
        <f t="shared" ca="1" si="9"/>
        <v>467.2918720761063</v>
      </c>
      <c r="K22" s="99">
        <f t="shared" ca="1" si="9"/>
        <v>466.71494857875496</v>
      </c>
      <c r="L22" s="99">
        <f t="shared" ca="1" si="9"/>
        <v>466.13967074156653</v>
      </c>
      <c r="M22" s="99">
        <f t="shared" ca="1" si="9"/>
        <v>573.0935826988765</v>
      </c>
      <c r="N22" s="99">
        <f t="shared" ca="1" si="9"/>
        <v>571.40340833115647</v>
      </c>
      <c r="O22" s="99">
        <f t="shared" ca="1" si="9"/>
        <v>569.71929519278115</v>
      </c>
      <c r="P22" s="99">
        <f t="shared" ca="1" si="9"/>
        <v>568.04121600821895</v>
      </c>
      <c r="Q22" s="99">
        <f t="shared" ca="1" si="9"/>
        <v>566.36914362467746</v>
      </c>
      <c r="R22" s="99">
        <f t="shared" ca="1" si="9"/>
        <v>568.13539614429567</v>
      </c>
      <c r="S22" s="99">
        <f t="shared" ca="1" si="9"/>
        <v>566.47525639261983</v>
      </c>
      <c r="T22" s="99">
        <f t="shared" ca="1" si="9"/>
        <v>564.82104271451669</v>
      </c>
      <c r="U22" s="99">
        <f t="shared" ca="1" si="9"/>
        <v>563.17272844265528</v>
      </c>
      <c r="V22" s="99">
        <f t="shared" ca="1" si="9"/>
        <v>561.53028702970778</v>
      </c>
      <c r="W22" s="99">
        <f t="shared" ca="1" si="9"/>
        <v>559.8936920478086</v>
      </c>
      <c r="X22" s="99">
        <f t="shared" ca="1" si="9"/>
        <v>558.26291718801838</v>
      </c>
      <c r="Y22" s="99">
        <f t="shared" ca="1" si="9"/>
        <v>556.63793625978712</v>
      </c>
      <c r="Z22" s="99">
        <f t="shared" ca="1" si="9"/>
        <v>555.01872319042343</v>
      </c>
      <c r="AA22" s="99">
        <f t="shared" ca="1" si="9"/>
        <v>553.40525202456229</v>
      </c>
    </row>
    <row r="23" spans="2:27" x14ac:dyDescent="0.25">
      <c r="B23" s="112" t="s">
        <v>435</v>
      </c>
      <c r="C23" s="171" t="s">
        <v>436</v>
      </c>
      <c r="D23" s="104">
        <f t="shared" ca="1" si="3"/>
        <v>10792.447503199806</v>
      </c>
      <c r="E23" s="112" t="s">
        <v>120</v>
      </c>
      <c r="F23" s="104"/>
      <c r="G23" s="104"/>
      <c r="H23" s="104">
        <f ca="1">SUM(H24:H30)</f>
        <v>468.45068584070805</v>
      </c>
      <c r="I23" s="104">
        <f t="shared" ref="I23:AA23" ca="1" si="10">SUM(I24:I30)</f>
        <v>467.8704486725664</v>
      </c>
      <c r="J23" s="104">
        <f t="shared" ca="1" si="10"/>
        <v>467.2918720761063</v>
      </c>
      <c r="K23" s="104">
        <f t="shared" ca="1" si="10"/>
        <v>466.71494857875496</v>
      </c>
      <c r="L23" s="104">
        <f t="shared" ca="1" si="10"/>
        <v>466.13967074156653</v>
      </c>
      <c r="M23" s="104">
        <f t="shared" ca="1" si="10"/>
        <v>573.0935826988765</v>
      </c>
      <c r="N23" s="104">
        <f t="shared" ca="1" si="10"/>
        <v>571.40340833115647</v>
      </c>
      <c r="O23" s="104">
        <f t="shared" ca="1" si="10"/>
        <v>569.71929519278115</v>
      </c>
      <c r="P23" s="104">
        <f t="shared" ca="1" si="10"/>
        <v>568.04121600821895</v>
      </c>
      <c r="Q23" s="104">
        <f t="shared" ca="1" si="10"/>
        <v>566.36914362467746</v>
      </c>
      <c r="R23" s="104">
        <f t="shared" ca="1" si="10"/>
        <v>568.13539614429567</v>
      </c>
      <c r="S23" s="104">
        <f t="shared" ca="1" si="10"/>
        <v>566.47525639261983</v>
      </c>
      <c r="T23" s="104">
        <f t="shared" ca="1" si="10"/>
        <v>564.82104271451669</v>
      </c>
      <c r="U23" s="104">
        <f t="shared" ca="1" si="10"/>
        <v>563.17272844265528</v>
      </c>
      <c r="V23" s="104">
        <f t="shared" ca="1" si="10"/>
        <v>561.53028702970778</v>
      </c>
      <c r="W23" s="104">
        <f t="shared" ca="1" si="10"/>
        <v>559.8936920478086</v>
      </c>
      <c r="X23" s="104">
        <f t="shared" ca="1" si="10"/>
        <v>558.26291718801838</v>
      </c>
      <c r="Y23" s="104">
        <f t="shared" ca="1" si="10"/>
        <v>556.63793625978712</v>
      </c>
      <c r="Z23" s="104">
        <f t="shared" ca="1" si="10"/>
        <v>555.01872319042343</v>
      </c>
      <c r="AA23" s="104">
        <f t="shared" ca="1" si="10"/>
        <v>553.40525202456229</v>
      </c>
    </row>
    <row r="24" spans="2:27" s="155" customFormat="1" x14ac:dyDescent="0.25">
      <c r="B24" s="162"/>
      <c r="C24" s="172" t="s">
        <v>407</v>
      </c>
      <c r="D24" s="160">
        <f t="shared" si="3"/>
        <v>0</v>
      </c>
      <c r="E24" s="162" t="s">
        <v>120</v>
      </c>
      <c r="F24" s="160"/>
      <c r="G24" s="160"/>
      <c r="H24" s="160">
        <f>'表3-成本费用表'!H50*参数输入表!$H$378</f>
        <v>0</v>
      </c>
      <c r="I24" s="160">
        <f>'表3-成本费用表'!I50*参数输入表!$H$378</f>
        <v>0</v>
      </c>
      <c r="J24" s="160">
        <f>'表3-成本费用表'!J50*参数输入表!$H$378</f>
        <v>0</v>
      </c>
      <c r="K24" s="160">
        <f>'表3-成本费用表'!K50*参数输入表!$H$378</f>
        <v>0</v>
      </c>
      <c r="L24" s="160">
        <f>'表3-成本费用表'!L50*参数输入表!$H$378</f>
        <v>0</v>
      </c>
      <c r="M24" s="160">
        <f>'表3-成本费用表'!M50*参数输入表!$H$378</f>
        <v>0</v>
      </c>
      <c r="N24" s="160">
        <f>'表3-成本费用表'!N50*参数输入表!$H$378</f>
        <v>0</v>
      </c>
      <c r="O24" s="160">
        <f>'表3-成本费用表'!O50*参数输入表!$H$378</f>
        <v>0</v>
      </c>
      <c r="P24" s="160">
        <f>'表3-成本费用表'!P50*参数输入表!$H$378</f>
        <v>0</v>
      </c>
      <c r="Q24" s="160">
        <f>'表3-成本费用表'!Q50*参数输入表!$H$378</f>
        <v>0</v>
      </c>
      <c r="R24" s="160">
        <f>'表3-成本费用表'!R50*参数输入表!$H$378</f>
        <v>0</v>
      </c>
      <c r="S24" s="160">
        <f>'表3-成本费用表'!S50*参数输入表!$H$378</f>
        <v>0</v>
      </c>
      <c r="T24" s="160">
        <f>'表3-成本费用表'!T50*参数输入表!$H$378</f>
        <v>0</v>
      </c>
      <c r="U24" s="160">
        <f>'表3-成本费用表'!U50*参数输入表!$H$378</f>
        <v>0</v>
      </c>
      <c r="V24" s="160">
        <f>'表3-成本费用表'!V50*参数输入表!$H$378</f>
        <v>0</v>
      </c>
      <c r="W24" s="160">
        <f>'表3-成本费用表'!W50*参数输入表!$H$378</f>
        <v>0</v>
      </c>
      <c r="X24" s="160">
        <f>'表3-成本费用表'!X50*参数输入表!$H$378</f>
        <v>0</v>
      </c>
      <c r="Y24" s="160">
        <f>'表3-成本费用表'!Y50*参数输入表!$H$378</f>
        <v>0</v>
      </c>
      <c r="Z24" s="160">
        <f>'表3-成本费用表'!Z50*参数输入表!$H$378</f>
        <v>0</v>
      </c>
      <c r="AA24" s="160">
        <f>'表3-成本费用表'!AA50*参数输入表!$H$378</f>
        <v>0</v>
      </c>
    </row>
    <row r="25" spans="2:27" s="155" customFormat="1" x14ac:dyDescent="0.25">
      <c r="B25" s="162"/>
      <c r="C25" s="172" t="s">
        <v>189</v>
      </c>
      <c r="D25" s="160">
        <f t="shared" ca="1" si="3"/>
        <v>0</v>
      </c>
      <c r="E25" s="162" t="s">
        <v>120</v>
      </c>
      <c r="F25" s="160"/>
      <c r="G25" s="160"/>
      <c r="H25" s="160">
        <f ca="1">'表3-成本费用表'!H51*参数输入表!$H$386</f>
        <v>0</v>
      </c>
      <c r="I25" s="160">
        <f ca="1">'表3-成本费用表'!I51/(1+参数输入表!$H$386)*参数输入表!$H$386</f>
        <v>0</v>
      </c>
      <c r="J25" s="160">
        <f ca="1">'表3-成本费用表'!J51/(1+参数输入表!$H$386)*参数输入表!$H$386</f>
        <v>0</v>
      </c>
      <c r="K25" s="160">
        <f ca="1">'表3-成本费用表'!K51/(1+参数输入表!$H$386)*参数输入表!$H$386</f>
        <v>0</v>
      </c>
      <c r="L25" s="160">
        <f ca="1">'表3-成本费用表'!L51/(1+参数输入表!$H$386)*参数输入表!$H$386</f>
        <v>0</v>
      </c>
      <c r="M25" s="160">
        <f ca="1">'表3-成本费用表'!M51/(1+参数输入表!$H$386)*参数输入表!$H$386</f>
        <v>0</v>
      </c>
      <c r="N25" s="160">
        <f ca="1">'表3-成本费用表'!N51/(1+参数输入表!$H$386)*参数输入表!$H$386</f>
        <v>0</v>
      </c>
      <c r="O25" s="160">
        <f ca="1">'表3-成本费用表'!O51/(1+参数输入表!$H$386)*参数输入表!$H$386</f>
        <v>0</v>
      </c>
      <c r="P25" s="160">
        <f ca="1">'表3-成本费用表'!P51/(1+参数输入表!$H$386)*参数输入表!$H$386</f>
        <v>0</v>
      </c>
      <c r="Q25" s="160">
        <f ca="1">'表3-成本费用表'!Q51/(1+参数输入表!$H$386)*参数输入表!$H$386</f>
        <v>0</v>
      </c>
      <c r="R25" s="160">
        <f ca="1">'表3-成本费用表'!R51/(1+参数输入表!$H$386)*参数输入表!$H$386</f>
        <v>0</v>
      </c>
      <c r="S25" s="160">
        <f ca="1">'表3-成本费用表'!S51/(1+参数输入表!$H$386)*参数输入表!$H$386</f>
        <v>0</v>
      </c>
      <c r="T25" s="160">
        <f ca="1">'表3-成本费用表'!T51/(1+参数输入表!$H$386)*参数输入表!$H$386</f>
        <v>0</v>
      </c>
      <c r="U25" s="160">
        <f ca="1">'表3-成本费用表'!U51/(1+参数输入表!$H$386)*参数输入表!$H$386</f>
        <v>0</v>
      </c>
      <c r="V25" s="160">
        <f ca="1">'表3-成本费用表'!V51/(1+参数输入表!$H$386)*参数输入表!$H$386</f>
        <v>0</v>
      </c>
      <c r="W25" s="160">
        <f ca="1">'表3-成本费用表'!W51/(1+参数输入表!$H$386)*参数输入表!$H$386</f>
        <v>0</v>
      </c>
      <c r="X25" s="160">
        <f ca="1">'表3-成本费用表'!X51/(1+参数输入表!$H$386)*参数输入表!$H$386</f>
        <v>0</v>
      </c>
      <c r="Y25" s="160">
        <f ca="1">'表3-成本费用表'!Y51/(1+参数输入表!$H$386)*参数输入表!$H$386</f>
        <v>0</v>
      </c>
      <c r="Z25" s="160">
        <f ca="1">'表3-成本费用表'!Z51/(1+参数输入表!$H$386)*参数输入表!$H$386</f>
        <v>0</v>
      </c>
      <c r="AA25" s="160">
        <f ca="1">'表3-成本费用表'!AA51/(1+参数输入表!$H$386)*参数输入表!$H$386</f>
        <v>0</v>
      </c>
    </row>
    <row r="26" spans="2:27" s="155" customFormat="1" x14ac:dyDescent="0.25">
      <c r="B26" s="162"/>
      <c r="C26" s="172" t="s">
        <v>198</v>
      </c>
      <c r="D26" s="160">
        <f t="shared" si="3"/>
        <v>0</v>
      </c>
      <c r="E26" s="162" t="s">
        <v>120</v>
      </c>
      <c r="F26" s="160"/>
      <c r="G26" s="160"/>
      <c r="H26" s="160">
        <f>'表3-成本费用表'!H52*参数输入表!$H$404</f>
        <v>0</v>
      </c>
      <c r="I26" s="160">
        <f>'表3-成本费用表'!I52/(1+参数输入表!$H$404)*参数输入表!$H$404</f>
        <v>0</v>
      </c>
      <c r="J26" s="160">
        <f>'表3-成本费用表'!J52/(1+参数输入表!$H$404)*参数输入表!$H$404</f>
        <v>0</v>
      </c>
      <c r="K26" s="160">
        <f>'表3-成本费用表'!K52/(1+参数输入表!$H$404)*参数输入表!$H$404</f>
        <v>0</v>
      </c>
      <c r="L26" s="160">
        <f>'表3-成本费用表'!L52/(1+参数输入表!$H$404)*参数输入表!$H$404</f>
        <v>0</v>
      </c>
      <c r="M26" s="160">
        <f>'表3-成本费用表'!M52/(1+参数输入表!$H$404)*参数输入表!$H$404</f>
        <v>0</v>
      </c>
      <c r="N26" s="160">
        <f>'表3-成本费用表'!N52/(1+参数输入表!$H$404)*参数输入表!$H$404</f>
        <v>0</v>
      </c>
      <c r="O26" s="160">
        <f>'表3-成本费用表'!O52/(1+参数输入表!$H$404)*参数输入表!$H$404</f>
        <v>0</v>
      </c>
      <c r="P26" s="160">
        <f>'表3-成本费用表'!P52/(1+参数输入表!$H$404)*参数输入表!$H$404</f>
        <v>0</v>
      </c>
      <c r="Q26" s="160">
        <f>'表3-成本费用表'!Q52/(1+参数输入表!$H$404)*参数输入表!$H$404</f>
        <v>0</v>
      </c>
      <c r="R26" s="160">
        <f>'表3-成本费用表'!R52/(1+参数输入表!$H$404)*参数输入表!$H$404</f>
        <v>0</v>
      </c>
      <c r="S26" s="160">
        <f>'表3-成本费用表'!S52/(1+参数输入表!$H$404)*参数输入表!$H$404</f>
        <v>0</v>
      </c>
      <c r="T26" s="160">
        <f>'表3-成本费用表'!T52/(1+参数输入表!$H$404)*参数输入表!$H$404</f>
        <v>0</v>
      </c>
      <c r="U26" s="160">
        <f>'表3-成本费用表'!U52/(1+参数输入表!$H$404)*参数输入表!$H$404</f>
        <v>0</v>
      </c>
      <c r="V26" s="160">
        <f>'表3-成本费用表'!V52/(1+参数输入表!$H$404)*参数输入表!$H$404</f>
        <v>0</v>
      </c>
      <c r="W26" s="160">
        <f>'表3-成本费用表'!W52/(1+参数输入表!$H$404)*参数输入表!$H$404</f>
        <v>0</v>
      </c>
      <c r="X26" s="160">
        <f>'表3-成本费用表'!X52/(1+参数输入表!$H$404)*参数输入表!$H$404</f>
        <v>0</v>
      </c>
      <c r="Y26" s="160">
        <f>'表3-成本费用表'!Y52/(1+参数输入表!$H$404)*参数输入表!$H$404</f>
        <v>0</v>
      </c>
      <c r="Z26" s="160">
        <f>'表3-成本费用表'!Z52/(1+参数输入表!$H$404)*参数输入表!$H$404</f>
        <v>0</v>
      </c>
      <c r="AA26" s="160">
        <f>'表3-成本费用表'!AA52/(1+参数输入表!$H$404)*参数输入表!$H$404</f>
        <v>0</v>
      </c>
    </row>
    <row r="27" spans="2:27" s="155" customFormat="1" x14ac:dyDescent="0.25">
      <c r="B27" s="162"/>
      <c r="C27" s="172" t="s">
        <v>21</v>
      </c>
      <c r="D27" s="160">
        <f t="shared" si="3"/>
        <v>0</v>
      </c>
      <c r="E27" s="162" t="s">
        <v>120</v>
      </c>
      <c r="F27" s="160"/>
      <c r="G27" s="160"/>
      <c r="H27" s="160">
        <f>'表3-成本费用表'!H54*参数输入表!$H$406</f>
        <v>0</v>
      </c>
      <c r="I27" s="160">
        <f>'表3-成本费用表'!I54/(1+参数输入表!$H$406)*参数输入表!$H$406</f>
        <v>0</v>
      </c>
      <c r="J27" s="160">
        <f>'表3-成本费用表'!J54/(1+参数输入表!$H$406)*参数输入表!$H$406</f>
        <v>0</v>
      </c>
      <c r="K27" s="160">
        <f>'表3-成本费用表'!K54/(1+参数输入表!$H$406)*参数输入表!$H$406</f>
        <v>0</v>
      </c>
      <c r="L27" s="160">
        <f>'表3-成本费用表'!L54/(1+参数输入表!$H$406)*参数输入表!$H$406</f>
        <v>0</v>
      </c>
      <c r="M27" s="160">
        <f>'表3-成本费用表'!M54/(1+参数输入表!$H$406)*参数输入表!$H$406</f>
        <v>0</v>
      </c>
      <c r="N27" s="160">
        <f>'表3-成本费用表'!N54/(1+参数输入表!$H$406)*参数输入表!$H$406</f>
        <v>0</v>
      </c>
      <c r="O27" s="160">
        <f>'表3-成本费用表'!O54/(1+参数输入表!$H$406)*参数输入表!$H$406</f>
        <v>0</v>
      </c>
      <c r="P27" s="160">
        <f>'表3-成本费用表'!P54/(1+参数输入表!$H$406)*参数输入表!$H$406</f>
        <v>0</v>
      </c>
      <c r="Q27" s="160">
        <f>'表3-成本费用表'!Q54/(1+参数输入表!$H$406)*参数输入表!$H$406</f>
        <v>0</v>
      </c>
      <c r="R27" s="160">
        <f>'表3-成本费用表'!R54/(1+参数输入表!$H$406)*参数输入表!$H$406</f>
        <v>0</v>
      </c>
      <c r="S27" s="160">
        <f>'表3-成本费用表'!S54/(1+参数输入表!$H$406)*参数输入表!$H$406</f>
        <v>0</v>
      </c>
      <c r="T27" s="160">
        <f>'表3-成本费用表'!T54/(1+参数输入表!$H$406)*参数输入表!$H$406</f>
        <v>0</v>
      </c>
      <c r="U27" s="160">
        <f>'表3-成本费用表'!U54/(1+参数输入表!$H$406)*参数输入表!$H$406</f>
        <v>0</v>
      </c>
      <c r="V27" s="160">
        <f>'表3-成本费用表'!V54/(1+参数输入表!$H$406)*参数输入表!$H$406</f>
        <v>0</v>
      </c>
      <c r="W27" s="160">
        <f>'表3-成本费用表'!W54/(1+参数输入表!$H$406)*参数输入表!$H$406</f>
        <v>0</v>
      </c>
      <c r="X27" s="160">
        <f>'表3-成本费用表'!X54/(1+参数输入表!$H$406)*参数输入表!$H$406</f>
        <v>0</v>
      </c>
      <c r="Y27" s="160">
        <f>'表3-成本费用表'!Y54/(1+参数输入表!$H$406)*参数输入表!$H$406</f>
        <v>0</v>
      </c>
      <c r="Z27" s="160">
        <f>'表3-成本费用表'!Z54/(1+参数输入表!$H$406)*参数输入表!$H$406</f>
        <v>0</v>
      </c>
      <c r="AA27" s="160">
        <f>'表3-成本费用表'!AA54/(1+参数输入表!$H$406)*参数输入表!$H$406</f>
        <v>0</v>
      </c>
    </row>
    <row r="28" spans="2:27" s="155" customFormat="1" x14ac:dyDescent="0.25">
      <c r="B28" s="162"/>
      <c r="C28" s="172" t="s">
        <v>437</v>
      </c>
      <c r="D28" s="160">
        <f t="shared" si="3"/>
        <v>10792.447503199806</v>
      </c>
      <c r="E28" s="162" t="s">
        <v>120</v>
      </c>
      <c r="F28" s="160"/>
      <c r="G28" s="160"/>
      <c r="H28" s="160">
        <f>'表3-成本费用表'!H13*参数输入表!$H$617</f>
        <v>468.45068584070805</v>
      </c>
      <c r="I28" s="160">
        <f>'表3-成本费用表'!I13*参数输入表!$H$617</f>
        <v>467.8704486725664</v>
      </c>
      <c r="J28" s="160">
        <f>'表3-成本费用表'!J13*参数输入表!$H$617</f>
        <v>467.2918720761063</v>
      </c>
      <c r="K28" s="160">
        <f>'表3-成本费用表'!K13*参数输入表!$H$617</f>
        <v>466.71494857875496</v>
      </c>
      <c r="L28" s="160">
        <f>'表3-成本费用表'!L13*参数输入表!$H$617</f>
        <v>466.13967074156653</v>
      </c>
      <c r="M28" s="160">
        <f>'表3-成本费用表'!M13*参数输入表!$H$617</f>
        <v>573.0935826988765</v>
      </c>
      <c r="N28" s="160">
        <f>'表3-成本费用表'!N13*参数输入表!$H$617</f>
        <v>571.40340833115647</v>
      </c>
      <c r="O28" s="160">
        <f>'表3-成本费用表'!O13*参数输入表!$H$617</f>
        <v>569.71929519278115</v>
      </c>
      <c r="P28" s="160">
        <f>'表3-成本费用表'!P13*参数输入表!$H$617</f>
        <v>568.04121600821895</v>
      </c>
      <c r="Q28" s="160">
        <f>'表3-成本费用表'!Q13*参数输入表!$H$617</f>
        <v>566.36914362467746</v>
      </c>
      <c r="R28" s="160">
        <f>'表3-成本费用表'!R13*参数输入表!$H$617</f>
        <v>568.13539614429567</v>
      </c>
      <c r="S28" s="160">
        <f>'表3-成本费用表'!S13*参数输入表!$H$617</f>
        <v>566.47525639261983</v>
      </c>
      <c r="T28" s="160">
        <f>'表3-成本费用表'!T13*参数输入表!$H$617</f>
        <v>564.82104271451669</v>
      </c>
      <c r="U28" s="160">
        <f>'表3-成本费用表'!U13*参数输入表!$H$617</f>
        <v>563.17272844265528</v>
      </c>
      <c r="V28" s="160">
        <f>'表3-成本费用表'!V13*参数输入表!$H$617</f>
        <v>561.53028702970778</v>
      </c>
      <c r="W28" s="160">
        <f>'表3-成本费用表'!W13*参数输入表!$H$617</f>
        <v>559.8936920478086</v>
      </c>
      <c r="X28" s="160">
        <f>'表3-成本费用表'!X13*参数输入表!$H$617</f>
        <v>558.26291718801838</v>
      </c>
      <c r="Y28" s="160">
        <f>'表3-成本费用表'!Y13*参数输入表!$H$617</f>
        <v>556.63793625978712</v>
      </c>
      <c r="Z28" s="160">
        <f>'表3-成本费用表'!Z13*参数输入表!$H$617</f>
        <v>555.01872319042343</v>
      </c>
      <c r="AA28" s="160">
        <f>'表3-成本费用表'!AA13*参数输入表!$H$617</f>
        <v>553.40525202456229</v>
      </c>
    </row>
    <row r="29" spans="2:27" x14ac:dyDescent="0.25">
      <c r="B29" s="112"/>
      <c r="C29" s="173" t="s">
        <v>438</v>
      </c>
      <c r="D29" s="104">
        <f t="shared" si="3"/>
        <v>0</v>
      </c>
      <c r="E29" s="112" t="s">
        <v>120</v>
      </c>
      <c r="F29" s="104"/>
      <c r="G29" s="104"/>
      <c r="H29" s="104">
        <f>'表3-成本费用表'!H56/(1+参数输入表!$H$409)*参数输入表!$H$409</f>
        <v>0</v>
      </c>
      <c r="I29" s="104">
        <f>'表3-成本费用表'!I56/(1+参数输入表!$H$409)*参数输入表!$H$409</f>
        <v>0</v>
      </c>
      <c r="J29" s="104">
        <f>'表3-成本费用表'!J56/(1+参数输入表!$H$409)*参数输入表!$H$409</f>
        <v>0</v>
      </c>
      <c r="K29" s="104">
        <f>'表3-成本费用表'!K56/(1+参数输入表!$H$409)*参数输入表!$H$409</f>
        <v>0</v>
      </c>
      <c r="L29" s="104">
        <f>'表3-成本费用表'!L56/(1+参数输入表!$H$409)*参数输入表!$H$409</f>
        <v>0</v>
      </c>
      <c r="M29" s="104">
        <f>'表3-成本费用表'!M56/(1+参数输入表!$H$409)*参数输入表!$H$409</f>
        <v>0</v>
      </c>
      <c r="N29" s="104">
        <f>'表3-成本费用表'!N56/(1+参数输入表!$H$409)*参数输入表!$H$409</f>
        <v>0</v>
      </c>
      <c r="O29" s="104">
        <f>'表3-成本费用表'!O56/(1+参数输入表!$H$409)*参数输入表!$H$409</f>
        <v>0</v>
      </c>
      <c r="P29" s="104">
        <f>'表3-成本费用表'!P56/(1+参数输入表!$H$409)*参数输入表!$H$409</f>
        <v>0</v>
      </c>
      <c r="Q29" s="104">
        <f>'表3-成本费用表'!Q56/(1+参数输入表!$H$409)*参数输入表!$H$409</f>
        <v>0</v>
      </c>
      <c r="R29" s="104">
        <f>'表3-成本费用表'!R56/(1+参数输入表!$H$409)*参数输入表!$H$409</f>
        <v>0</v>
      </c>
      <c r="S29" s="104">
        <f>'表3-成本费用表'!S56/(1+参数输入表!$H$409)*参数输入表!$H$409</f>
        <v>0</v>
      </c>
      <c r="T29" s="104">
        <f>'表3-成本费用表'!T56/(1+参数输入表!$H$409)*参数输入表!$H$409</f>
        <v>0</v>
      </c>
      <c r="U29" s="104">
        <f>'表3-成本费用表'!U56/(1+参数输入表!$H$409)*参数输入表!$H$409</f>
        <v>0</v>
      </c>
      <c r="V29" s="104">
        <f>'表3-成本费用表'!V56/(1+参数输入表!$H$409)*参数输入表!$H$409</f>
        <v>0</v>
      </c>
      <c r="W29" s="104">
        <f>'表3-成本费用表'!W56/(1+参数输入表!$H$409)*参数输入表!$H$409</f>
        <v>0</v>
      </c>
      <c r="X29" s="104">
        <f>'表3-成本费用表'!X56/(1+参数输入表!$H$409)*参数输入表!$H$409</f>
        <v>0</v>
      </c>
      <c r="Y29" s="104">
        <f>'表3-成本费用表'!Y56/(1+参数输入表!$H$409)*参数输入表!$H$409</f>
        <v>0</v>
      </c>
      <c r="Z29" s="104">
        <f>'表3-成本费用表'!Z56/(1+参数输入表!$H$409)*参数输入表!$H$409</f>
        <v>0</v>
      </c>
      <c r="AA29" s="104">
        <f>'表3-成本费用表'!AA56/(1+参数输入表!$H$409)*参数输入表!$H$409</f>
        <v>0</v>
      </c>
    </row>
    <row r="30" spans="2:27" x14ac:dyDescent="0.25">
      <c r="B30" s="112"/>
      <c r="C30" s="173" t="s">
        <v>439</v>
      </c>
      <c r="D30" s="104">
        <f t="shared" si="3"/>
        <v>0</v>
      </c>
      <c r="E30" s="112" t="s">
        <v>120</v>
      </c>
      <c r="F30" s="104"/>
      <c r="G30" s="104"/>
      <c r="H30" s="104">
        <f>'表3-成本费用表'!H53/(1+参数输入表!$H$653)*参数输入表!$H$653</f>
        <v>0</v>
      </c>
      <c r="I30" s="104">
        <f>'表3-成本费用表'!I53/(1+参数输入表!$H$653)*参数输入表!$H$653</f>
        <v>0</v>
      </c>
      <c r="J30" s="104">
        <f>'表3-成本费用表'!J53/(1+参数输入表!$H$653)*参数输入表!$H$653</f>
        <v>0</v>
      </c>
      <c r="K30" s="104">
        <f>'表3-成本费用表'!K53/(1+参数输入表!$H$653)*参数输入表!$H$653</f>
        <v>0</v>
      </c>
      <c r="L30" s="104">
        <f>'表3-成本费用表'!L53/(1+参数输入表!$H$653)*参数输入表!$H$653</f>
        <v>0</v>
      </c>
      <c r="M30" s="104">
        <f>'表3-成本费用表'!M53/(1+参数输入表!$H$653)*参数输入表!$H$653</f>
        <v>0</v>
      </c>
      <c r="N30" s="104">
        <f>'表3-成本费用表'!N53/(1+参数输入表!$H$653)*参数输入表!$H$653</f>
        <v>0</v>
      </c>
      <c r="O30" s="104">
        <f>'表3-成本费用表'!O53/(1+参数输入表!$H$653)*参数输入表!$H$653</f>
        <v>0</v>
      </c>
      <c r="P30" s="104">
        <f>'表3-成本费用表'!P53/(1+参数输入表!$H$653)*参数输入表!$H$653</f>
        <v>0</v>
      </c>
      <c r="Q30" s="104">
        <f>'表3-成本费用表'!Q53/(1+参数输入表!$H$653)*参数输入表!$H$653</f>
        <v>0</v>
      </c>
      <c r="R30" s="104">
        <f>'表3-成本费用表'!R53/(1+参数输入表!$H$653)*参数输入表!$H$653</f>
        <v>0</v>
      </c>
      <c r="S30" s="104">
        <f>'表3-成本费用表'!S53/(1+参数输入表!$H$653)*参数输入表!$H$653</f>
        <v>0</v>
      </c>
      <c r="T30" s="104">
        <f>'表3-成本费用表'!T53/(1+参数输入表!$H$653)*参数输入表!$H$653</f>
        <v>0</v>
      </c>
      <c r="U30" s="104">
        <f>'表3-成本费用表'!U53/(1+参数输入表!$H$653)*参数输入表!$H$653</f>
        <v>0</v>
      </c>
      <c r="V30" s="104">
        <f>'表3-成本费用表'!V53/(1+参数输入表!$H$653)*参数输入表!$H$653</f>
        <v>0</v>
      </c>
      <c r="W30" s="104">
        <f>'表3-成本费用表'!W53/(1+参数输入表!$H$653)*参数输入表!$H$653</f>
        <v>0</v>
      </c>
      <c r="X30" s="104">
        <f>'表3-成本费用表'!X53/(1+参数输入表!$H$653)*参数输入表!$H$653</f>
        <v>0</v>
      </c>
      <c r="Y30" s="104">
        <f>'表3-成本费用表'!Y53/(1+参数输入表!$H$653)*参数输入表!$H$653</f>
        <v>0</v>
      </c>
      <c r="Z30" s="104">
        <f>'表3-成本费用表'!Z53/(1+参数输入表!$H$653)*参数输入表!$H$653</f>
        <v>0</v>
      </c>
      <c r="AA30" s="104">
        <f>'表3-成本费用表'!AA53/(1+参数输入表!$H$653)*参数输入表!$H$653</f>
        <v>0</v>
      </c>
    </row>
    <row r="31" spans="2:27" x14ac:dyDescent="0.25">
      <c r="B31" s="112" t="s">
        <v>440</v>
      </c>
      <c r="C31" s="171" t="s">
        <v>441</v>
      </c>
      <c r="D31" s="104">
        <f t="shared" si="3"/>
        <v>0</v>
      </c>
      <c r="E31" s="112" t="s">
        <v>120</v>
      </c>
      <c r="F31" s="104"/>
      <c r="G31" s="104"/>
      <c r="H31" s="104">
        <v>0</v>
      </c>
      <c r="I31" s="104">
        <v>0</v>
      </c>
      <c r="J31" s="104">
        <v>0</v>
      </c>
      <c r="K31" s="104">
        <v>0</v>
      </c>
      <c r="L31" s="104">
        <v>0</v>
      </c>
      <c r="M31" s="104">
        <v>0</v>
      </c>
      <c r="N31" s="104">
        <v>0</v>
      </c>
      <c r="O31" s="104">
        <v>0</v>
      </c>
      <c r="P31" s="104">
        <v>0</v>
      </c>
      <c r="Q31" s="104">
        <v>0</v>
      </c>
      <c r="R31" s="104">
        <v>0</v>
      </c>
      <c r="S31" s="104">
        <v>0</v>
      </c>
      <c r="T31" s="104">
        <v>0</v>
      </c>
      <c r="U31" s="104">
        <v>0</v>
      </c>
      <c r="V31" s="104">
        <v>0</v>
      </c>
      <c r="W31" s="104">
        <v>0</v>
      </c>
      <c r="X31" s="104">
        <v>0</v>
      </c>
      <c r="Y31" s="104">
        <v>0</v>
      </c>
      <c r="Z31" s="104">
        <v>0</v>
      </c>
      <c r="AA31" s="104">
        <v>0</v>
      </c>
    </row>
    <row r="32" spans="2:27" x14ac:dyDescent="0.25">
      <c r="B32" s="112" t="s">
        <v>442</v>
      </c>
      <c r="C32" s="171" t="s">
        <v>443</v>
      </c>
      <c r="D32" s="104">
        <f t="shared" ca="1" si="3"/>
        <v>0</v>
      </c>
      <c r="E32" s="112" t="s">
        <v>120</v>
      </c>
      <c r="F32" s="104"/>
      <c r="G32" s="104"/>
      <c r="H32" s="104">
        <f t="shared" ref="H32:AA32" ca="1" si="11">SUM(H33:H34)</f>
        <v>0</v>
      </c>
      <c r="I32" s="104">
        <f t="shared" ca="1" si="11"/>
        <v>0</v>
      </c>
      <c r="J32" s="104">
        <f t="shared" ca="1" si="11"/>
        <v>0</v>
      </c>
      <c r="K32" s="104">
        <f t="shared" ca="1" si="11"/>
        <v>0</v>
      </c>
      <c r="L32" s="104">
        <f t="shared" ca="1" si="11"/>
        <v>0</v>
      </c>
      <c r="M32" s="104">
        <f t="shared" ca="1" si="11"/>
        <v>0</v>
      </c>
      <c r="N32" s="104">
        <f t="shared" ca="1" si="11"/>
        <v>0</v>
      </c>
      <c r="O32" s="104">
        <f t="shared" ca="1" si="11"/>
        <v>0</v>
      </c>
      <c r="P32" s="104">
        <f t="shared" ca="1" si="11"/>
        <v>0</v>
      </c>
      <c r="Q32" s="104">
        <f t="shared" ca="1" si="11"/>
        <v>0</v>
      </c>
      <c r="R32" s="104">
        <f t="shared" ca="1" si="11"/>
        <v>0</v>
      </c>
      <c r="S32" s="104">
        <f t="shared" ca="1" si="11"/>
        <v>0</v>
      </c>
      <c r="T32" s="104">
        <f t="shared" ca="1" si="11"/>
        <v>0</v>
      </c>
      <c r="U32" s="104">
        <f t="shared" ca="1" si="11"/>
        <v>0</v>
      </c>
      <c r="V32" s="104">
        <f t="shared" ca="1" si="11"/>
        <v>0</v>
      </c>
      <c r="W32" s="104">
        <f t="shared" ca="1" si="11"/>
        <v>0</v>
      </c>
      <c r="X32" s="104">
        <f t="shared" ca="1" si="11"/>
        <v>0</v>
      </c>
      <c r="Y32" s="104">
        <f t="shared" ca="1" si="11"/>
        <v>0</v>
      </c>
      <c r="Z32" s="104">
        <f t="shared" ca="1" si="11"/>
        <v>0</v>
      </c>
      <c r="AA32" s="104">
        <f t="shared" ca="1" si="11"/>
        <v>0</v>
      </c>
    </row>
    <row r="33" spans="2:27" x14ac:dyDescent="0.25">
      <c r="B33" s="112"/>
      <c r="C33" s="173" t="s">
        <v>400</v>
      </c>
      <c r="D33" s="104">
        <f t="shared" ca="1" si="3"/>
        <v>0</v>
      </c>
      <c r="E33" s="112" t="s">
        <v>120</v>
      </c>
      <c r="F33" s="104"/>
      <c r="G33" s="104"/>
      <c r="H33" s="104">
        <f ca="1">'表3-成本费用表'!H17*参数输入表!$H$394</f>
        <v>0</v>
      </c>
      <c r="I33" s="104">
        <f ca="1">'表3-成本费用表'!I17*参数输入表!$H$394</f>
        <v>0</v>
      </c>
      <c r="J33" s="104">
        <f ca="1">'表3-成本费用表'!J17*参数输入表!$H$394</f>
        <v>0</v>
      </c>
      <c r="K33" s="104">
        <f ca="1">'表3-成本费用表'!K17*参数输入表!$H$394</f>
        <v>0</v>
      </c>
      <c r="L33" s="104">
        <f ca="1">'表3-成本费用表'!L17*参数输入表!$H$394</f>
        <v>0</v>
      </c>
      <c r="M33" s="104">
        <f ca="1">'表3-成本费用表'!M17*参数输入表!$H$394</f>
        <v>0</v>
      </c>
      <c r="N33" s="104">
        <f ca="1">'表3-成本费用表'!N17*参数输入表!$H$394</f>
        <v>0</v>
      </c>
      <c r="O33" s="104">
        <f ca="1">'表3-成本费用表'!O17*参数输入表!$H$394</f>
        <v>0</v>
      </c>
      <c r="P33" s="104">
        <f ca="1">'表3-成本费用表'!P17*参数输入表!$H$394</f>
        <v>0</v>
      </c>
      <c r="Q33" s="104">
        <f ca="1">'表3-成本费用表'!Q17*参数输入表!$H$394</f>
        <v>0</v>
      </c>
      <c r="R33" s="104">
        <f ca="1">'表3-成本费用表'!R17*参数输入表!$H$394</f>
        <v>0</v>
      </c>
      <c r="S33" s="104">
        <f ca="1">'表3-成本费用表'!S17*参数输入表!$H$394</f>
        <v>0</v>
      </c>
      <c r="T33" s="104">
        <f ca="1">'表3-成本费用表'!T17*参数输入表!$H$394</f>
        <v>0</v>
      </c>
      <c r="U33" s="104">
        <f ca="1">'表3-成本费用表'!U17*参数输入表!$H$394</f>
        <v>0</v>
      </c>
      <c r="V33" s="104">
        <f ca="1">'表3-成本费用表'!V17*参数输入表!$H$394</f>
        <v>0</v>
      </c>
      <c r="W33" s="104">
        <f ca="1">'表3-成本费用表'!W17*参数输入表!$H$394</f>
        <v>0</v>
      </c>
      <c r="X33" s="104">
        <f ca="1">'表3-成本费用表'!X17*参数输入表!$H$394</f>
        <v>0</v>
      </c>
      <c r="Y33" s="104">
        <f ca="1">'表3-成本费用表'!Y17*参数输入表!$H$394</f>
        <v>0</v>
      </c>
      <c r="Z33" s="104">
        <f ca="1">'表3-成本费用表'!Z17*参数输入表!$H$394</f>
        <v>0</v>
      </c>
      <c r="AA33" s="104">
        <f ca="1">'表3-成本费用表'!AA17*参数输入表!$H$394</f>
        <v>0</v>
      </c>
    </row>
    <row r="34" spans="2:27" x14ac:dyDescent="0.25">
      <c r="B34" s="112"/>
      <c r="C34" s="173" t="s">
        <v>212</v>
      </c>
      <c r="D34" s="104">
        <f t="shared" ca="1" si="3"/>
        <v>0</v>
      </c>
      <c r="E34" s="112" t="s">
        <v>120</v>
      </c>
      <c r="F34" s="104"/>
      <c r="G34" s="104"/>
      <c r="H34" s="104">
        <f>'表3-成本费用表'!H18*参数输入表!$H$413</f>
        <v>0</v>
      </c>
      <c r="I34" s="104">
        <f>'表3-成本费用表'!I18*参数输入表!$H$413</f>
        <v>0</v>
      </c>
      <c r="J34" s="104">
        <f>'表3-成本费用表'!J18*参数输入表!$H$413</f>
        <v>0</v>
      </c>
      <c r="K34" s="104">
        <f>'表3-成本费用表'!K18*参数输入表!$H$413</f>
        <v>0</v>
      </c>
      <c r="L34" s="104">
        <f>'表3-成本费用表'!L18*参数输入表!$H$413</f>
        <v>0</v>
      </c>
      <c r="M34" s="104">
        <f>'表3-成本费用表'!M18*参数输入表!$H$413</f>
        <v>0</v>
      </c>
      <c r="N34" s="104">
        <f>'表3-成本费用表'!N18*参数输入表!$H$413</f>
        <v>0</v>
      </c>
      <c r="O34" s="104">
        <f>'表3-成本费用表'!O18*参数输入表!$H$413</f>
        <v>0</v>
      </c>
      <c r="P34" s="104">
        <f>'表3-成本费用表'!P18*参数输入表!$H$413</f>
        <v>0</v>
      </c>
      <c r="Q34" s="104">
        <f>'表3-成本费用表'!Q18*参数输入表!$H$413</f>
        <v>0</v>
      </c>
      <c r="R34" s="104">
        <f>'表3-成本费用表'!R18*参数输入表!$H$413</f>
        <v>0</v>
      </c>
      <c r="S34" s="104">
        <f>'表3-成本费用表'!S18*参数输入表!$H$413</f>
        <v>0</v>
      </c>
      <c r="T34" s="104">
        <f>'表3-成本费用表'!T18*参数输入表!$H$413</f>
        <v>0</v>
      </c>
      <c r="U34" s="104">
        <f>'表3-成本费用表'!U18*参数输入表!$H$413</f>
        <v>0</v>
      </c>
      <c r="V34" s="104">
        <f>'表3-成本费用表'!V18*参数输入表!$H$413</f>
        <v>0</v>
      </c>
      <c r="W34" s="104">
        <f>'表3-成本费用表'!W18*参数输入表!$H$413</f>
        <v>0</v>
      </c>
      <c r="X34" s="104">
        <f>'表3-成本费用表'!X18*参数输入表!$H$413</f>
        <v>0</v>
      </c>
      <c r="Y34" s="104">
        <f>'表3-成本费用表'!Y18*参数输入表!$H$413</f>
        <v>0</v>
      </c>
      <c r="Z34" s="104">
        <f>'表3-成本费用表'!Z18*参数输入表!$H$413</f>
        <v>0</v>
      </c>
      <c r="AA34" s="104">
        <f ca="1">'表3-成本费用表'!AA18*参数输入表!$H$413</f>
        <v>0</v>
      </c>
    </row>
    <row r="35" spans="2:27" x14ac:dyDescent="0.25">
      <c r="B35" s="112" t="s">
        <v>444</v>
      </c>
      <c r="C35" s="171" t="s">
        <v>445</v>
      </c>
      <c r="D35" s="104">
        <f t="shared" si="3"/>
        <v>0</v>
      </c>
      <c r="E35" s="112" t="s">
        <v>120</v>
      </c>
      <c r="F35" s="104"/>
      <c r="G35" s="104"/>
      <c r="H35" s="104">
        <v>0</v>
      </c>
      <c r="I35" s="104">
        <v>0</v>
      </c>
      <c r="J35" s="104">
        <v>0</v>
      </c>
      <c r="K35" s="104">
        <v>0</v>
      </c>
      <c r="L35" s="104">
        <v>0</v>
      </c>
      <c r="M35" s="104">
        <v>0</v>
      </c>
      <c r="N35" s="104">
        <v>0</v>
      </c>
      <c r="O35" s="104">
        <v>0</v>
      </c>
      <c r="P35" s="104">
        <v>0</v>
      </c>
      <c r="Q35" s="104">
        <v>0</v>
      </c>
      <c r="R35" s="104">
        <v>0</v>
      </c>
      <c r="S35" s="104">
        <v>0</v>
      </c>
      <c r="T35" s="104">
        <v>0</v>
      </c>
      <c r="U35" s="104">
        <v>0</v>
      </c>
      <c r="V35" s="104">
        <v>0</v>
      </c>
      <c r="W35" s="104">
        <v>0</v>
      </c>
      <c r="X35" s="104">
        <v>0</v>
      </c>
      <c r="Y35" s="104">
        <v>0</v>
      </c>
      <c r="Z35" s="104">
        <v>0</v>
      </c>
      <c r="AA35" s="104">
        <v>0</v>
      </c>
    </row>
    <row r="36" spans="2:27" x14ac:dyDescent="0.25">
      <c r="B36" s="136">
        <v>3.3</v>
      </c>
      <c r="C36" s="170" t="s">
        <v>446</v>
      </c>
      <c r="D36" s="104">
        <f t="shared" si="3"/>
        <v>0</v>
      </c>
      <c r="E36" s="112" t="s">
        <v>120</v>
      </c>
      <c r="F36" s="104"/>
      <c r="G36" s="104"/>
      <c r="H36" s="99">
        <f>'表3-成本费用表'!H62*参数输入表!$H$686</f>
        <v>0</v>
      </c>
      <c r="I36" s="99">
        <f>'表3-成本费用表'!I62*参数输入表!$H$686</f>
        <v>0</v>
      </c>
      <c r="J36" s="99">
        <f>'表3-成本费用表'!J62*参数输入表!$H$686</f>
        <v>0</v>
      </c>
      <c r="K36" s="99">
        <f>'表3-成本费用表'!K62*参数输入表!$H$686</f>
        <v>0</v>
      </c>
      <c r="L36" s="99">
        <f>'表3-成本费用表'!L62*参数输入表!$H$686</f>
        <v>0</v>
      </c>
      <c r="M36" s="99">
        <f>'表3-成本费用表'!M62*参数输入表!$H$686</f>
        <v>0</v>
      </c>
      <c r="N36" s="99">
        <f>'表3-成本费用表'!N62*参数输入表!$H$686</f>
        <v>0</v>
      </c>
      <c r="O36" s="99">
        <f>'表3-成本费用表'!O62*参数输入表!$H$686</f>
        <v>0</v>
      </c>
      <c r="P36" s="99">
        <f>'表3-成本费用表'!P62*参数输入表!$H$686</f>
        <v>0</v>
      </c>
      <c r="Q36" s="99">
        <f>'表3-成本费用表'!Q62*参数输入表!$H$686</f>
        <v>0</v>
      </c>
      <c r="R36" s="99">
        <f>'表3-成本费用表'!R62*参数输入表!$H$686</f>
        <v>0</v>
      </c>
      <c r="S36" s="99">
        <f>'表3-成本费用表'!S62*参数输入表!$H$686</f>
        <v>0</v>
      </c>
      <c r="T36" s="99">
        <f>'表3-成本费用表'!T62*参数输入表!$H$686</f>
        <v>0</v>
      </c>
      <c r="U36" s="99">
        <f>'表3-成本费用表'!U62*参数输入表!$H$686</f>
        <v>0</v>
      </c>
      <c r="V36" s="99">
        <f>'表3-成本费用表'!V62*参数输入表!$H$686</f>
        <v>0</v>
      </c>
      <c r="W36" s="99">
        <f>'表3-成本费用表'!W62*参数输入表!$H$686</f>
        <v>0</v>
      </c>
      <c r="X36" s="99">
        <f>'表3-成本费用表'!X62*参数输入表!$H$686</f>
        <v>0</v>
      </c>
      <c r="Y36" s="99">
        <f>'表3-成本费用表'!Y62*参数输入表!$H$686</f>
        <v>0</v>
      </c>
      <c r="Z36" s="99">
        <f>'表3-成本费用表'!Z62*参数输入表!$H$686</f>
        <v>0</v>
      </c>
      <c r="AA36" s="99">
        <f>'表3-成本费用表'!AA62*参数输入表!$H$686</f>
        <v>0</v>
      </c>
    </row>
    <row r="37" spans="2:27" x14ac:dyDescent="0.25">
      <c r="B37" s="136">
        <v>3.4</v>
      </c>
      <c r="C37" s="170" t="s">
        <v>447</v>
      </c>
      <c r="D37" s="99">
        <f t="shared" si="3"/>
        <v>57.522123893805322</v>
      </c>
      <c r="E37" s="112" t="s">
        <v>120</v>
      </c>
      <c r="F37" s="99"/>
      <c r="G37" s="99"/>
      <c r="H37" s="99">
        <f>参数输入表!H656/(1+参数输入表!$H$679)*参数输入表!$H$679</f>
        <v>0</v>
      </c>
      <c r="I37" s="99">
        <f>参数输入表!H657/(1+参数输入表!$H$679)*参数输入表!$H$679</f>
        <v>0</v>
      </c>
      <c r="J37" s="99">
        <f>参数输入表!H658/(1+参数输入表!$H$679)*参数输入表!$H$679</f>
        <v>0</v>
      </c>
      <c r="K37" s="99">
        <f>参数输入表!H659/(1+参数输入表!$H$679)*参数输入表!$H$679</f>
        <v>0</v>
      </c>
      <c r="L37" s="99">
        <f>参数输入表!H660/(1+参数输入表!$H$679)*参数输入表!$H$679</f>
        <v>0</v>
      </c>
      <c r="M37" s="99">
        <f>参数输入表!H661/(1+参数输入表!$H$679)*参数输入表!$H$679</f>
        <v>0</v>
      </c>
      <c r="N37" s="99">
        <f>参数输入表!H662/(1+参数输入表!$H$679)*参数输入表!$H$679</f>
        <v>0</v>
      </c>
      <c r="O37" s="99">
        <f>参数输入表!H663/(1+参数输入表!$H$679)*参数输入表!$H$679</f>
        <v>0</v>
      </c>
      <c r="P37" s="99">
        <f>参数输入表!H664/(1+参数输入表!$H$679)*参数输入表!$H$679</f>
        <v>0</v>
      </c>
      <c r="Q37" s="99">
        <f>参数输入表!H665/(1+参数输入表!$H$679)*参数输入表!$H$679</f>
        <v>0</v>
      </c>
      <c r="R37" s="99">
        <f>参数输入表!H666/(1+参数输入表!$H$679)*参数输入表!$H$679</f>
        <v>0</v>
      </c>
      <c r="S37" s="99">
        <f>参数输入表!H667/(1+参数输入表!$H$679)*参数输入表!$H$679</f>
        <v>57.522123893805322</v>
      </c>
      <c r="T37" s="99">
        <f>参数输入表!H668/(1+参数输入表!$H$679)*参数输入表!$H$679</f>
        <v>0</v>
      </c>
      <c r="U37" s="99">
        <f>参数输入表!H669/(1+参数输入表!$H$679)*参数输入表!$H$679</f>
        <v>0</v>
      </c>
      <c r="V37" s="99">
        <f>参数输入表!H670/(1+参数输入表!$H$679)*参数输入表!$H$679</f>
        <v>0</v>
      </c>
      <c r="W37" s="99">
        <f>参数输入表!H671/(1+参数输入表!$H$679)*参数输入表!$H$679</f>
        <v>0</v>
      </c>
      <c r="X37" s="99">
        <f>参数输入表!H672/(1+参数输入表!$H$679)*参数输入表!$H$679</f>
        <v>0</v>
      </c>
      <c r="Y37" s="99">
        <f>参数输入表!H673/(1+参数输入表!$H$679)*参数输入表!$H$679</f>
        <v>0</v>
      </c>
      <c r="Z37" s="99">
        <f>参数输入表!H674/(1+参数输入表!$H$679)*参数输入表!$H$679</f>
        <v>0</v>
      </c>
      <c r="AA37" s="99">
        <f>参数输入表!H675/(1+参数输入表!$H$679)*参数输入表!$H$679</f>
        <v>0</v>
      </c>
    </row>
    <row r="38" spans="2:27" x14ac:dyDescent="0.25">
      <c r="B38" s="107">
        <v>4</v>
      </c>
      <c r="C38" s="157" t="s">
        <v>448</v>
      </c>
      <c r="D38" s="131">
        <f t="shared" ca="1" si="3"/>
        <v>7094.9645238497851</v>
      </c>
      <c r="E38" s="112" t="s">
        <v>120</v>
      </c>
      <c r="F38" s="99">
        <f>F17-F20</f>
        <v>-2674.2060000000001</v>
      </c>
      <c r="G38" s="99">
        <f t="shared" ref="G38:AA38" si="12">G17-G20</f>
        <v>-1782.8040000000001</v>
      </c>
      <c r="H38" s="99">
        <f t="shared" ca="1" si="12"/>
        <v>1042.2125594423107</v>
      </c>
      <c r="I38" s="99">
        <f t="shared" ca="1" si="12"/>
        <v>589.96260793120723</v>
      </c>
      <c r="J38" s="99">
        <f t="shared" ca="1" si="12"/>
        <v>590.54118452766738</v>
      </c>
      <c r="K38" s="99">
        <f t="shared" ca="1" si="12"/>
        <v>591.11810802501873</v>
      </c>
      <c r="L38" s="99">
        <f t="shared" ca="1" si="12"/>
        <v>591.69338586220715</v>
      </c>
      <c r="M38" s="99">
        <f t="shared" ca="1" si="12"/>
        <v>484.73947390489718</v>
      </c>
      <c r="N38" s="99">
        <f t="shared" ca="1" si="12"/>
        <v>543.03342185752285</v>
      </c>
      <c r="O38" s="99">
        <f t="shared" ca="1" si="12"/>
        <v>544.71753499589818</v>
      </c>
      <c r="P38" s="99">
        <f t="shared" ca="1" si="12"/>
        <v>546.39561418046037</v>
      </c>
      <c r="Q38" s="99">
        <f t="shared" ca="1" si="12"/>
        <v>548.06768656400186</v>
      </c>
      <c r="R38" s="99">
        <f t="shared" ca="1" si="12"/>
        <v>546.30143404438365</v>
      </c>
      <c r="S38" s="99">
        <f t="shared" ca="1" si="12"/>
        <v>490.43944990225418</v>
      </c>
      <c r="T38" s="99">
        <f t="shared" ca="1" si="12"/>
        <v>549.61578747416263</v>
      </c>
      <c r="U38" s="99">
        <f t="shared" ca="1" si="12"/>
        <v>551.26410174602404</v>
      </c>
      <c r="V38" s="99">
        <f t="shared" ca="1" si="12"/>
        <v>552.90654315897154</v>
      </c>
      <c r="W38" s="99">
        <f t="shared" ca="1" si="12"/>
        <v>554.54313814087072</v>
      </c>
      <c r="X38" s="99">
        <f t="shared" ca="1" si="12"/>
        <v>556.17391300066095</v>
      </c>
      <c r="Y38" s="99">
        <f t="shared" ca="1" si="12"/>
        <v>557.7988939288922</v>
      </c>
      <c r="Z38" s="99">
        <f t="shared" ca="1" si="12"/>
        <v>559.41810699825589</v>
      </c>
      <c r="AA38" s="99">
        <f t="shared" ca="1" si="12"/>
        <v>561.03157816411704</v>
      </c>
    </row>
    <row r="39" spans="2:27" x14ac:dyDescent="0.25">
      <c r="B39" s="105">
        <v>5</v>
      </c>
      <c r="C39" s="174" t="s">
        <v>449</v>
      </c>
      <c r="D39" s="175"/>
      <c r="E39" s="112" t="s">
        <v>120</v>
      </c>
      <c r="F39" s="104">
        <f>IF(F38&lt;0,-F38,0)</f>
        <v>2674.2060000000001</v>
      </c>
      <c r="G39" s="104">
        <f>IF(F39-G38&gt;0,F39-G38,0)</f>
        <v>4457.01</v>
      </c>
      <c r="H39" s="104">
        <f ca="1">IF(F39-H38&gt;0,G39-H38,0)</f>
        <v>3414.7974405576897</v>
      </c>
      <c r="I39" s="104">
        <f t="shared" ref="I39:AA39" ca="1" si="13">IF(H39-I38&gt;0,H39-I38,0)</f>
        <v>2824.8348326264822</v>
      </c>
      <c r="J39" s="104">
        <f t="shared" ca="1" si="13"/>
        <v>2234.2936480988146</v>
      </c>
      <c r="K39" s="104">
        <f t="shared" ca="1" si="13"/>
        <v>1643.1755400737959</v>
      </c>
      <c r="L39" s="104">
        <f t="shared" ca="1" si="13"/>
        <v>1051.4821542115887</v>
      </c>
      <c r="M39" s="104">
        <f t="shared" ca="1" si="13"/>
        <v>566.74268030669157</v>
      </c>
      <c r="N39" s="104">
        <f t="shared" ca="1" si="13"/>
        <v>23.709258449168715</v>
      </c>
      <c r="O39" s="104">
        <f t="shared" ca="1" si="13"/>
        <v>0</v>
      </c>
      <c r="P39" s="104">
        <f t="shared" ca="1" si="13"/>
        <v>0</v>
      </c>
      <c r="Q39" s="104">
        <f t="shared" ca="1" si="13"/>
        <v>0</v>
      </c>
      <c r="R39" s="104">
        <f t="shared" ca="1" si="13"/>
        <v>0</v>
      </c>
      <c r="S39" s="104">
        <f t="shared" ca="1" si="13"/>
        <v>0</v>
      </c>
      <c r="T39" s="104">
        <f t="shared" ca="1" si="13"/>
        <v>0</v>
      </c>
      <c r="U39" s="104">
        <f t="shared" ca="1" si="13"/>
        <v>0</v>
      </c>
      <c r="V39" s="104">
        <f t="shared" ca="1" si="13"/>
        <v>0</v>
      </c>
      <c r="W39" s="104">
        <f t="shared" ca="1" si="13"/>
        <v>0</v>
      </c>
      <c r="X39" s="104">
        <f t="shared" ca="1" si="13"/>
        <v>0</v>
      </c>
      <c r="Y39" s="104">
        <f t="shared" ca="1" si="13"/>
        <v>0</v>
      </c>
      <c r="Z39" s="104">
        <f t="shared" ca="1" si="13"/>
        <v>0</v>
      </c>
      <c r="AA39" s="104">
        <f t="shared" ca="1" si="13"/>
        <v>0</v>
      </c>
    </row>
    <row r="40" spans="2:27" x14ac:dyDescent="0.25">
      <c r="B40" s="107">
        <v>6</v>
      </c>
      <c r="C40" s="157" t="s">
        <v>450</v>
      </c>
      <c r="D40" s="131">
        <f ca="1">SUM(F40:AA40)</f>
        <v>709.49645238497851</v>
      </c>
      <c r="E40" s="112" t="s">
        <v>120</v>
      </c>
      <c r="F40" s="99"/>
      <c r="G40" s="99"/>
      <c r="H40" s="99">
        <f ca="1">SUM(H41:H43)</f>
        <v>0</v>
      </c>
      <c r="I40" s="99">
        <f t="shared" ref="I40:AA40" ca="1" si="14">SUM(I41:I43)</f>
        <v>0</v>
      </c>
      <c r="J40" s="99">
        <f t="shared" ca="1" si="14"/>
        <v>0</v>
      </c>
      <c r="K40" s="99">
        <f t="shared" ca="1" si="14"/>
        <v>0</v>
      </c>
      <c r="L40" s="99">
        <f t="shared" ca="1" si="14"/>
        <v>0</v>
      </c>
      <c r="M40" s="99">
        <f t="shared" ca="1" si="14"/>
        <v>0</v>
      </c>
      <c r="N40" s="99">
        <f t="shared" ca="1" si="14"/>
        <v>0</v>
      </c>
      <c r="O40" s="99">
        <f t="shared" ca="1" si="14"/>
        <v>52.100827654672948</v>
      </c>
      <c r="P40" s="99">
        <f t="shared" ca="1" si="14"/>
        <v>54.639561418046043</v>
      </c>
      <c r="Q40" s="99">
        <f t="shared" ca="1" si="14"/>
        <v>54.806768656400195</v>
      </c>
      <c r="R40" s="99">
        <f t="shared" ca="1" si="14"/>
        <v>54.630143404438371</v>
      </c>
      <c r="S40" s="99">
        <f t="shared" ca="1" si="14"/>
        <v>49.043944990225427</v>
      </c>
      <c r="T40" s="99">
        <f t="shared" ca="1" si="14"/>
        <v>54.961578747416269</v>
      </c>
      <c r="U40" s="99">
        <f t="shared" ca="1" si="14"/>
        <v>55.126410174602398</v>
      </c>
      <c r="V40" s="99">
        <f t="shared" ca="1" si="14"/>
        <v>55.290654315897157</v>
      </c>
      <c r="W40" s="99">
        <f t="shared" ca="1" si="14"/>
        <v>55.454313814087072</v>
      </c>
      <c r="X40" s="99">
        <f t="shared" ca="1" si="14"/>
        <v>55.617391300066089</v>
      </c>
      <c r="Y40" s="99">
        <f t="shared" ca="1" si="14"/>
        <v>55.779889392889217</v>
      </c>
      <c r="Z40" s="99">
        <f t="shared" ca="1" si="14"/>
        <v>55.941810699825595</v>
      </c>
      <c r="AA40" s="99">
        <f t="shared" ca="1" si="14"/>
        <v>56.103157816411709</v>
      </c>
    </row>
    <row r="41" spans="2:27" x14ac:dyDescent="0.25">
      <c r="B41" s="105">
        <v>6.1</v>
      </c>
      <c r="C41" s="176" t="s">
        <v>451</v>
      </c>
      <c r="D41" s="175">
        <f ca="1">SUM(F41:AA41)</f>
        <v>354.74822619248926</v>
      </c>
      <c r="E41" s="112" t="s">
        <v>120</v>
      </c>
      <c r="F41" s="104"/>
      <c r="G41" s="104"/>
      <c r="H41" s="104">
        <f ca="1">H16*参数输入表!$H$695</f>
        <v>0</v>
      </c>
      <c r="I41" s="104">
        <f ca="1">I16*参数输入表!$H$695</f>
        <v>0</v>
      </c>
      <c r="J41" s="104">
        <f ca="1">J16*参数输入表!$H$695</f>
        <v>0</v>
      </c>
      <c r="K41" s="104">
        <f ca="1">K16*参数输入表!$H$695</f>
        <v>0</v>
      </c>
      <c r="L41" s="104">
        <f ca="1">L16*参数输入表!$H$695</f>
        <v>0</v>
      </c>
      <c r="M41" s="104">
        <f ca="1">M16*参数输入表!$H$695</f>
        <v>0</v>
      </c>
      <c r="N41" s="104">
        <f ca="1">N16*参数输入表!$H$695</f>
        <v>0</v>
      </c>
      <c r="O41" s="104">
        <f ca="1">O16*参数输入表!$H$695</f>
        <v>26.050413827336474</v>
      </c>
      <c r="P41" s="104">
        <f ca="1">P16*参数输入表!$H$695</f>
        <v>27.319780709023021</v>
      </c>
      <c r="Q41" s="104">
        <f ca="1">Q16*参数输入表!$H$695</f>
        <v>27.403384328200094</v>
      </c>
      <c r="R41" s="104">
        <f ca="1">R16*参数输入表!$H$695</f>
        <v>27.315071702219186</v>
      </c>
      <c r="S41" s="104">
        <f ca="1">S16*参数输入表!$H$695</f>
        <v>24.52197249511271</v>
      </c>
      <c r="T41" s="104">
        <f ca="1">T16*参数输入表!$H$695</f>
        <v>27.480789373708134</v>
      </c>
      <c r="U41" s="104">
        <f ca="1">U16*参数输入表!$H$695</f>
        <v>27.563205087301203</v>
      </c>
      <c r="V41" s="104">
        <f ca="1">V16*参数输入表!$H$695</f>
        <v>27.645327157948579</v>
      </c>
      <c r="W41" s="104">
        <f ca="1">W16*参数输入表!$H$695</f>
        <v>27.727156907043536</v>
      </c>
      <c r="X41" s="104">
        <f ca="1">X16*参数输入表!$H$695</f>
        <v>27.808695650033048</v>
      </c>
      <c r="Y41" s="104">
        <f ca="1">Y16*参数输入表!$H$695</f>
        <v>27.889944696444612</v>
      </c>
      <c r="Z41" s="104">
        <f ca="1">Z16*参数输入表!$H$695</f>
        <v>27.970905349912798</v>
      </c>
      <c r="AA41" s="104">
        <f ca="1">AA16*参数输入表!$H$695</f>
        <v>28.051578908205855</v>
      </c>
    </row>
    <row r="42" spans="2:27" x14ac:dyDescent="0.25">
      <c r="B42" s="105">
        <v>6.2</v>
      </c>
      <c r="C42" s="176" t="s">
        <v>452</v>
      </c>
      <c r="D42" s="175">
        <f ca="1">SUM(F42:AA42)</f>
        <v>212.84893571549352</v>
      </c>
      <c r="E42" s="112" t="s">
        <v>120</v>
      </c>
      <c r="F42" s="104"/>
      <c r="G42" s="104"/>
      <c r="H42" s="104">
        <f ca="1">H16*参数输入表!$H$698</f>
        <v>0</v>
      </c>
      <c r="I42" s="104">
        <f ca="1">I16*参数输入表!$H$698</f>
        <v>0</v>
      </c>
      <c r="J42" s="104">
        <f ca="1">J16*参数输入表!$H$698</f>
        <v>0</v>
      </c>
      <c r="K42" s="104">
        <f ca="1">K16*参数输入表!$H$698</f>
        <v>0</v>
      </c>
      <c r="L42" s="104">
        <f ca="1">L16*参数输入表!$H$698</f>
        <v>0</v>
      </c>
      <c r="M42" s="104">
        <f ca="1">M16*参数输入表!$H$698</f>
        <v>0</v>
      </c>
      <c r="N42" s="104">
        <f ca="1">N16*参数输入表!$H$698</f>
        <v>0</v>
      </c>
      <c r="O42" s="104">
        <f ca="1">O16*参数输入表!$H$698</f>
        <v>15.630248296401883</v>
      </c>
      <c r="P42" s="104">
        <f ca="1">P16*参数输入表!$H$698</f>
        <v>16.391868425413811</v>
      </c>
      <c r="Q42" s="104">
        <f ca="1">Q16*参数输入表!$H$698</f>
        <v>16.442030596920056</v>
      </c>
      <c r="R42" s="104">
        <f ca="1">R16*参数输入表!$H$698</f>
        <v>16.38904302133151</v>
      </c>
      <c r="S42" s="104">
        <f ca="1">S16*参数输入表!$H$698</f>
        <v>14.713183497067625</v>
      </c>
      <c r="T42" s="104">
        <f ca="1">T16*参数输入表!$H$698</f>
        <v>16.488473624224877</v>
      </c>
      <c r="U42" s="104">
        <f ca="1">U16*参数输入表!$H$698</f>
        <v>16.537923052380719</v>
      </c>
      <c r="V42" s="104">
        <f ca="1">V16*参数输入表!$H$698</f>
        <v>16.587196294769146</v>
      </c>
      <c r="W42" s="104">
        <f ca="1">W16*参数输入表!$H$698</f>
        <v>16.63629414422612</v>
      </c>
      <c r="X42" s="104">
        <f ca="1">X16*参数输入表!$H$698</f>
        <v>16.68521739001983</v>
      </c>
      <c r="Y42" s="104">
        <f ca="1">Y16*参数输入表!$H$698</f>
        <v>16.733966817866765</v>
      </c>
      <c r="Z42" s="104">
        <f ca="1">Z16*参数输入表!$H$698</f>
        <v>16.782543209947676</v>
      </c>
      <c r="AA42" s="104">
        <f ca="1">AA16*参数输入表!$H$698</f>
        <v>16.830947344923512</v>
      </c>
    </row>
    <row r="43" spans="2:27" x14ac:dyDescent="0.25">
      <c r="B43" s="105">
        <v>6.3</v>
      </c>
      <c r="C43" s="176" t="s">
        <v>453</v>
      </c>
      <c r="D43" s="175">
        <f ca="1">SUM(F43:AA43)</f>
        <v>141.8992904769957</v>
      </c>
      <c r="E43" s="112" t="s">
        <v>120</v>
      </c>
      <c r="F43" s="104"/>
      <c r="G43" s="104"/>
      <c r="H43" s="104">
        <f ca="1">H16*参数输入表!$H$699</f>
        <v>0</v>
      </c>
      <c r="I43" s="104">
        <f ca="1">I16*参数输入表!$H$699</f>
        <v>0</v>
      </c>
      <c r="J43" s="104">
        <f ca="1">J16*参数输入表!$H$699</f>
        <v>0</v>
      </c>
      <c r="K43" s="104">
        <f ca="1">K16*参数输入表!$H$699</f>
        <v>0</v>
      </c>
      <c r="L43" s="104">
        <f ca="1">L16*参数输入表!$H$699</f>
        <v>0</v>
      </c>
      <c r="M43" s="104">
        <f ca="1">M16*参数输入表!$H$699</f>
        <v>0</v>
      </c>
      <c r="N43" s="104">
        <f ca="1">N16*参数输入表!$H$699</f>
        <v>0</v>
      </c>
      <c r="O43" s="104">
        <f ca="1">O16*参数输入表!$H$699</f>
        <v>10.42016553093459</v>
      </c>
      <c r="P43" s="104">
        <f ca="1">P16*参数输入表!$H$699</f>
        <v>10.927912283609208</v>
      </c>
      <c r="Q43" s="104">
        <f ca="1">Q16*参数输入表!$H$699</f>
        <v>10.961353731280038</v>
      </c>
      <c r="R43" s="104">
        <f ca="1">R16*参数输入表!$H$699</f>
        <v>10.926028680887674</v>
      </c>
      <c r="S43" s="104">
        <f ca="1">S16*参数输入表!$H$699</f>
        <v>9.8087889980450846</v>
      </c>
      <c r="T43" s="104">
        <f ca="1">T16*参数输入表!$H$699</f>
        <v>10.992315749483252</v>
      </c>
      <c r="U43" s="104">
        <f ca="1">U16*参数输入表!$H$699</f>
        <v>11.025282034920481</v>
      </c>
      <c r="V43" s="104">
        <f ca="1">V16*参数输入表!$H$699</f>
        <v>11.05813086317943</v>
      </c>
      <c r="W43" s="104">
        <f ca="1">W16*参数输入表!$H$699</f>
        <v>11.090862762817414</v>
      </c>
      <c r="X43" s="104">
        <f ca="1">X16*参数输入表!$H$699</f>
        <v>11.123478260013218</v>
      </c>
      <c r="Y43" s="104">
        <f ca="1">Y16*参数输入表!$H$699</f>
        <v>11.155977878577843</v>
      </c>
      <c r="Z43" s="104">
        <f ca="1">Z16*参数输入表!$H$699</f>
        <v>11.188362139965118</v>
      </c>
      <c r="AA43" s="104">
        <f ca="1">AA16*参数输入表!$H$699</f>
        <v>11.220631563282341</v>
      </c>
    </row>
    <row r="44" spans="2:27" x14ac:dyDescent="0.25">
      <c r="B44" s="107">
        <v>7</v>
      </c>
      <c r="C44" s="157" t="s">
        <v>294</v>
      </c>
      <c r="D44" s="131">
        <f>SUM(F44:AA44)</f>
        <v>0</v>
      </c>
      <c r="E44" s="112" t="s">
        <v>120</v>
      </c>
      <c r="F44" s="104"/>
      <c r="G44" s="104"/>
      <c r="H44" s="99">
        <f>参数输入表!$H$701*参数输入表!$H$702/10000</f>
        <v>0</v>
      </c>
      <c r="I44" s="99">
        <f>参数输入表!$H$701*参数输入表!$H$702/10000</f>
        <v>0</v>
      </c>
      <c r="J44" s="99">
        <f>参数输入表!$H$701*参数输入表!$H$702/10000</f>
        <v>0</v>
      </c>
      <c r="K44" s="99">
        <f>参数输入表!$H$701*参数输入表!$H$702/10000</f>
        <v>0</v>
      </c>
      <c r="L44" s="99">
        <f>参数输入表!$H$701*参数输入表!$H$702/10000</f>
        <v>0</v>
      </c>
      <c r="M44" s="99">
        <f>参数输入表!$H$701*参数输入表!$H$702/10000</f>
        <v>0</v>
      </c>
      <c r="N44" s="99">
        <f>参数输入表!$H$701*参数输入表!$H$702/10000</f>
        <v>0</v>
      </c>
      <c r="O44" s="99">
        <f>参数输入表!$H$701*参数输入表!$H$702/10000</f>
        <v>0</v>
      </c>
      <c r="P44" s="99">
        <f>参数输入表!$H$701*参数输入表!$H$702/10000</f>
        <v>0</v>
      </c>
      <c r="Q44" s="99">
        <f>参数输入表!$H$701*参数输入表!$H$702/10000</f>
        <v>0</v>
      </c>
      <c r="R44" s="99">
        <f>参数输入表!$H$701*参数输入表!$H$702/10000</f>
        <v>0</v>
      </c>
      <c r="S44" s="99">
        <f>参数输入表!$H$701*参数输入表!$H$702/10000</f>
        <v>0</v>
      </c>
      <c r="T44" s="99">
        <f>参数输入表!$H$701*参数输入表!$H$702/10000</f>
        <v>0</v>
      </c>
      <c r="U44" s="99">
        <f>参数输入表!$H$701*参数输入表!$H$702/10000</f>
        <v>0</v>
      </c>
      <c r="V44" s="99">
        <f>参数输入表!$H$701*参数输入表!$H$702/10000</f>
        <v>0</v>
      </c>
      <c r="W44" s="99">
        <f>参数输入表!$H$701*参数输入表!$H$702/10000</f>
        <v>0</v>
      </c>
      <c r="X44" s="99">
        <f>参数输入表!$H$701*参数输入表!$H$702/10000</f>
        <v>0</v>
      </c>
      <c r="Y44" s="99">
        <f>参数输入表!$H$701*参数输入表!$H$702/10000</f>
        <v>0</v>
      </c>
      <c r="Z44" s="99">
        <f>参数输入表!$H$701*参数输入表!$H$702/10000</f>
        <v>0</v>
      </c>
      <c r="AA44" s="99">
        <f>参数输入表!$H$701*参数输入表!$H$702/10000</f>
        <v>0</v>
      </c>
    </row>
    <row r="45" spans="2:27" x14ac:dyDescent="0.25">
      <c r="H45" s="167"/>
      <c r="I45" s="167"/>
      <c r="J45" s="167"/>
      <c r="K45" s="167"/>
      <c r="L45" s="167"/>
      <c r="M45" s="167"/>
      <c r="N45" s="167"/>
      <c r="O45" s="167"/>
      <c r="P45" s="167"/>
      <c r="Q45" s="167"/>
      <c r="R45" s="167"/>
      <c r="S45" s="167"/>
      <c r="T45" s="167"/>
      <c r="U45" s="167"/>
      <c r="V45" s="167"/>
      <c r="W45" s="167"/>
      <c r="X45" s="167"/>
      <c r="Y45" s="167"/>
      <c r="Z45" s="167"/>
      <c r="AA45" s="167"/>
    </row>
    <row r="47" spans="2:27" ht="19" x14ac:dyDescent="0.25">
      <c r="C47" s="177" t="s">
        <v>454</v>
      </c>
    </row>
    <row r="48" spans="2:27" ht="19" x14ac:dyDescent="0.25">
      <c r="C48" s="177" t="s">
        <v>419</v>
      </c>
    </row>
    <row r="49" spans="2:27" ht="19" x14ac:dyDescent="0.25">
      <c r="C49" s="177" t="s">
        <v>455</v>
      </c>
    </row>
    <row r="50" spans="2:27" ht="24" customHeight="1" x14ac:dyDescent="0.25">
      <c r="B50" s="92" t="s">
        <v>456</v>
      </c>
    </row>
    <row r="51" spans="2:27" x14ac:dyDescent="0.25">
      <c r="B51" s="436" t="s">
        <v>14</v>
      </c>
      <c r="C51" s="436" t="s">
        <v>318</v>
      </c>
      <c r="D51" s="436" t="s">
        <v>306</v>
      </c>
      <c r="E51" s="436" t="s">
        <v>38</v>
      </c>
      <c r="F51" s="435" t="s">
        <v>93</v>
      </c>
      <c r="G51" s="435"/>
      <c r="H51" s="435" t="s">
        <v>103</v>
      </c>
      <c r="I51" s="435"/>
      <c r="J51" s="435"/>
      <c r="K51" s="435"/>
      <c r="L51" s="435"/>
      <c r="M51" s="435"/>
      <c r="N51" s="435"/>
      <c r="O51" s="435"/>
      <c r="P51" s="435"/>
      <c r="Q51" s="435"/>
      <c r="R51" s="435"/>
      <c r="S51" s="435"/>
      <c r="T51" s="435"/>
      <c r="U51" s="435"/>
      <c r="V51" s="435"/>
      <c r="W51" s="435"/>
      <c r="X51" s="435"/>
      <c r="Y51" s="435"/>
      <c r="Z51" s="435"/>
      <c r="AA51" s="435"/>
    </row>
    <row r="52" spans="2:27" x14ac:dyDescent="0.25">
      <c r="B52" s="437"/>
      <c r="C52" s="437"/>
      <c r="D52" s="437"/>
      <c r="E52" s="437"/>
      <c r="F52" s="178">
        <v>1</v>
      </c>
      <c r="G52" s="178">
        <v>2</v>
      </c>
      <c r="H52" s="178">
        <v>1</v>
      </c>
      <c r="I52" s="178">
        <v>2</v>
      </c>
      <c r="J52" s="178">
        <v>3</v>
      </c>
      <c r="K52" s="178">
        <v>4</v>
      </c>
      <c r="L52" s="178">
        <v>5</v>
      </c>
      <c r="M52" s="178">
        <v>6</v>
      </c>
      <c r="N52" s="178">
        <v>7</v>
      </c>
      <c r="O52" s="178">
        <v>8</v>
      </c>
      <c r="P52" s="178">
        <v>9</v>
      </c>
      <c r="Q52" s="178">
        <v>10</v>
      </c>
      <c r="R52" s="178">
        <v>11</v>
      </c>
      <c r="S52" s="178">
        <v>12</v>
      </c>
      <c r="T52" s="178">
        <v>13</v>
      </c>
      <c r="U52" s="178">
        <v>14</v>
      </c>
      <c r="V52" s="178">
        <v>15</v>
      </c>
      <c r="W52" s="178">
        <v>16</v>
      </c>
      <c r="X52" s="178">
        <v>17</v>
      </c>
      <c r="Y52" s="178">
        <v>18</v>
      </c>
      <c r="Z52" s="178">
        <v>19</v>
      </c>
      <c r="AA52" s="178">
        <v>20</v>
      </c>
    </row>
    <row r="53" spans="2:27" x14ac:dyDescent="0.25">
      <c r="B53" s="178" t="s">
        <v>339</v>
      </c>
      <c r="C53" s="180" t="s">
        <v>319</v>
      </c>
      <c r="D53" s="181"/>
      <c r="E53" s="182" t="s">
        <v>120</v>
      </c>
      <c r="F53" s="115">
        <f>SUM(F54:F57)</f>
        <v>0</v>
      </c>
      <c r="G53" s="115">
        <f t="shared" ref="G53:AA53" si="15">SUM(G54:G57)</f>
        <v>0</v>
      </c>
      <c r="H53" s="115">
        <f t="shared" si="15"/>
        <v>0</v>
      </c>
      <c r="I53" s="115">
        <f t="shared" si="15"/>
        <v>0</v>
      </c>
      <c r="J53" s="115">
        <f t="shared" si="15"/>
        <v>0</v>
      </c>
      <c r="K53" s="115">
        <f t="shared" si="15"/>
        <v>0</v>
      </c>
      <c r="L53" s="115">
        <f t="shared" si="15"/>
        <v>0</v>
      </c>
      <c r="M53" s="115">
        <f t="shared" si="15"/>
        <v>0</v>
      </c>
      <c r="N53" s="115">
        <f t="shared" si="15"/>
        <v>0</v>
      </c>
      <c r="O53" s="115">
        <f t="shared" si="15"/>
        <v>0</v>
      </c>
      <c r="P53" s="115">
        <f t="shared" si="15"/>
        <v>0</v>
      </c>
      <c r="Q53" s="115">
        <f t="shared" si="15"/>
        <v>0</v>
      </c>
      <c r="R53" s="115">
        <f t="shared" si="15"/>
        <v>0</v>
      </c>
      <c r="S53" s="115">
        <f t="shared" si="15"/>
        <v>0</v>
      </c>
      <c r="T53" s="115">
        <f t="shared" si="15"/>
        <v>0</v>
      </c>
      <c r="U53" s="115">
        <f t="shared" si="15"/>
        <v>0</v>
      </c>
      <c r="V53" s="115">
        <f t="shared" si="15"/>
        <v>0</v>
      </c>
      <c r="W53" s="115">
        <f t="shared" si="15"/>
        <v>0</v>
      </c>
      <c r="X53" s="115">
        <f t="shared" si="15"/>
        <v>0</v>
      </c>
      <c r="Y53" s="115">
        <f t="shared" si="15"/>
        <v>0</v>
      </c>
      <c r="Z53" s="115">
        <f t="shared" si="15"/>
        <v>0</v>
      </c>
      <c r="AA53" s="115">
        <f t="shared" si="15"/>
        <v>0</v>
      </c>
    </row>
    <row r="54" spans="2:27" x14ac:dyDescent="0.25">
      <c r="B54" s="182">
        <v>1.1000000000000001</v>
      </c>
      <c r="C54" s="169" t="s">
        <v>321</v>
      </c>
      <c r="D54" s="181"/>
      <c r="E54" s="182" t="s">
        <v>120</v>
      </c>
      <c r="F54" s="115"/>
      <c r="G54" s="115"/>
      <c r="H54" s="115">
        <f>('表4-收入税金表'!H6+'表4-收入税金表'!H18)*(1-100%)+('表4-收入税金表'!H10+'表4-收入税金表'!H19)*(1-100%)</f>
        <v>0</v>
      </c>
      <c r="I54" s="115">
        <f>('表4-收入税金表'!I6+'表4-收入税金表'!I18)*(1-100%)+('表4-收入税金表'!I10+'表4-收入税金表'!I19)*(1-100%)</f>
        <v>0</v>
      </c>
      <c r="J54" s="115">
        <f>('表4-收入税金表'!J6+'表4-收入税金表'!J18)*(1-100%)+('表4-收入税金表'!J10+'表4-收入税金表'!J19)*(1-100%)</f>
        <v>0</v>
      </c>
      <c r="K54" s="115">
        <f>('表4-收入税金表'!K6+'表4-收入税金表'!K18)*(1-100%)+('表4-收入税金表'!K10+'表4-收入税金表'!K19)*(1-100%)</f>
        <v>0</v>
      </c>
      <c r="L54" s="115">
        <f>('表4-收入税金表'!L6+'表4-收入税金表'!L18)*(1-100%)+('表4-收入税金表'!L10+'表4-收入税金表'!L19)*(1-100%)</f>
        <v>0</v>
      </c>
      <c r="M54" s="115">
        <f>('表4-收入税金表'!M6+'表4-收入税金表'!M18)*(1-100%)+('表4-收入税金表'!M10+'表4-收入税金表'!M19)*(1-100%)</f>
        <v>0</v>
      </c>
      <c r="N54" s="115">
        <f>('表4-收入税金表'!N6+'表4-收入税金表'!N18)*(1-100%)+('表4-收入税金表'!N10+'表4-收入税金表'!N19)*(1-100%)</f>
        <v>0</v>
      </c>
      <c r="O54" s="115">
        <f>('表4-收入税金表'!O6+'表4-收入税金表'!O18)*(1-100%)+('表4-收入税金表'!O10+'表4-收入税金表'!O19)*(1-100%)</f>
        <v>0</v>
      </c>
      <c r="P54" s="115">
        <f>('表4-收入税金表'!P6+'表4-收入税金表'!P18)*(1-100%)+('表4-收入税金表'!P10+'表4-收入税金表'!P19)*(1-100%)</f>
        <v>0</v>
      </c>
      <c r="Q54" s="115">
        <f>('表4-收入税金表'!Q6+'表4-收入税金表'!Q18)*(1-100%)+('表4-收入税金表'!Q10+'表4-收入税金表'!Q19)*(1-100%)</f>
        <v>0</v>
      </c>
      <c r="R54" s="115">
        <f>('表4-收入税金表'!R6+'表4-收入税金表'!R18)*(1-100%)+('表4-收入税金表'!R10+'表4-收入税金表'!R19)*(1-100%)</f>
        <v>0</v>
      </c>
      <c r="S54" s="115">
        <f>('表4-收入税金表'!S6+'表4-收入税金表'!S18)*(1-100%)+('表4-收入税金表'!S10+'表4-收入税金表'!S19)*(1-100%)</f>
        <v>0</v>
      </c>
      <c r="T54" s="115">
        <f>('表4-收入税金表'!T6+'表4-收入税金表'!T18)*(1-100%)+('表4-收入税金表'!T10+'表4-收入税金表'!T19)*(1-100%)</f>
        <v>0</v>
      </c>
      <c r="U54" s="115">
        <f>('表4-收入税金表'!U6+'表4-收入税金表'!U18)*(1-100%)+('表4-收入税金表'!U10+'表4-收入税金表'!U19)*(1-100%)</f>
        <v>0</v>
      </c>
      <c r="V54" s="115">
        <f>('表4-收入税金表'!V6+'表4-收入税金表'!V18)*(1-100%)+('表4-收入税金表'!V10+'表4-收入税金表'!V19)*(1-100%)</f>
        <v>0</v>
      </c>
      <c r="W54" s="115">
        <f>('表4-收入税金表'!W6+'表4-收入税金表'!W18)*(1-100%)+('表4-收入税金表'!W10+'表4-收入税金表'!W19)*(1-100%)</f>
        <v>0</v>
      </c>
      <c r="X54" s="115">
        <f>('表4-收入税金表'!X6+'表4-收入税金表'!X18)*(1-100%)+('表4-收入税金表'!X10+'表4-收入税金表'!X19)*(1-100%)</f>
        <v>0</v>
      </c>
      <c r="Y54" s="115">
        <f>('表4-收入税金表'!Y6+'表4-收入税金表'!Y18)*(1-100%)+('表4-收入税金表'!Y10+'表4-收入税金表'!Y19)*(1-100%)</f>
        <v>0</v>
      </c>
      <c r="Z54" s="115">
        <f>('表4-收入税金表'!Z6+'表4-收入税金表'!Z18)*(1-100%)+('表4-收入税金表'!Z10+'表4-收入税金表'!Z19)*(1-100%)</f>
        <v>0</v>
      </c>
      <c r="AA54" s="115">
        <f>('表4-收入税金表'!AA6+'表4-收入税金表'!AA18)*(1-100%)+('表4-收入税金表'!AA10+'表4-收入税金表'!AA19)*(1-100%)</f>
        <v>0</v>
      </c>
    </row>
    <row r="55" spans="2:27" x14ac:dyDescent="0.25">
      <c r="B55" s="182">
        <v>1.2</v>
      </c>
      <c r="C55" s="169" t="s">
        <v>322</v>
      </c>
      <c r="D55" s="181"/>
      <c r="E55" s="182" t="s">
        <v>120</v>
      </c>
      <c r="F55" s="115"/>
      <c r="G55" s="115"/>
      <c r="H55" s="115"/>
      <c r="I55" s="115"/>
      <c r="J55" s="115"/>
      <c r="K55" s="115"/>
      <c r="L55" s="115"/>
      <c r="M55" s="115"/>
      <c r="N55" s="115"/>
      <c r="O55" s="115"/>
      <c r="P55" s="115"/>
      <c r="Q55" s="115"/>
      <c r="R55" s="115"/>
      <c r="S55" s="115"/>
      <c r="T55" s="115"/>
      <c r="U55" s="115"/>
      <c r="V55" s="115"/>
      <c r="W55" s="115"/>
      <c r="X55" s="115"/>
      <c r="Y55" s="115"/>
      <c r="Z55" s="115"/>
      <c r="AA55" s="115"/>
    </row>
    <row r="56" spans="2:27" x14ac:dyDescent="0.25">
      <c r="B56" s="182">
        <v>1.3</v>
      </c>
      <c r="C56" s="169" t="s">
        <v>457</v>
      </c>
      <c r="D56" s="181"/>
      <c r="E56" s="182" t="s">
        <v>120</v>
      </c>
      <c r="F56" s="115"/>
      <c r="G56" s="115"/>
      <c r="H56" s="115"/>
      <c r="I56" s="115"/>
      <c r="J56" s="115"/>
      <c r="K56" s="115"/>
      <c r="L56" s="115"/>
      <c r="M56" s="115"/>
      <c r="N56" s="115"/>
      <c r="O56" s="115"/>
      <c r="P56" s="115"/>
      <c r="Q56" s="115"/>
      <c r="R56" s="115"/>
      <c r="S56" s="115"/>
      <c r="T56" s="115"/>
      <c r="U56" s="115"/>
      <c r="V56" s="115"/>
      <c r="W56" s="115"/>
      <c r="X56" s="115"/>
      <c r="Y56" s="115"/>
      <c r="Z56" s="115"/>
      <c r="AA56" s="115"/>
    </row>
    <row r="57" spans="2:27" x14ac:dyDescent="0.25">
      <c r="B57" s="182">
        <v>1.4</v>
      </c>
      <c r="C57" s="169" t="s">
        <v>458</v>
      </c>
      <c r="D57" s="181"/>
      <c r="E57" s="182" t="s">
        <v>120</v>
      </c>
      <c r="F57" s="115"/>
      <c r="G57" s="115"/>
      <c r="H57" s="115"/>
      <c r="I57" s="115"/>
      <c r="J57" s="115"/>
      <c r="K57" s="115"/>
      <c r="L57" s="115"/>
      <c r="M57" s="115"/>
      <c r="N57" s="115"/>
      <c r="O57" s="115"/>
      <c r="P57" s="115"/>
      <c r="Q57" s="115"/>
      <c r="R57" s="115"/>
      <c r="S57" s="115"/>
      <c r="T57" s="115"/>
      <c r="U57" s="115"/>
      <c r="V57" s="115"/>
      <c r="W57" s="115"/>
      <c r="X57" s="115"/>
      <c r="Y57" s="115"/>
      <c r="Z57" s="115"/>
      <c r="AA57" s="115"/>
    </row>
    <row r="58" spans="2:27" x14ac:dyDescent="0.25">
      <c r="B58" s="178" t="s">
        <v>340</v>
      </c>
      <c r="C58" s="180" t="s">
        <v>324</v>
      </c>
      <c r="D58" s="181"/>
      <c r="E58" s="182" t="s">
        <v>120</v>
      </c>
      <c r="F58" s="115">
        <f>SUM(F59:F60)</f>
        <v>0</v>
      </c>
      <c r="G58" s="115">
        <f t="shared" ref="G58:AA58" si="16">SUM(G59:G60)</f>
        <v>0</v>
      </c>
      <c r="H58" s="115">
        <f t="shared" si="16"/>
        <v>0</v>
      </c>
      <c r="I58" s="115">
        <f t="shared" si="16"/>
        <v>0</v>
      </c>
      <c r="J58" s="115">
        <f t="shared" si="16"/>
        <v>0</v>
      </c>
      <c r="K58" s="115">
        <f t="shared" si="16"/>
        <v>0</v>
      </c>
      <c r="L58" s="115">
        <f t="shared" si="16"/>
        <v>0</v>
      </c>
      <c r="M58" s="115">
        <f t="shared" si="16"/>
        <v>0</v>
      </c>
      <c r="N58" s="115">
        <f t="shared" si="16"/>
        <v>0</v>
      </c>
      <c r="O58" s="115">
        <f t="shared" si="16"/>
        <v>0</v>
      </c>
      <c r="P58" s="115">
        <f t="shared" si="16"/>
        <v>0</v>
      </c>
      <c r="Q58" s="115">
        <f t="shared" si="16"/>
        <v>0</v>
      </c>
      <c r="R58" s="115">
        <f t="shared" si="16"/>
        <v>0</v>
      </c>
      <c r="S58" s="115">
        <f t="shared" si="16"/>
        <v>0</v>
      </c>
      <c r="T58" s="115">
        <f t="shared" si="16"/>
        <v>0</v>
      </c>
      <c r="U58" s="115">
        <f t="shared" si="16"/>
        <v>0</v>
      </c>
      <c r="V58" s="115">
        <f t="shared" si="16"/>
        <v>0</v>
      </c>
      <c r="W58" s="115">
        <f t="shared" si="16"/>
        <v>0</v>
      </c>
      <c r="X58" s="115">
        <f t="shared" si="16"/>
        <v>0</v>
      </c>
      <c r="Y58" s="115">
        <f t="shared" si="16"/>
        <v>0</v>
      </c>
      <c r="Z58" s="115">
        <f t="shared" si="16"/>
        <v>0</v>
      </c>
      <c r="AA58" s="115">
        <f t="shared" si="16"/>
        <v>0</v>
      </c>
    </row>
    <row r="59" spans="2:27" x14ac:dyDescent="0.25">
      <c r="B59" s="182">
        <v>2.1</v>
      </c>
      <c r="C59" s="169" t="s">
        <v>459</v>
      </c>
      <c r="D59" s="181"/>
      <c r="E59" s="182" t="s">
        <v>120</v>
      </c>
      <c r="F59" s="115"/>
      <c r="G59" s="115"/>
      <c r="H59" s="115"/>
      <c r="I59" s="115"/>
      <c r="J59" s="115"/>
      <c r="K59" s="115"/>
      <c r="L59" s="115"/>
      <c r="M59" s="115"/>
      <c r="N59" s="115"/>
      <c r="O59" s="115"/>
      <c r="P59" s="115"/>
      <c r="Q59" s="115"/>
      <c r="R59" s="115"/>
      <c r="S59" s="115"/>
      <c r="T59" s="115"/>
      <c r="U59" s="115"/>
      <c r="V59" s="115"/>
      <c r="W59" s="115"/>
      <c r="X59" s="115"/>
      <c r="Y59" s="115"/>
      <c r="Z59" s="115"/>
      <c r="AA59" s="115"/>
    </row>
    <row r="60" spans="2:27" x14ac:dyDescent="0.25">
      <c r="B60" s="182">
        <v>2.2000000000000002</v>
      </c>
      <c r="C60" s="169" t="s">
        <v>460</v>
      </c>
      <c r="D60" s="181"/>
      <c r="E60" s="182" t="s">
        <v>120</v>
      </c>
      <c r="F60" s="115"/>
      <c r="G60" s="115"/>
      <c r="H60" s="115"/>
      <c r="I60" s="115"/>
      <c r="J60" s="115"/>
      <c r="K60" s="115"/>
      <c r="L60" s="115"/>
      <c r="M60" s="115"/>
      <c r="N60" s="115"/>
      <c r="O60" s="115"/>
      <c r="P60" s="115"/>
      <c r="Q60" s="115"/>
      <c r="R60" s="115"/>
      <c r="S60" s="115"/>
      <c r="T60" s="115"/>
      <c r="U60" s="115"/>
      <c r="V60" s="115"/>
      <c r="W60" s="115"/>
      <c r="X60" s="115"/>
      <c r="Y60" s="115"/>
      <c r="Z60" s="115"/>
      <c r="AA60" s="115"/>
    </row>
    <row r="61" spans="2:27" x14ac:dyDescent="0.25">
      <c r="B61" s="178" t="s">
        <v>341</v>
      </c>
      <c r="C61" s="180" t="s">
        <v>28</v>
      </c>
      <c r="D61" s="181"/>
      <c r="E61" s="182" t="s">
        <v>120</v>
      </c>
      <c r="F61" s="115">
        <f>F53-F58</f>
        <v>0</v>
      </c>
      <c r="G61" s="115">
        <f t="shared" ref="G61:AA61" si="17">G53-G58</f>
        <v>0</v>
      </c>
      <c r="H61" s="115">
        <f t="shared" si="17"/>
        <v>0</v>
      </c>
      <c r="I61" s="115">
        <f t="shared" si="17"/>
        <v>0</v>
      </c>
      <c r="J61" s="115">
        <f t="shared" si="17"/>
        <v>0</v>
      </c>
      <c r="K61" s="115">
        <f t="shared" si="17"/>
        <v>0</v>
      </c>
      <c r="L61" s="115">
        <f t="shared" si="17"/>
        <v>0</v>
      </c>
      <c r="M61" s="115">
        <f t="shared" si="17"/>
        <v>0</v>
      </c>
      <c r="N61" s="115">
        <f t="shared" si="17"/>
        <v>0</v>
      </c>
      <c r="O61" s="115">
        <f t="shared" si="17"/>
        <v>0</v>
      </c>
      <c r="P61" s="115">
        <f t="shared" si="17"/>
        <v>0</v>
      </c>
      <c r="Q61" s="115">
        <f t="shared" si="17"/>
        <v>0</v>
      </c>
      <c r="R61" s="115">
        <f t="shared" si="17"/>
        <v>0</v>
      </c>
      <c r="S61" s="115">
        <f t="shared" si="17"/>
        <v>0</v>
      </c>
      <c r="T61" s="115">
        <f t="shared" si="17"/>
        <v>0</v>
      </c>
      <c r="U61" s="115">
        <f t="shared" si="17"/>
        <v>0</v>
      </c>
      <c r="V61" s="115">
        <f t="shared" si="17"/>
        <v>0</v>
      </c>
      <c r="W61" s="115">
        <f t="shared" si="17"/>
        <v>0</v>
      </c>
      <c r="X61" s="115">
        <f t="shared" si="17"/>
        <v>0</v>
      </c>
      <c r="Y61" s="115">
        <f t="shared" si="17"/>
        <v>0</v>
      </c>
      <c r="Z61" s="115">
        <f t="shared" si="17"/>
        <v>0</v>
      </c>
      <c r="AA61" s="115">
        <f t="shared" si="17"/>
        <v>0</v>
      </c>
    </row>
    <row r="62" spans="2:27" x14ac:dyDescent="0.25">
      <c r="B62" s="178" t="s">
        <v>343</v>
      </c>
      <c r="C62" s="180" t="s">
        <v>461</v>
      </c>
      <c r="D62" s="115"/>
      <c r="E62" s="182" t="s">
        <v>120</v>
      </c>
      <c r="F62" s="115">
        <f>F61</f>
        <v>0</v>
      </c>
      <c r="G62" s="115">
        <f>G61-F61</f>
        <v>0</v>
      </c>
      <c r="H62" s="115">
        <f t="shared" ref="H62:AA62" si="18">H61-G61</f>
        <v>0</v>
      </c>
      <c r="I62" s="115">
        <f t="shared" si="18"/>
        <v>0</v>
      </c>
      <c r="J62" s="115">
        <f t="shared" si="18"/>
        <v>0</v>
      </c>
      <c r="K62" s="115">
        <f t="shared" si="18"/>
        <v>0</v>
      </c>
      <c r="L62" s="115">
        <f t="shared" si="18"/>
        <v>0</v>
      </c>
      <c r="M62" s="115">
        <f t="shared" si="18"/>
        <v>0</v>
      </c>
      <c r="N62" s="115">
        <f t="shared" si="18"/>
        <v>0</v>
      </c>
      <c r="O62" s="115">
        <f t="shared" si="18"/>
        <v>0</v>
      </c>
      <c r="P62" s="115">
        <f t="shared" si="18"/>
        <v>0</v>
      </c>
      <c r="Q62" s="115">
        <f t="shared" si="18"/>
        <v>0</v>
      </c>
      <c r="R62" s="115">
        <f t="shared" si="18"/>
        <v>0</v>
      </c>
      <c r="S62" s="115">
        <f t="shared" si="18"/>
        <v>0</v>
      </c>
      <c r="T62" s="115">
        <f t="shared" si="18"/>
        <v>0</v>
      </c>
      <c r="U62" s="115">
        <f t="shared" si="18"/>
        <v>0</v>
      </c>
      <c r="V62" s="115">
        <f t="shared" si="18"/>
        <v>0</v>
      </c>
      <c r="W62" s="115">
        <f t="shared" si="18"/>
        <v>0</v>
      </c>
      <c r="X62" s="115">
        <f t="shared" si="18"/>
        <v>0</v>
      </c>
      <c r="Y62" s="115">
        <f t="shared" si="18"/>
        <v>0</v>
      </c>
      <c r="Z62" s="115">
        <f t="shared" si="18"/>
        <v>0</v>
      </c>
      <c r="AA62" s="115">
        <f t="shared" si="18"/>
        <v>0</v>
      </c>
    </row>
    <row r="64" spans="2:27" x14ac:dyDescent="0.25">
      <c r="C64" s="119" t="s">
        <v>462</v>
      </c>
    </row>
    <row r="65" spans="3:3" x14ac:dyDescent="0.25">
      <c r="C65" s="119" t="s">
        <v>463</v>
      </c>
    </row>
  </sheetData>
  <mergeCells count="12">
    <mergeCell ref="F3:G3"/>
    <mergeCell ref="H3:AA3"/>
    <mergeCell ref="F51:G51"/>
    <mergeCell ref="H51:AA51"/>
    <mergeCell ref="B3:B4"/>
    <mergeCell ref="B51:B52"/>
    <mergeCell ref="C3:C4"/>
    <mergeCell ref="C51:C52"/>
    <mergeCell ref="D3:D4"/>
    <mergeCell ref="D51:D52"/>
    <mergeCell ref="E3:E4"/>
    <mergeCell ref="E51:E52"/>
  </mergeCells>
  <phoneticPr fontId="65" type="noConversion"/>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AA41"/>
  <sheetViews>
    <sheetView showGridLines="0" zoomScale="60" zoomScaleNormal="60" workbookViewId="0">
      <selection activeCell="H8" sqref="H8"/>
    </sheetView>
  </sheetViews>
  <sheetFormatPr defaultColWidth="8.81640625" defaultRowHeight="16.5" x14ac:dyDescent="0.25"/>
  <cols>
    <col min="1" max="1" width="2.36328125" style="91" customWidth="1"/>
    <col min="2" max="2" width="8.81640625" style="91"/>
    <col min="3" max="3" width="35" style="91" customWidth="1"/>
    <col min="4" max="4" width="17.36328125" style="91" customWidth="1"/>
    <col min="5" max="5" width="10.81640625" style="91" customWidth="1"/>
    <col min="6" max="17" width="12.453125" style="91" customWidth="1"/>
    <col min="18" max="18" width="12.453125" style="133" customWidth="1"/>
    <col min="19" max="27" width="12.453125" style="91" customWidth="1"/>
    <col min="28" max="16384" width="8.81640625" style="91"/>
  </cols>
  <sheetData>
    <row r="1" spans="2:27" ht="8.5" customHeight="1" x14ac:dyDescent="0.25"/>
    <row r="2" spans="2:27" ht="18.649999999999999" customHeight="1" x14ac:dyDescent="0.25">
      <c r="B2" s="92" t="s">
        <v>464</v>
      </c>
    </row>
    <row r="3" spans="2:27" x14ac:dyDescent="0.25">
      <c r="B3" s="433" t="s">
        <v>14</v>
      </c>
      <c r="C3" s="433" t="s">
        <v>318</v>
      </c>
      <c r="D3" s="433" t="s">
        <v>306</v>
      </c>
      <c r="E3" s="433" t="s">
        <v>38</v>
      </c>
      <c r="F3" s="417" t="s">
        <v>93</v>
      </c>
      <c r="G3" s="417"/>
      <c r="H3" s="418" t="s">
        <v>103</v>
      </c>
      <c r="I3" s="418"/>
      <c r="J3" s="418"/>
      <c r="K3" s="418"/>
      <c r="L3" s="418"/>
      <c r="M3" s="418"/>
      <c r="N3" s="418"/>
      <c r="O3" s="418"/>
      <c r="P3" s="418"/>
      <c r="Q3" s="418"/>
      <c r="R3" s="432"/>
      <c r="S3" s="418"/>
      <c r="T3" s="418"/>
      <c r="U3" s="418"/>
      <c r="V3" s="418"/>
      <c r="W3" s="418"/>
      <c r="X3" s="418"/>
      <c r="Y3" s="418"/>
      <c r="Z3" s="418"/>
      <c r="AA3" s="418"/>
    </row>
    <row r="4" spans="2:27" x14ac:dyDescent="0.25">
      <c r="B4" s="434"/>
      <c r="C4" s="434"/>
      <c r="D4" s="434"/>
      <c r="E4" s="434"/>
      <c r="F4" s="93">
        <v>1</v>
      </c>
      <c r="G4" s="93">
        <v>2</v>
      </c>
      <c r="H4" s="94">
        <v>1</v>
      </c>
      <c r="I4" s="94">
        <v>2</v>
      </c>
      <c r="J4" s="94">
        <v>3</v>
      </c>
      <c r="K4" s="94">
        <v>4</v>
      </c>
      <c r="L4" s="94">
        <v>5</v>
      </c>
      <c r="M4" s="94">
        <v>6</v>
      </c>
      <c r="N4" s="94">
        <v>7</v>
      </c>
      <c r="O4" s="94">
        <v>8</v>
      </c>
      <c r="P4" s="94">
        <v>9</v>
      </c>
      <c r="Q4" s="94">
        <v>10</v>
      </c>
      <c r="R4" s="135">
        <v>11</v>
      </c>
      <c r="S4" s="94">
        <v>12</v>
      </c>
      <c r="T4" s="94">
        <v>13</v>
      </c>
      <c r="U4" s="94">
        <v>14</v>
      </c>
      <c r="V4" s="94">
        <v>15</v>
      </c>
      <c r="W4" s="94">
        <v>16</v>
      </c>
      <c r="X4" s="94">
        <v>17</v>
      </c>
      <c r="Y4" s="94">
        <v>18</v>
      </c>
      <c r="Z4" s="94">
        <v>19</v>
      </c>
      <c r="AA4" s="94">
        <v>20</v>
      </c>
    </row>
    <row r="5" spans="2:27" x14ac:dyDescent="0.25">
      <c r="B5" s="95">
        <v>1</v>
      </c>
      <c r="C5" s="96" t="s">
        <v>465</v>
      </c>
      <c r="D5" s="97">
        <f t="shared" ref="D5:D34" si="0">SUM(F5:AA5)</f>
        <v>373365.73584905674</v>
      </c>
      <c r="E5" s="103" t="s">
        <v>120</v>
      </c>
      <c r="F5" s="136"/>
      <c r="G5" s="136"/>
      <c r="H5" s="137">
        <f>H6+H7</f>
        <v>25177.720754716982</v>
      </c>
      <c r="I5" s="137">
        <f t="shared" ref="I5:AA5" si="1">I6+I7</f>
        <v>17630.550943396229</v>
      </c>
      <c r="J5" s="137">
        <f t="shared" si="1"/>
        <v>17630.550943396229</v>
      </c>
      <c r="K5" s="137">
        <f t="shared" si="1"/>
        <v>17630.550943396229</v>
      </c>
      <c r="L5" s="137">
        <f t="shared" si="1"/>
        <v>17630.550943396229</v>
      </c>
      <c r="M5" s="137">
        <f t="shared" si="1"/>
        <v>17630.550943396229</v>
      </c>
      <c r="N5" s="137">
        <f t="shared" si="1"/>
        <v>18573.947169811323</v>
      </c>
      <c r="O5" s="137">
        <f t="shared" si="1"/>
        <v>18573.947169811323</v>
      </c>
      <c r="P5" s="137">
        <f t="shared" si="1"/>
        <v>18573.947169811323</v>
      </c>
      <c r="Q5" s="137">
        <f t="shared" si="1"/>
        <v>18573.947169811323</v>
      </c>
      <c r="R5" s="138">
        <f t="shared" si="1"/>
        <v>18573.947169811323</v>
      </c>
      <c r="S5" s="137">
        <f t="shared" si="1"/>
        <v>18573.947169811323</v>
      </c>
      <c r="T5" s="137">
        <f t="shared" si="1"/>
        <v>18573.947169811323</v>
      </c>
      <c r="U5" s="137">
        <f t="shared" si="1"/>
        <v>18573.947169811323</v>
      </c>
      <c r="V5" s="137">
        <f t="shared" si="1"/>
        <v>18573.947169811323</v>
      </c>
      <c r="W5" s="137">
        <f t="shared" si="1"/>
        <v>18573.947169811323</v>
      </c>
      <c r="X5" s="137">
        <f t="shared" si="1"/>
        <v>18573.947169811323</v>
      </c>
      <c r="Y5" s="137">
        <f t="shared" si="1"/>
        <v>18573.947169811323</v>
      </c>
      <c r="Z5" s="137">
        <f t="shared" si="1"/>
        <v>18573.947169811323</v>
      </c>
      <c r="AA5" s="137">
        <f t="shared" si="1"/>
        <v>18573.947169811323</v>
      </c>
    </row>
    <row r="6" spans="2:27" x14ac:dyDescent="0.25">
      <c r="B6" s="100">
        <v>1.1000000000000001</v>
      </c>
      <c r="C6" s="101" t="s">
        <v>421</v>
      </c>
      <c r="D6" s="102">
        <f t="shared" si="0"/>
        <v>373365.73584905674</v>
      </c>
      <c r="E6" s="103" t="s">
        <v>120</v>
      </c>
      <c r="F6" s="104"/>
      <c r="G6" s="104"/>
      <c r="H6" s="104">
        <f>'表4-收入税金表'!H6</f>
        <v>25177.720754716982</v>
      </c>
      <c r="I6" s="104">
        <f>'表4-收入税金表'!I6</f>
        <v>17630.550943396229</v>
      </c>
      <c r="J6" s="104">
        <f>'表4-收入税金表'!J6</f>
        <v>17630.550943396229</v>
      </c>
      <c r="K6" s="104">
        <f>'表4-收入税金表'!K6</f>
        <v>17630.550943396229</v>
      </c>
      <c r="L6" s="104">
        <f>'表4-收入税金表'!L6</f>
        <v>17630.550943396229</v>
      </c>
      <c r="M6" s="104">
        <f>'表4-收入税金表'!M6</f>
        <v>17630.550943396229</v>
      </c>
      <c r="N6" s="104">
        <f>'表4-收入税金表'!N6</f>
        <v>18573.947169811323</v>
      </c>
      <c r="O6" s="104">
        <f>'表4-收入税金表'!O6</f>
        <v>18573.947169811323</v>
      </c>
      <c r="P6" s="104">
        <f>'表4-收入税金表'!P6</f>
        <v>18573.947169811323</v>
      </c>
      <c r="Q6" s="104">
        <f>'表4-收入税金表'!Q6</f>
        <v>18573.947169811323</v>
      </c>
      <c r="R6" s="139">
        <f>'表4-收入税金表'!R6</f>
        <v>18573.947169811323</v>
      </c>
      <c r="S6" s="104">
        <f>'表4-收入税金表'!S6</f>
        <v>18573.947169811323</v>
      </c>
      <c r="T6" s="104">
        <f>'表4-收入税金表'!T6</f>
        <v>18573.947169811323</v>
      </c>
      <c r="U6" s="104">
        <f>'表4-收入税金表'!U6</f>
        <v>18573.947169811323</v>
      </c>
      <c r="V6" s="104">
        <f>'表4-收入税金表'!V6</f>
        <v>18573.947169811323</v>
      </c>
      <c r="W6" s="104">
        <f>'表4-收入税金表'!W6</f>
        <v>18573.947169811323</v>
      </c>
      <c r="X6" s="104">
        <f>'表4-收入税金表'!X6</f>
        <v>18573.947169811323</v>
      </c>
      <c r="Y6" s="104">
        <f>'表4-收入税金表'!Y6</f>
        <v>18573.947169811323</v>
      </c>
      <c r="Z6" s="104">
        <f>'表4-收入税金表'!Z6</f>
        <v>18573.947169811323</v>
      </c>
      <c r="AA6" s="104">
        <f>'表4-收入税金表'!AA6</f>
        <v>18573.947169811323</v>
      </c>
    </row>
    <row r="7" spans="2:27" x14ac:dyDescent="0.25">
      <c r="B7" s="105">
        <v>1.2</v>
      </c>
      <c r="C7" s="106" t="s">
        <v>122</v>
      </c>
      <c r="D7" s="102">
        <f t="shared" si="0"/>
        <v>0</v>
      </c>
      <c r="E7" s="103" t="s">
        <v>120</v>
      </c>
      <c r="F7" s="104"/>
      <c r="G7" s="104"/>
      <c r="H7" s="104">
        <f>'表4-收入税金表'!H10</f>
        <v>0</v>
      </c>
      <c r="I7" s="104">
        <f>'表4-收入税金表'!I10</f>
        <v>0</v>
      </c>
      <c r="J7" s="104">
        <f>'表4-收入税金表'!J10</f>
        <v>0</v>
      </c>
      <c r="K7" s="104">
        <f>'表4-收入税金表'!K10</f>
        <v>0</v>
      </c>
      <c r="L7" s="104">
        <f>'表4-收入税金表'!L10</f>
        <v>0</v>
      </c>
      <c r="M7" s="104">
        <f>'表4-收入税金表'!M10</f>
        <v>0</v>
      </c>
      <c r="N7" s="104">
        <f>'表4-收入税金表'!N10</f>
        <v>0</v>
      </c>
      <c r="O7" s="104">
        <f>'表4-收入税金表'!O10</f>
        <v>0</v>
      </c>
      <c r="P7" s="104">
        <f>'表4-收入税金表'!P10</f>
        <v>0</v>
      </c>
      <c r="Q7" s="104">
        <f>'表4-收入税金表'!Q10</f>
        <v>0</v>
      </c>
      <c r="R7" s="139">
        <f>'表4-收入税金表'!R10</f>
        <v>0</v>
      </c>
      <c r="S7" s="104">
        <f>'表4-收入税金表'!S10</f>
        <v>0</v>
      </c>
      <c r="T7" s="104">
        <f>'表4-收入税金表'!T10</f>
        <v>0</v>
      </c>
      <c r="U7" s="104">
        <f>'表4-收入税金表'!U10</f>
        <v>0</v>
      </c>
      <c r="V7" s="104">
        <f>'表4-收入税金表'!V10</f>
        <v>0</v>
      </c>
      <c r="W7" s="104">
        <f>'表4-收入税金表'!W10</f>
        <v>0</v>
      </c>
      <c r="X7" s="104">
        <f>'表4-收入税金表'!X10</f>
        <v>0</v>
      </c>
      <c r="Y7" s="104">
        <f>'表4-收入税金表'!Y10</f>
        <v>0</v>
      </c>
      <c r="Z7" s="104">
        <f>'表4-收入税金表'!Z10</f>
        <v>0</v>
      </c>
      <c r="AA7" s="104">
        <f>'表4-收入税金表'!AA10</f>
        <v>0</v>
      </c>
    </row>
    <row r="8" spans="2:27" x14ac:dyDescent="0.25">
      <c r="B8" s="107">
        <v>2</v>
      </c>
      <c r="C8" s="108" t="s">
        <v>394</v>
      </c>
      <c r="D8" s="97">
        <f t="shared" ca="1" si="0"/>
        <v>335351.0727652671</v>
      </c>
      <c r="E8" s="103" t="s">
        <v>120</v>
      </c>
      <c r="F8" s="104"/>
      <c r="G8" s="104"/>
      <c r="H8" s="99">
        <f ca="1">'表3-成本费用表'!H5</f>
        <v>18348.333232432404</v>
      </c>
      <c r="I8" s="99">
        <f ca="1">'表3-成本费用表'!I49-'表3-成本费用表'!I53+'表3-成本费用表'!I15+'表3-成本费用表'!I16+'表3-成本费用表'!I19+'表3-成本费用表'!I20+'表2-折旧摊销表'!I52</f>
        <v>18218.571567384628</v>
      </c>
      <c r="J8" s="99">
        <f ca="1">'表3-成本费用表'!J49-'表3-成本费用表'!J53+'表3-成本费用表'!J15+'表3-成本费用表'!J16+'表3-成本费用表'!J19+'表3-成本费用表'!J20+'表2-折旧摊销表'!J52</f>
        <v>18088.822675965181</v>
      </c>
      <c r="K8" s="99">
        <f ca="1">'表3-成本费用表'!K49-'表3-成本费用表'!K53+'表3-成本费用表'!K15+'表3-成本费用表'!K16+'表3-成本费用表'!K19+'表3-成本费用表'!K20+'表2-折旧摊销表'!K52</f>
        <v>17959.08650069272</v>
      </c>
      <c r="L8" s="99">
        <f ca="1">'表3-成本费用表'!L49-'表3-成本费用表'!L53+'表3-成本费用表'!L15+'表3-成本费用表'!L16+'表3-成本费用表'!L19+'表3-成本费用表'!L20+'表2-折旧摊销表'!L52</f>
        <v>17829.362984344589</v>
      </c>
      <c r="M8" s="99">
        <f ca="1">'表3-成本费用表'!M49-'表3-成本费用表'!M53+'表3-成本费用表'!M15+'表3-成本费用表'!M16+'表3-成本费用表'!M19+'表3-成本费用表'!M20+'表2-折旧摊销表'!M52</f>
        <v>18526.787081800292</v>
      </c>
      <c r="N8" s="99">
        <f ca="1">'表3-成本费用表'!N49-'表3-成本费用表'!N53+'表3-成本费用表'!N15+'表3-成本费用表'!N16+'表3-成本费用表'!N19+'表3-成本费用表'!N20+'表2-折旧摊销表'!N52</f>
        <v>18388.487438294225</v>
      </c>
      <c r="O8" s="99">
        <f ca="1">'表3-成本费用表'!O49-'表3-成本费用表'!O53+'表3-成本费用表'!O15+'表3-成本费用表'!O16+'表3-成本费用表'!O19+'表3-成本费用表'!O20+'表2-折旧摊销表'!O52</f>
        <v>18250.234419629269</v>
      </c>
      <c r="P8" s="99">
        <f ca="1">'表3-成本费用表'!P49-'表3-成本费用表'!P53+'表3-成本费用表'!P15+'表3-成本费用表'!P16+'表3-成本费用表'!P19+'表3-成本费用表'!P20+'表2-折旧摊销表'!P52</f>
        <v>18112.02781599365</v>
      </c>
      <c r="Q8" s="99">
        <f ca="1">'表3-成本费用表'!Q49-'表3-成本费用表'!Q53+'表3-成本费用表'!Q15+'表3-成本费用表'!Q16+'表3-成本费用表'!Q19+'表3-成本费用表'!Q20+'表2-折旧摊销表'!Q52</f>
        <v>17973.867418519731</v>
      </c>
      <c r="R8" s="140">
        <f ca="1">'表3-成本费用表'!R49-'表3-成本费用表'!R53+'表3-成本费用表'!R15+'表3-成本费用表'!R16+'表3-成本费用表'!R19+'表3-成本费用表'!R20+'表2-折旧摊销表'!R52</f>
        <v>17011.401942664954</v>
      </c>
      <c r="S8" s="99">
        <f ca="1">'表3-成本费用表'!S49-'表3-成本费用表'!S53+'表3-成本费用表'!S15+'表3-成本费用表'!S16+'表3-成本费用表'!S19+'表3-成本费用表'!S20+'表2-折旧摊销表'!S52</f>
        <v>16908.731564755417</v>
      </c>
      <c r="T8" s="99">
        <f ca="1">'表3-成本费用表'!T49-'表3-成本费用表'!T53+'表3-成本费用表'!T15+'表3-成本费用表'!T16+'表3-成本费用表'!T19+'表3-成本费用表'!T20+'表2-折旧摊销表'!T52</f>
        <v>16770.708541938711</v>
      </c>
      <c r="U8" s="99">
        <f ca="1">'表3-成本费用表'!U49-'表3-成本费用表'!U53+'表3-成本费用表'!U15+'表3-成本费用表'!U16+'表3-成本费用表'!U19+'表3-成本费用表'!U20+'表2-折旧摊销表'!U52</f>
        <v>16632.730899170019</v>
      </c>
      <c r="V8" s="99">
        <f ca="1">'表3-成本费用表'!V49-'表3-成本费用表'!V53+'表3-成本费用表'!V15+'表3-成本费用表'!V16+'表3-成本费用表'!V19+'表3-成本费用表'!V20+'表2-折旧摊销表'!V52</f>
        <v>16494.798432239128</v>
      </c>
      <c r="W8" s="99">
        <f ca="1">'表3-成本费用表'!W49-'表3-成本费用表'!W53+'表3-成本费用表'!W15+'表3-成本费用表'!W16+'表3-成本费用表'!W19+'表3-成本费用表'!W20+'表2-折旧摊销表'!W52</f>
        <v>13992.423956855278</v>
      </c>
      <c r="X8" s="99">
        <f ca="1">'表3-成本费用表'!X49-'表3-成本费用表'!X53+'表3-成本费用表'!X15+'表3-成本费用表'!X16+'表3-成本费用表'!X19+'表3-成本费用表'!X20+'表2-折旧摊销表'!X52</f>
        <v>13979.879534856893</v>
      </c>
      <c r="Y8" s="99">
        <f ca="1">'表3-成本费用表'!Y49-'表3-成本费用表'!Y53+'表3-成本费用表'!Y15+'表3-成本费用表'!Y16+'表3-成本费用表'!Y19+'表3-成本费用表'!Y20+'表2-折旧摊销表'!Y52</f>
        <v>13967.379681562807</v>
      </c>
      <c r="Z8" s="99">
        <f ca="1">'表3-成本费用表'!Z49-'表3-成本费用表'!Z53+'表3-成本费用表'!Z15+'表3-成本费用表'!Z16+'表3-成本费用表'!Z19+'表3-成本费用表'!Z20+'表2-折旧摊销表'!Z52</f>
        <v>13954.924196413855</v>
      </c>
      <c r="AA8" s="99">
        <f ca="1">'表3-成本费用表'!AA49-'表3-成本费用表'!AA53+'表3-成本费用表'!AA15+'表3-成本费用表'!AA16+'表3-成本费用表'!AA19+'表3-成本费用表'!AA20+'表2-折旧摊销表'!AA52</f>
        <v>13942.512879753385</v>
      </c>
    </row>
    <row r="9" spans="2:27" s="133" customFormat="1" x14ac:dyDescent="0.25">
      <c r="B9" s="141">
        <v>3</v>
      </c>
      <c r="C9" s="142" t="s">
        <v>466</v>
      </c>
      <c r="D9" s="143">
        <f t="shared" ca="1" si="0"/>
        <v>709.49645238497851</v>
      </c>
      <c r="E9" s="144" t="s">
        <v>120</v>
      </c>
      <c r="F9" s="139"/>
      <c r="G9" s="139"/>
      <c r="H9" s="140">
        <f ca="1">'表4-收入税金表'!H40+'表4-收入税金表'!H44</f>
        <v>0</v>
      </c>
      <c r="I9" s="140">
        <f ca="1">'表4-收入税金表'!I40+'表4-收入税金表'!I44</f>
        <v>0</v>
      </c>
      <c r="J9" s="140">
        <f ca="1">'表4-收入税金表'!J40+'表4-收入税金表'!J44</f>
        <v>0</v>
      </c>
      <c r="K9" s="140">
        <f ca="1">'表4-收入税金表'!K40+'表4-收入税金表'!K44</f>
        <v>0</v>
      </c>
      <c r="L9" s="140">
        <f ca="1">'表4-收入税金表'!L40+'表4-收入税金表'!L44</f>
        <v>0</v>
      </c>
      <c r="M9" s="140">
        <f ca="1">'表4-收入税金表'!M40+'表4-收入税金表'!M44</f>
        <v>0</v>
      </c>
      <c r="N9" s="140">
        <f ca="1">'表4-收入税金表'!N40+'表4-收入税金表'!N44</f>
        <v>0</v>
      </c>
      <c r="O9" s="140">
        <f ca="1">'表4-收入税金表'!O40+'表4-收入税金表'!O44</f>
        <v>52.100827654672948</v>
      </c>
      <c r="P9" s="140">
        <f ca="1">'表4-收入税金表'!P40+'表4-收入税金表'!P44</f>
        <v>54.639561418046043</v>
      </c>
      <c r="Q9" s="140">
        <f ca="1">'表4-收入税金表'!Q40+'表4-收入税金表'!Q44</f>
        <v>54.806768656400195</v>
      </c>
      <c r="R9" s="140">
        <f ca="1">'表4-收入税金表'!R40+'表4-收入税金表'!R44</f>
        <v>54.630143404438371</v>
      </c>
      <c r="S9" s="140">
        <f ca="1">'表4-收入税金表'!S40+'表4-收入税金表'!S44</f>
        <v>49.043944990225427</v>
      </c>
      <c r="T9" s="140">
        <f ca="1">'表4-收入税金表'!T40+'表4-收入税金表'!T44</f>
        <v>54.961578747416269</v>
      </c>
      <c r="U9" s="140">
        <f ca="1">'表4-收入税金表'!U40+'表4-收入税金表'!U44</f>
        <v>55.126410174602398</v>
      </c>
      <c r="V9" s="140">
        <f ca="1">'表4-收入税金表'!V40+'表4-收入税金表'!V44</f>
        <v>55.290654315897157</v>
      </c>
      <c r="W9" s="140">
        <f ca="1">'表4-收入税金表'!W40+'表4-收入税金表'!W44</f>
        <v>55.454313814087072</v>
      </c>
      <c r="X9" s="140">
        <f ca="1">'表4-收入税金表'!X40+'表4-收入税金表'!X44</f>
        <v>55.617391300066089</v>
      </c>
      <c r="Y9" s="140">
        <f ca="1">'表4-收入税金表'!Y40+'表4-收入税金表'!Y44</f>
        <v>55.779889392889217</v>
      </c>
      <c r="Z9" s="140">
        <f ca="1">'表4-收入税金表'!Z40+'表4-收入税金表'!Z44</f>
        <v>55.941810699825595</v>
      </c>
      <c r="AA9" s="140">
        <f ca="1">'表4-收入税金表'!AA40+'表4-收入税金表'!AA44</f>
        <v>56.103157816411709</v>
      </c>
    </row>
    <row r="10" spans="2:27" x14ac:dyDescent="0.25">
      <c r="B10" s="107">
        <v>4</v>
      </c>
      <c r="C10" s="108" t="s">
        <v>123</v>
      </c>
      <c r="D10" s="97">
        <f t="shared" ca="1" si="0"/>
        <v>0</v>
      </c>
      <c r="E10" s="103" t="s">
        <v>120</v>
      </c>
      <c r="F10" s="104"/>
      <c r="G10" s="104"/>
      <c r="H10" s="99">
        <f ca="1">SUM(H11:H12)</f>
        <v>0</v>
      </c>
      <c r="I10" s="99">
        <f t="shared" ref="I10:AA10" ca="1" si="2">SUM(I11:I12)</f>
        <v>0</v>
      </c>
      <c r="J10" s="99">
        <f t="shared" ca="1" si="2"/>
        <v>0</v>
      </c>
      <c r="K10" s="99">
        <f t="shared" ca="1" si="2"/>
        <v>0</v>
      </c>
      <c r="L10" s="99">
        <f t="shared" ca="1" si="2"/>
        <v>0</v>
      </c>
      <c r="M10" s="99">
        <f t="shared" ca="1" si="2"/>
        <v>0</v>
      </c>
      <c r="N10" s="99">
        <f t="shared" ca="1" si="2"/>
        <v>0</v>
      </c>
      <c r="O10" s="99">
        <f t="shared" ca="1" si="2"/>
        <v>0</v>
      </c>
      <c r="P10" s="99">
        <f t="shared" ca="1" si="2"/>
        <v>0</v>
      </c>
      <c r="Q10" s="99">
        <f t="shared" ca="1" si="2"/>
        <v>0</v>
      </c>
      <c r="R10" s="140">
        <f t="shared" ca="1" si="2"/>
        <v>0</v>
      </c>
      <c r="S10" s="99">
        <f t="shared" ca="1" si="2"/>
        <v>0</v>
      </c>
      <c r="T10" s="99">
        <f t="shared" ca="1" si="2"/>
        <v>0</v>
      </c>
      <c r="U10" s="99">
        <f t="shared" ca="1" si="2"/>
        <v>0</v>
      </c>
      <c r="V10" s="99">
        <f t="shared" ca="1" si="2"/>
        <v>0</v>
      </c>
      <c r="W10" s="99">
        <f t="shared" ca="1" si="2"/>
        <v>0</v>
      </c>
      <c r="X10" s="99">
        <f t="shared" ca="1" si="2"/>
        <v>0</v>
      </c>
      <c r="Y10" s="99">
        <f t="shared" ca="1" si="2"/>
        <v>0</v>
      </c>
      <c r="Z10" s="99">
        <f t="shared" ca="1" si="2"/>
        <v>0</v>
      </c>
      <c r="AA10" s="99">
        <f t="shared" ca="1" si="2"/>
        <v>0</v>
      </c>
    </row>
    <row r="11" spans="2:27" x14ac:dyDescent="0.25">
      <c r="B11" s="105">
        <v>4.0999999999999996</v>
      </c>
      <c r="C11" s="110" t="s">
        <v>467</v>
      </c>
      <c r="D11" s="102">
        <f t="shared" si="0"/>
        <v>0</v>
      </c>
      <c r="E11" s="103" t="s">
        <v>120</v>
      </c>
      <c r="F11" s="104"/>
      <c r="G11" s="104"/>
      <c r="H11" s="104">
        <f>参数输入表!H320</f>
        <v>0</v>
      </c>
      <c r="I11" s="104">
        <f>参数输入表!H321</f>
        <v>0</v>
      </c>
      <c r="J11" s="104">
        <f>参数输入表!H322</f>
        <v>0</v>
      </c>
      <c r="K11" s="104">
        <f>参数输入表!H323</f>
        <v>0</v>
      </c>
      <c r="L11" s="104">
        <f>参数输入表!H324</f>
        <v>0</v>
      </c>
      <c r="M11" s="104">
        <f>参数输入表!H325</f>
        <v>0</v>
      </c>
      <c r="N11" s="104">
        <f>参数输入表!H326</f>
        <v>0</v>
      </c>
      <c r="O11" s="104">
        <f>参数输入表!H327</f>
        <v>0</v>
      </c>
      <c r="P11" s="104">
        <f>参数输入表!H328</f>
        <v>0</v>
      </c>
      <c r="Q11" s="104">
        <f>参数输入表!H329</f>
        <v>0</v>
      </c>
      <c r="R11" s="104">
        <f>参数输入表!H330</f>
        <v>0</v>
      </c>
      <c r="S11" s="104">
        <f>参数输入表!H331</f>
        <v>0</v>
      </c>
      <c r="T11" s="104">
        <f>参数输入表!H332</f>
        <v>0</v>
      </c>
      <c r="U11" s="104">
        <f>参数输入表!H333</f>
        <v>0</v>
      </c>
      <c r="V11" s="104">
        <f>参数输入表!H334</f>
        <v>0</v>
      </c>
      <c r="W11" s="104">
        <f>参数输入表!H335</f>
        <v>0</v>
      </c>
      <c r="X11" s="104">
        <f>参数输入表!H336</f>
        <v>0</v>
      </c>
      <c r="Y11" s="104">
        <f>参数输入表!H337</f>
        <v>0</v>
      </c>
      <c r="Z11" s="104">
        <f>参数输入表!H338</f>
        <v>0</v>
      </c>
      <c r="AA11" s="104">
        <f>参数输入表!H339</f>
        <v>0</v>
      </c>
    </row>
    <row r="12" spans="2:27" x14ac:dyDescent="0.25">
      <c r="B12" s="105">
        <v>4.2</v>
      </c>
      <c r="C12" s="110" t="s">
        <v>468</v>
      </c>
      <c r="D12" s="102">
        <f t="shared" ca="1" si="0"/>
        <v>0</v>
      </c>
      <c r="E12" s="103" t="s">
        <v>120</v>
      </c>
      <c r="F12" s="104"/>
      <c r="G12" s="104"/>
      <c r="H12" s="104">
        <f ca="1">'表4-收入税金表'!H13</f>
        <v>0</v>
      </c>
      <c r="I12" s="104">
        <f ca="1">'表4-收入税金表'!I13</f>
        <v>0</v>
      </c>
      <c r="J12" s="104">
        <f ca="1">'表4-收入税金表'!J13</f>
        <v>0</v>
      </c>
      <c r="K12" s="104">
        <f ca="1">'表4-收入税金表'!K13</f>
        <v>0</v>
      </c>
      <c r="L12" s="104">
        <f ca="1">'表4-收入税金表'!L13</f>
        <v>0</v>
      </c>
      <c r="M12" s="104">
        <f ca="1">'表4-收入税金表'!M13</f>
        <v>0</v>
      </c>
      <c r="N12" s="104">
        <f ca="1">'表4-收入税金表'!N13</f>
        <v>0</v>
      </c>
      <c r="O12" s="104">
        <f ca="1">'表4-收入税金表'!O13</f>
        <v>0</v>
      </c>
      <c r="P12" s="104">
        <f ca="1">'表4-收入税金表'!P13</f>
        <v>0</v>
      </c>
      <c r="Q12" s="104">
        <f ca="1">'表4-收入税金表'!Q13</f>
        <v>0</v>
      </c>
      <c r="R12" s="139">
        <f ca="1">'表4-收入税金表'!R13</f>
        <v>0</v>
      </c>
      <c r="S12" s="104">
        <f ca="1">'表4-收入税金表'!S13</f>
        <v>0</v>
      </c>
      <c r="T12" s="104">
        <f ca="1">'表4-收入税金表'!T13</f>
        <v>0</v>
      </c>
      <c r="U12" s="104">
        <f ca="1">'表4-收入税金表'!U13</f>
        <v>0</v>
      </c>
      <c r="V12" s="104">
        <f ca="1">'表4-收入税金表'!V13</f>
        <v>0</v>
      </c>
      <c r="W12" s="104">
        <f ca="1">'表4-收入税金表'!W13</f>
        <v>0</v>
      </c>
      <c r="X12" s="104">
        <f ca="1">'表4-收入税金表'!X13</f>
        <v>0</v>
      </c>
      <c r="Y12" s="104">
        <f ca="1">'表4-收入税金表'!Y13</f>
        <v>0</v>
      </c>
      <c r="Z12" s="104">
        <f ca="1">'表4-收入税金表'!Z13</f>
        <v>0</v>
      </c>
      <c r="AA12" s="104">
        <f ca="1">'表4-收入税金表'!AA13</f>
        <v>0</v>
      </c>
    </row>
    <row r="13" spans="2:27" x14ac:dyDescent="0.25">
      <c r="B13" s="107">
        <v>5</v>
      </c>
      <c r="C13" s="108" t="s">
        <v>264</v>
      </c>
      <c r="D13" s="97">
        <f t="shared" si="0"/>
        <v>0</v>
      </c>
      <c r="E13" s="103" t="s">
        <v>120</v>
      </c>
      <c r="F13" s="104"/>
      <c r="G13" s="104"/>
      <c r="H13" s="99">
        <f>'表3-成本费用表'!H24</f>
        <v>0</v>
      </c>
      <c r="I13" s="99">
        <f>'表3-成本费用表'!I24</f>
        <v>0</v>
      </c>
      <c r="J13" s="99">
        <f>'表3-成本费用表'!J24</f>
        <v>0</v>
      </c>
      <c r="K13" s="99">
        <f>'表3-成本费用表'!K24</f>
        <v>0</v>
      </c>
      <c r="L13" s="99">
        <f>'表3-成本费用表'!L24</f>
        <v>0</v>
      </c>
      <c r="M13" s="99">
        <f>'表3-成本费用表'!M24</f>
        <v>0</v>
      </c>
      <c r="N13" s="99">
        <f>'表3-成本费用表'!N24</f>
        <v>0</v>
      </c>
      <c r="O13" s="99">
        <f>'表3-成本费用表'!O24</f>
        <v>0</v>
      </c>
      <c r="P13" s="99">
        <f>'表3-成本费用表'!P24</f>
        <v>0</v>
      </c>
      <c r="Q13" s="99">
        <f>'表3-成本费用表'!Q24</f>
        <v>0</v>
      </c>
      <c r="R13" s="140">
        <f>'表3-成本费用表'!R24</f>
        <v>0</v>
      </c>
      <c r="S13" s="99">
        <f>'表3-成本费用表'!S24</f>
        <v>0</v>
      </c>
      <c r="T13" s="99">
        <f>'表3-成本费用表'!T24</f>
        <v>0</v>
      </c>
      <c r="U13" s="99">
        <f>'表3-成本费用表'!U24</f>
        <v>0</v>
      </c>
      <c r="V13" s="99">
        <f>'表3-成本费用表'!V24</f>
        <v>0</v>
      </c>
      <c r="W13" s="99">
        <f>'表3-成本费用表'!W24</f>
        <v>0</v>
      </c>
      <c r="X13" s="99">
        <f>'表3-成本费用表'!X24</f>
        <v>0</v>
      </c>
      <c r="Y13" s="99">
        <f>'表3-成本费用表'!Y24</f>
        <v>0</v>
      </c>
      <c r="Z13" s="99">
        <f>'表3-成本费用表'!Z24</f>
        <v>0</v>
      </c>
      <c r="AA13" s="99">
        <f>'表3-成本费用表'!AA24</f>
        <v>0</v>
      </c>
    </row>
    <row r="14" spans="2:27" s="90" customFormat="1" x14ac:dyDescent="0.25">
      <c r="B14" s="107">
        <v>6</v>
      </c>
      <c r="C14" s="108" t="s">
        <v>469</v>
      </c>
      <c r="D14" s="97">
        <f t="shared" ca="1" si="0"/>
        <v>37305.166631404536</v>
      </c>
      <c r="E14" s="98" t="s">
        <v>120</v>
      </c>
      <c r="F14" s="99"/>
      <c r="G14" s="99"/>
      <c r="H14" s="99">
        <f ca="1">H5+H10-H8-H9-H13</f>
        <v>6829.3875222845782</v>
      </c>
      <c r="I14" s="99">
        <f t="shared" ref="I14:AA14" ca="1" si="3">I5+I10-I8-I9-I13</f>
        <v>-588.02062398839917</v>
      </c>
      <c r="J14" s="99">
        <f t="shared" ca="1" si="3"/>
        <v>-458.27173256895185</v>
      </c>
      <c r="K14" s="99">
        <f t="shared" ca="1" si="3"/>
        <v>-328.53555729649088</v>
      </c>
      <c r="L14" s="99">
        <f t="shared" ca="1" si="3"/>
        <v>-198.81204094835994</v>
      </c>
      <c r="M14" s="99">
        <f t="shared" ca="1" si="3"/>
        <v>-896.23613840406324</v>
      </c>
      <c r="N14" s="99">
        <f t="shared" ca="1" si="3"/>
        <v>185.45973151709768</v>
      </c>
      <c r="O14" s="99">
        <f t="shared" ca="1" si="3"/>
        <v>271.61192252738118</v>
      </c>
      <c r="P14" s="99">
        <f t="shared" ca="1" si="3"/>
        <v>407.27979239962724</v>
      </c>
      <c r="Q14" s="99">
        <f t="shared" ca="1" si="3"/>
        <v>545.27298263519219</v>
      </c>
      <c r="R14" s="140">
        <f t="shared" ca="1" si="3"/>
        <v>1507.9150837419309</v>
      </c>
      <c r="S14" s="99">
        <f t="shared" ca="1" si="3"/>
        <v>1616.1716600656807</v>
      </c>
      <c r="T14" s="99">
        <f t="shared" ca="1" si="3"/>
        <v>1748.2770491251954</v>
      </c>
      <c r="U14" s="99">
        <f t="shared" ca="1" si="3"/>
        <v>1886.0898604667013</v>
      </c>
      <c r="V14" s="99">
        <f t="shared" ca="1" si="3"/>
        <v>2023.8580832562982</v>
      </c>
      <c r="W14" s="99">
        <f t="shared" ca="1" si="3"/>
        <v>4526.0688991419574</v>
      </c>
      <c r="X14" s="99">
        <f t="shared" ca="1" si="3"/>
        <v>4538.4502436543644</v>
      </c>
      <c r="Y14" s="99">
        <f t="shared" ca="1" si="3"/>
        <v>4550.787598855627</v>
      </c>
      <c r="Z14" s="99">
        <f t="shared" ca="1" si="3"/>
        <v>4563.0811626976429</v>
      </c>
      <c r="AA14" s="99">
        <f t="shared" ca="1" si="3"/>
        <v>4575.3311322415257</v>
      </c>
    </row>
    <row r="15" spans="2:27" s="90" customFormat="1" x14ac:dyDescent="0.25">
      <c r="B15" s="107">
        <v>7</v>
      </c>
      <c r="C15" s="111" t="s">
        <v>470</v>
      </c>
      <c r="D15" s="97">
        <f t="shared" ca="1" si="0"/>
        <v>1880.655390693393</v>
      </c>
      <c r="E15" s="98" t="s">
        <v>120</v>
      </c>
      <c r="F15" s="99"/>
      <c r="G15" s="99"/>
      <c r="H15" s="99">
        <f>SUM(H16:H20)</f>
        <v>0</v>
      </c>
      <c r="I15" s="99">
        <f t="shared" ref="I15:AA15" ca="1" si="4">SUM(I16:I20)</f>
        <v>0</v>
      </c>
      <c r="J15" s="99">
        <f t="shared" ca="1" si="4"/>
        <v>0</v>
      </c>
      <c r="K15" s="99">
        <f t="shared" ca="1" si="4"/>
        <v>0</v>
      </c>
      <c r="L15" s="99">
        <f t="shared" ca="1" si="4"/>
        <v>0</v>
      </c>
      <c r="M15" s="99">
        <f t="shared" ca="1" si="4"/>
        <v>0</v>
      </c>
      <c r="N15" s="99">
        <f t="shared" ca="1" si="4"/>
        <v>185.45973151709768</v>
      </c>
      <c r="O15" s="99">
        <f t="shared" ca="1" si="4"/>
        <v>271.61192252738118</v>
      </c>
      <c r="P15" s="99">
        <f t="shared" ca="1" si="4"/>
        <v>407.27979239962724</v>
      </c>
      <c r="Q15" s="99">
        <f t="shared" ca="1" si="4"/>
        <v>545.27298263519219</v>
      </c>
      <c r="R15" s="140">
        <f t="shared" ca="1" si="4"/>
        <v>471.03096161409462</v>
      </c>
      <c r="S15" s="99">
        <f t="shared" ca="1" si="4"/>
        <v>0</v>
      </c>
      <c r="T15" s="99">
        <f t="shared" ca="1" si="4"/>
        <v>0</v>
      </c>
      <c r="U15" s="99">
        <f t="shared" ca="1" si="4"/>
        <v>0</v>
      </c>
      <c r="V15" s="99">
        <f t="shared" ca="1" si="4"/>
        <v>0</v>
      </c>
      <c r="W15" s="99">
        <f t="shared" ca="1" si="4"/>
        <v>0</v>
      </c>
      <c r="X15" s="99">
        <f t="shared" ca="1" si="4"/>
        <v>0</v>
      </c>
      <c r="Y15" s="99">
        <f t="shared" ca="1" si="4"/>
        <v>0</v>
      </c>
      <c r="Z15" s="99">
        <f t="shared" ca="1" si="4"/>
        <v>0</v>
      </c>
      <c r="AA15" s="99">
        <f t="shared" ca="1" si="4"/>
        <v>0</v>
      </c>
    </row>
    <row r="16" spans="2:27" x14ac:dyDescent="0.25">
      <c r="B16" s="112"/>
      <c r="C16" s="113" t="s">
        <v>471</v>
      </c>
      <c r="D16" s="114"/>
      <c r="E16" s="103" t="s">
        <v>120</v>
      </c>
      <c r="F16" s="104"/>
      <c r="G16" s="104"/>
      <c r="H16" s="104"/>
      <c r="I16" s="115">
        <f t="shared" ref="I16:AA16" ca="1" si="5">IF(H14&gt;0,0,IF(I14&lt;0,0,MIN(I14-SUM(I17:I20),-H14)))</f>
        <v>0</v>
      </c>
      <c r="J16" s="115">
        <f t="shared" ca="1" si="5"/>
        <v>0</v>
      </c>
      <c r="K16" s="115">
        <f t="shared" ca="1" si="5"/>
        <v>0</v>
      </c>
      <c r="L16" s="115">
        <f t="shared" ca="1" si="5"/>
        <v>0</v>
      </c>
      <c r="M16" s="115">
        <f t="shared" ca="1" si="5"/>
        <v>0</v>
      </c>
      <c r="N16" s="115">
        <f t="shared" ca="1" si="5"/>
        <v>0</v>
      </c>
      <c r="O16" s="115">
        <f t="shared" ca="1" si="5"/>
        <v>0</v>
      </c>
      <c r="P16" s="115">
        <f t="shared" ca="1" si="5"/>
        <v>0</v>
      </c>
      <c r="Q16" s="115">
        <f t="shared" ca="1" si="5"/>
        <v>0</v>
      </c>
      <c r="R16" s="145">
        <f t="shared" ca="1" si="5"/>
        <v>0</v>
      </c>
      <c r="S16" s="115">
        <f t="shared" ca="1" si="5"/>
        <v>0</v>
      </c>
      <c r="T16" s="115">
        <f t="shared" ca="1" si="5"/>
        <v>0</v>
      </c>
      <c r="U16" s="115">
        <f t="shared" ca="1" si="5"/>
        <v>0</v>
      </c>
      <c r="V16" s="115">
        <f t="shared" ca="1" si="5"/>
        <v>0</v>
      </c>
      <c r="W16" s="115">
        <f t="shared" ca="1" si="5"/>
        <v>0</v>
      </c>
      <c r="X16" s="115">
        <f t="shared" ca="1" si="5"/>
        <v>0</v>
      </c>
      <c r="Y16" s="115">
        <f t="shared" ca="1" si="5"/>
        <v>0</v>
      </c>
      <c r="Z16" s="115">
        <f t="shared" ca="1" si="5"/>
        <v>0</v>
      </c>
      <c r="AA16" s="115">
        <f t="shared" ca="1" si="5"/>
        <v>0</v>
      </c>
    </row>
    <row r="17" spans="2:27" x14ac:dyDescent="0.25">
      <c r="B17" s="112"/>
      <c r="C17" s="113" t="s">
        <v>472</v>
      </c>
      <c r="D17" s="114"/>
      <c r="E17" s="103" t="s">
        <v>120</v>
      </c>
      <c r="F17" s="104"/>
      <c r="G17" s="104"/>
      <c r="H17" s="104"/>
      <c r="I17" s="104"/>
      <c r="J17" s="115">
        <f t="shared" ref="J17:AA17" ca="1" si="6">IF(H14&gt;0,0,IF(J14&lt;0,0,MIN(J14-SUM(J18:J20),-H14-I16)))</f>
        <v>0</v>
      </c>
      <c r="K17" s="115">
        <f t="shared" ca="1" si="6"/>
        <v>0</v>
      </c>
      <c r="L17" s="115">
        <f t="shared" ca="1" si="6"/>
        <v>0</v>
      </c>
      <c r="M17" s="115">
        <f t="shared" ca="1" si="6"/>
        <v>0</v>
      </c>
      <c r="N17" s="115">
        <f t="shared" ca="1" si="6"/>
        <v>0</v>
      </c>
      <c r="O17" s="115">
        <f t="shared" ca="1" si="6"/>
        <v>0</v>
      </c>
      <c r="P17" s="115">
        <f t="shared" ca="1" si="6"/>
        <v>0</v>
      </c>
      <c r="Q17" s="115">
        <f t="shared" ca="1" si="6"/>
        <v>0</v>
      </c>
      <c r="R17" s="145">
        <f t="shared" ca="1" si="6"/>
        <v>0</v>
      </c>
      <c r="S17" s="115">
        <f t="shared" ca="1" si="6"/>
        <v>0</v>
      </c>
      <c r="T17" s="115">
        <f t="shared" ca="1" si="6"/>
        <v>0</v>
      </c>
      <c r="U17" s="115">
        <f t="shared" ca="1" si="6"/>
        <v>0</v>
      </c>
      <c r="V17" s="115">
        <f t="shared" ca="1" si="6"/>
        <v>0</v>
      </c>
      <c r="W17" s="115">
        <f t="shared" ca="1" si="6"/>
        <v>0</v>
      </c>
      <c r="X17" s="115">
        <f t="shared" ca="1" si="6"/>
        <v>0</v>
      </c>
      <c r="Y17" s="115">
        <f t="shared" ca="1" si="6"/>
        <v>0</v>
      </c>
      <c r="Z17" s="115">
        <f t="shared" ca="1" si="6"/>
        <v>0</v>
      </c>
      <c r="AA17" s="115">
        <f t="shared" ca="1" si="6"/>
        <v>0</v>
      </c>
    </row>
    <row r="18" spans="2:27" x14ac:dyDescent="0.25">
      <c r="B18" s="112"/>
      <c r="C18" s="113" t="s">
        <v>473</v>
      </c>
      <c r="D18" s="114"/>
      <c r="E18" s="103" t="s">
        <v>120</v>
      </c>
      <c r="F18" s="104"/>
      <c r="G18" s="104"/>
      <c r="H18" s="104"/>
      <c r="I18" s="104"/>
      <c r="J18" s="104"/>
      <c r="K18" s="115">
        <f t="shared" ref="K18:AA18" ca="1" si="7">IF(H14&gt;0,0,IF(K14&lt;0,0,MIN(K14-SUM(K19:K20),-H14-I16-J17)))</f>
        <v>0</v>
      </c>
      <c r="L18" s="115">
        <f t="shared" ca="1" si="7"/>
        <v>0</v>
      </c>
      <c r="M18" s="115">
        <f t="shared" ca="1" si="7"/>
        <v>0</v>
      </c>
      <c r="N18" s="115">
        <f t="shared" ca="1" si="7"/>
        <v>0</v>
      </c>
      <c r="O18" s="115">
        <f t="shared" ca="1" si="7"/>
        <v>0</v>
      </c>
      <c r="P18" s="115">
        <f t="shared" ca="1" si="7"/>
        <v>0</v>
      </c>
      <c r="Q18" s="115">
        <f t="shared" ca="1" si="7"/>
        <v>0</v>
      </c>
      <c r="R18" s="145">
        <f t="shared" ca="1" si="7"/>
        <v>0</v>
      </c>
      <c r="S18" s="115">
        <f t="shared" ca="1" si="7"/>
        <v>0</v>
      </c>
      <c r="T18" s="115">
        <f t="shared" ca="1" si="7"/>
        <v>0</v>
      </c>
      <c r="U18" s="115">
        <f t="shared" ca="1" si="7"/>
        <v>0</v>
      </c>
      <c r="V18" s="115">
        <f t="shared" ca="1" si="7"/>
        <v>0</v>
      </c>
      <c r="W18" s="115">
        <f t="shared" ca="1" si="7"/>
        <v>0</v>
      </c>
      <c r="X18" s="115">
        <f t="shared" ca="1" si="7"/>
        <v>0</v>
      </c>
      <c r="Y18" s="115">
        <f t="shared" ca="1" si="7"/>
        <v>0</v>
      </c>
      <c r="Z18" s="115">
        <f t="shared" ca="1" si="7"/>
        <v>0</v>
      </c>
      <c r="AA18" s="115">
        <f t="shared" ca="1" si="7"/>
        <v>0</v>
      </c>
    </row>
    <row r="19" spans="2:27" x14ac:dyDescent="0.25">
      <c r="B19" s="112"/>
      <c r="C19" s="113" t="s">
        <v>474</v>
      </c>
      <c r="D19" s="114"/>
      <c r="E19" s="103" t="s">
        <v>120</v>
      </c>
      <c r="F19" s="104"/>
      <c r="G19" s="104"/>
      <c r="H19" s="104"/>
      <c r="I19" s="104"/>
      <c r="J19" s="104"/>
      <c r="K19" s="104"/>
      <c r="L19" s="115">
        <f t="shared" ref="L19:AA19" ca="1" si="8">IF(H14&gt;0,0,IF(L14&lt;0,0,MIN(L14-L20,-H14-I16-J17-K18)))</f>
        <v>0</v>
      </c>
      <c r="M19" s="115">
        <f t="shared" ca="1" si="8"/>
        <v>0</v>
      </c>
      <c r="N19" s="115">
        <f t="shared" ca="1" si="8"/>
        <v>0</v>
      </c>
      <c r="O19" s="115">
        <f t="shared" ca="1" si="8"/>
        <v>0</v>
      </c>
      <c r="P19" s="115">
        <f t="shared" ca="1" si="8"/>
        <v>78.744235103136361</v>
      </c>
      <c r="Q19" s="115">
        <f t="shared" ca="1" si="8"/>
        <v>425.20517678996862</v>
      </c>
      <c r="R19" s="145">
        <f t="shared" ca="1" si="8"/>
        <v>0</v>
      </c>
      <c r="S19" s="115">
        <f t="shared" ca="1" si="8"/>
        <v>0</v>
      </c>
      <c r="T19" s="115">
        <f t="shared" ca="1" si="8"/>
        <v>0</v>
      </c>
      <c r="U19" s="115">
        <f t="shared" ca="1" si="8"/>
        <v>0</v>
      </c>
      <c r="V19" s="115">
        <f t="shared" ca="1" si="8"/>
        <v>0</v>
      </c>
      <c r="W19" s="115">
        <f t="shared" ca="1" si="8"/>
        <v>0</v>
      </c>
      <c r="X19" s="115">
        <f t="shared" ca="1" si="8"/>
        <v>0</v>
      </c>
      <c r="Y19" s="115">
        <f t="shared" ca="1" si="8"/>
        <v>0</v>
      </c>
      <c r="Z19" s="115">
        <f t="shared" ca="1" si="8"/>
        <v>0</v>
      </c>
      <c r="AA19" s="115">
        <f t="shared" ca="1" si="8"/>
        <v>0</v>
      </c>
    </row>
    <row r="20" spans="2:27" x14ac:dyDescent="0.25">
      <c r="B20" s="112"/>
      <c r="C20" s="113" t="s">
        <v>475</v>
      </c>
      <c r="D20" s="114"/>
      <c r="E20" s="103" t="s">
        <v>120</v>
      </c>
      <c r="F20" s="104"/>
      <c r="G20" s="104"/>
      <c r="H20" s="104"/>
      <c r="I20" s="104"/>
      <c r="J20" s="104"/>
      <c r="K20" s="104"/>
      <c r="L20" s="104"/>
      <c r="M20" s="115">
        <f t="shared" ref="M20:AA20" ca="1" si="9">IF(H14&gt;0,0,IF(M14&lt;0,0,MIN(M14,-H14-I16-J17-K18-L19)))</f>
        <v>0</v>
      </c>
      <c r="N20" s="115">
        <f t="shared" ca="1" si="9"/>
        <v>185.45973151709768</v>
      </c>
      <c r="O20" s="115">
        <f t="shared" ca="1" si="9"/>
        <v>271.61192252738118</v>
      </c>
      <c r="P20" s="115">
        <f t="shared" ca="1" si="9"/>
        <v>328.53555729649088</v>
      </c>
      <c r="Q20" s="115">
        <f t="shared" ca="1" si="9"/>
        <v>120.06780584522357</v>
      </c>
      <c r="R20" s="145">
        <f t="shared" ca="1" si="9"/>
        <v>471.03096161409462</v>
      </c>
      <c r="S20" s="115">
        <f t="shared" ca="1" si="9"/>
        <v>0</v>
      </c>
      <c r="T20" s="115">
        <f t="shared" ca="1" si="9"/>
        <v>0</v>
      </c>
      <c r="U20" s="115">
        <f t="shared" ca="1" si="9"/>
        <v>0</v>
      </c>
      <c r="V20" s="115">
        <f t="shared" ca="1" si="9"/>
        <v>0</v>
      </c>
      <c r="W20" s="115">
        <f t="shared" ca="1" si="9"/>
        <v>0</v>
      </c>
      <c r="X20" s="115">
        <f t="shared" ca="1" si="9"/>
        <v>0</v>
      </c>
      <c r="Y20" s="115">
        <f t="shared" ca="1" si="9"/>
        <v>0</v>
      </c>
      <c r="Z20" s="115">
        <f t="shared" ca="1" si="9"/>
        <v>0</v>
      </c>
      <c r="AA20" s="115">
        <f t="shared" ca="1" si="9"/>
        <v>0</v>
      </c>
    </row>
    <row r="21" spans="2:27" x14ac:dyDescent="0.25">
      <c r="B21" s="107">
        <v>8</v>
      </c>
      <c r="C21" s="111" t="s">
        <v>476</v>
      </c>
      <c r="D21" s="97">
        <f ca="1">SUM(F21:AA21)</f>
        <v>37894.387333917402</v>
      </c>
      <c r="E21" s="103" t="s">
        <v>120</v>
      </c>
      <c r="F21" s="104"/>
      <c r="G21" s="104"/>
      <c r="H21" s="99">
        <f ca="1">IF(H14-H15&gt;0,H14-H15,0)</f>
        <v>6829.3875222845782</v>
      </c>
      <c r="I21" s="99">
        <f t="shared" ref="I21:AA21" ca="1" si="10">IF(I14-I15&gt;0,I14-I15,0)</f>
        <v>0</v>
      </c>
      <c r="J21" s="99">
        <f t="shared" ca="1" si="10"/>
        <v>0</v>
      </c>
      <c r="K21" s="99">
        <f t="shared" ca="1" si="10"/>
        <v>0</v>
      </c>
      <c r="L21" s="99">
        <f t="shared" ca="1" si="10"/>
        <v>0</v>
      </c>
      <c r="M21" s="99">
        <f t="shared" ca="1" si="10"/>
        <v>0</v>
      </c>
      <c r="N21" s="99">
        <f t="shared" ca="1" si="10"/>
        <v>0</v>
      </c>
      <c r="O21" s="99">
        <f t="shared" ca="1" si="10"/>
        <v>0</v>
      </c>
      <c r="P21" s="99">
        <f t="shared" ca="1" si="10"/>
        <v>0</v>
      </c>
      <c r="Q21" s="99">
        <f t="shared" ca="1" si="10"/>
        <v>0</v>
      </c>
      <c r="R21" s="140">
        <f t="shared" ca="1" si="10"/>
        <v>1036.8841221278362</v>
      </c>
      <c r="S21" s="99">
        <f t="shared" ca="1" si="10"/>
        <v>1616.1716600656807</v>
      </c>
      <c r="T21" s="99">
        <f t="shared" ca="1" si="10"/>
        <v>1748.2770491251954</v>
      </c>
      <c r="U21" s="99">
        <f t="shared" ca="1" si="10"/>
        <v>1886.0898604667013</v>
      </c>
      <c r="V21" s="99">
        <f t="shared" ca="1" si="10"/>
        <v>2023.8580832562982</v>
      </c>
      <c r="W21" s="99">
        <f t="shared" ca="1" si="10"/>
        <v>4526.0688991419574</v>
      </c>
      <c r="X21" s="99">
        <f t="shared" ca="1" si="10"/>
        <v>4538.4502436543644</v>
      </c>
      <c r="Y21" s="99">
        <f t="shared" ca="1" si="10"/>
        <v>4550.787598855627</v>
      </c>
      <c r="Z21" s="99">
        <f t="shared" ca="1" si="10"/>
        <v>4563.0811626976429</v>
      </c>
      <c r="AA21" s="99">
        <f t="shared" ca="1" si="10"/>
        <v>4575.3311322415257</v>
      </c>
    </row>
    <row r="22" spans="2:27" x14ac:dyDescent="0.25">
      <c r="B22" s="107">
        <v>9</v>
      </c>
      <c r="C22" s="111" t="s">
        <v>477</v>
      </c>
      <c r="D22" s="97">
        <f t="shared" ca="1" si="0"/>
        <v>9473.5968334793506</v>
      </c>
      <c r="E22" s="103" t="s">
        <v>120</v>
      </c>
      <c r="F22" s="104"/>
      <c r="G22" s="104"/>
      <c r="H22" s="99">
        <f ca="1">IF(参数输入表!$H$689="三免三减半",0,'表5-利润表-资本金'!H21*参数输入表!$H$690)</f>
        <v>1707.3468805711445</v>
      </c>
      <c r="I22" s="99">
        <f ca="1">IF(参数输入表!$H$689="三免三减半",0,'表5-利润表-资本金'!I21*参数输入表!$H$690)</f>
        <v>0</v>
      </c>
      <c r="J22" s="99">
        <f ca="1">IF(参数输入表!$H$689="三免三减半",0,'表5-利润表-资本金'!J21*参数输入表!$H$690)</f>
        <v>0</v>
      </c>
      <c r="K22" s="99">
        <f ca="1">IF(参数输入表!$H$689="三免三减半",'表5-利润表-资本金'!K21*参数输入表!$H$690/2,'表5-利润表-资本金'!K21*参数输入表!$H$690)</f>
        <v>0</v>
      </c>
      <c r="L22" s="99">
        <f ca="1">IF(参数输入表!$H$689="三免三减半",'表5-利润表-资本金'!L21*参数输入表!$H$690/2,'表5-利润表-资本金'!L21*参数输入表!$H$690)</f>
        <v>0</v>
      </c>
      <c r="M22" s="99">
        <f ca="1">IF(参数输入表!$H$689="三免三减半",'表5-利润表-资本金'!M21*参数输入表!$H$690/2,'表5-利润表-资本金'!M21*参数输入表!$H$690)</f>
        <v>0</v>
      </c>
      <c r="N22" s="99">
        <f ca="1">N21*参数输入表!$H$690</f>
        <v>0</v>
      </c>
      <c r="O22" s="99">
        <f ca="1">O21*参数输入表!$H$690</f>
        <v>0</v>
      </c>
      <c r="P22" s="99">
        <f ca="1">P21*参数输入表!$H$690</f>
        <v>0</v>
      </c>
      <c r="Q22" s="99">
        <f ca="1">Q21*参数输入表!$H$690</f>
        <v>0</v>
      </c>
      <c r="R22" s="140">
        <f ca="1">R21*参数输入表!$H$690</f>
        <v>259.22103053195906</v>
      </c>
      <c r="S22" s="99">
        <f ca="1">S21*参数输入表!$H$690</f>
        <v>404.04291501642018</v>
      </c>
      <c r="T22" s="99">
        <f ca="1">T21*参数输入表!$H$690</f>
        <v>437.06926228129885</v>
      </c>
      <c r="U22" s="99">
        <f ca="1">U21*参数输入表!$H$690</f>
        <v>471.52246511667533</v>
      </c>
      <c r="V22" s="99">
        <f ca="1">V21*参数输入表!$H$690</f>
        <v>505.96452081407455</v>
      </c>
      <c r="W22" s="99">
        <f ca="1">W21*参数输入表!$H$690</f>
        <v>1131.5172247854894</v>
      </c>
      <c r="X22" s="99">
        <f ca="1">X21*参数输入表!$H$690</f>
        <v>1134.6125609135911</v>
      </c>
      <c r="Y22" s="99">
        <f ca="1">Y21*参数输入表!$H$690</f>
        <v>1137.6968997139068</v>
      </c>
      <c r="Z22" s="99">
        <f ca="1">Z21*参数输入表!$H$690</f>
        <v>1140.7702906744107</v>
      </c>
      <c r="AA22" s="99">
        <f ca="1">AA21*参数输入表!$H$690</f>
        <v>1143.8327830603814</v>
      </c>
    </row>
    <row r="23" spans="2:27" s="133" customFormat="1" x14ac:dyDescent="0.25">
      <c r="B23" s="141">
        <v>10</v>
      </c>
      <c r="C23" s="146" t="s">
        <v>478</v>
      </c>
      <c r="D23" s="143">
        <f t="shared" ca="1" si="0"/>
        <v>27831.569797925178</v>
      </c>
      <c r="E23" s="144" t="s">
        <v>120</v>
      </c>
      <c r="F23" s="139"/>
      <c r="G23" s="139"/>
      <c r="H23" s="140">
        <f t="shared" ref="H23:AA23" ca="1" si="11">H14-H22</f>
        <v>5122.0406417134336</v>
      </c>
      <c r="I23" s="140">
        <f t="shared" ca="1" si="11"/>
        <v>-588.02062398839917</v>
      </c>
      <c r="J23" s="140">
        <f t="shared" ca="1" si="11"/>
        <v>-458.27173256895185</v>
      </c>
      <c r="K23" s="140">
        <f t="shared" ca="1" si="11"/>
        <v>-328.53555729649088</v>
      </c>
      <c r="L23" s="140">
        <f t="shared" ca="1" si="11"/>
        <v>-198.81204094835994</v>
      </c>
      <c r="M23" s="140">
        <f t="shared" ca="1" si="11"/>
        <v>-896.23613840406324</v>
      </c>
      <c r="N23" s="140">
        <f t="shared" ca="1" si="11"/>
        <v>185.45973151709768</v>
      </c>
      <c r="O23" s="140">
        <f t="shared" ca="1" si="11"/>
        <v>271.61192252738118</v>
      </c>
      <c r="P23" s="140">
        <f t="shared" ca="1" si="11"/>
        <v>407.27979239962724</v>
      </c>
      <c r="Q23" s="140">
        <f t="shared" ca="1" si="11"/>
        <v>545.27298263519219</v>
      </c>
      <c r="R23" s="140">
        <f t="shared" ca="1" si="11"/>
        <v>1248.6940532099718</v>
      </c>
      <c r="S23" s="140">
        <f t="shared" ca="1" si="11"/>
        <v>1212.1287450492605</v>
      </c>
      <c r="T23" s="140">
        <f t="shared" ca="1" si="11"/>
        <v>1311.2077868438964</v>
      </c>
      <c r="U23" s="140">
        <f t="shared" ca="1" si="11"/>
        <v>1414.5673953500259</v>
      </c>
      <c r="V23" s="140">
        <f t="shared" ca="1" si="11"/>
        <v>1517.8935624422236</v>
      </c>
      <c r="W23" s="140">
        <f t="shared" ca="1" si="11"/>
        <v>3394.5516743564681</v>
      </c>
      <c r="X23" s="140">
        <f t="shared" ca="1" si="11"/>
        <v>3403.8376827407733</v>
      </c>
      <c r="Y23" s="140">
        <f t="shared" ca="1" si="11"/>
        <v>3413.0906991417205</v>
      </c>
      <c r="Z23" s="140">
        <f t="shared" ca="1" si="11"/>
        <v>3422.3108720232322</v>
      </c>
      <c r="AA23" s="140">
        <f t="shared" ca="1" si="11"/>
        <v>3431.4983491811445</v>
      </c>
    </row>
    <row r="24" spans="2:27" s="133" customFormat="1" x14ac:dyDescent="0.25">
      <c r="B24" s="147">
        <v>11</v>
      </c>
      <c r="C24" s="148" t="s">
        <v>479</v>
      </c>
      <c r="D24" s="149"/>
      <c r="E24" s="144" t="s">
        <v>120</v>
      </c>
      <c r="F24" s="139">
        <v>0</v>
      </c>
      <c r="G24" s="139">
        <v>0</v>
      </c>
      <c r="H24" s="139">
        <f>G32</f>
        <v>0</v>
      </c>
      <c r="I24" s="139">
        <f ca="1">H32</f>
        <v>4148.8529197878806</v>
      </c>
      <c r="J24" s="139">
        <f t="shared" ref="J24:AA24" ca="1" si="12">I32</f>
        <v>3257.6709223784892</v>
      </c>
      <c r="K24" s="139">
        <f t="shared" ca="1" si="12"/>
        <v>2560.7037267597893</v>
      </c>
      <c r="L24" s="139">
        <f t="shared" ca="1" si="12"/>
        <v>2038.5195526736527</v>
      </c>
      <c r="M24" s="139">
        <f t="shared" ca="1" si="12"/>
        <v>1673.6298442381158</v>
      </c>
      <c r="N24" s="139">
        <f t="shared" ca="1" si="12"/>
        <v>780.31558770701292</v>
      </c>
      <c r="O24" s="139">
        <f t="shared" ca="1" si="12"/>
        <v>869.19778730169958</v>
      </c>
      <c r="P24" s="139">
        <f t="shared" ca="1" si="12"/>
        <v>1026.7287388461727</v>
      </c>
      <c r="Q24" s="139">
        <f t="shared" ca="1" si="12"/>
        <v>1290.60767812122</v>
      </c>
      <c r="R24" s="139">
        <f t="shared" ca="1" si="12"/>
        <v>1652.2925946807709</v>
      </c>
      <c r="S24" s="139">
        <f t="shared" ca="1" si="12"/>
        <v>2540.8983048580394</v>
      </c>
      <c r="T24" s="139">
        <f t="shared" ca="1" si="12"/>
        <v>3268.6327578621363</v>
      </c>
      <c r="U24" s="139">
        <f t="shared" ca="1" si="12"/>
        <v>4003.8477894194784</v>
      </c>
      <c r="V24" s="139">
        <f t="shared" ca="1" si="12"/>
        <v>4749.2626007110521</v>
      </c>
      <c r="W24" s="139">
        <f t="shared" ca="1" si="12"/>
        <v>5503.8301262181485</v>
      </c>
      <c r="X24" s="139">
        <f t="shared" ca="1" si="12"/>
        <v>7703.0339698250727</v>
      </c>
      <c r="Y24" s="139">
        <f t="shared" ca="1" si="12"/>
        <v>9689.8390958625914</v>
      </c>
      <c r="Z24" s="139">
        <f t="shared" ca="1" si="12"/>
        <v>11485.458652581125</v>
      </c>
      <c r="AA24" s="139">
        <f t="shared" ca="1" si="12"/>
        <v>13108.984593661831</v>
      </c>
    </row>
    <row r="25" spans="2:27" s="134" customFormat="1" x14ac:dyDescent="0.25">
      <c r="B25" s="150">
        <v>12</v>
      </c>
      <c r="C25" s="151" t="s">
        <v>480</v>
      </c>
      <c r="D25" s="152">
        <f ca="1">SUM(F25:AA25)</f>
        <v>109183.87704141946</v>
      </c>
      <c r="E25" s="153" t="s">
        <v>120</v>
      </c>
      <c r="F25" s="124"/>
      <c r="G25" s="124"/>
      <c r="H25" s="124">
        <f ca="1">H23+H24</f>
        <v>5122.0406417134336</v>
      </c>
      <c r="I25" s="124">
        <f t="shared" ref="I25:AA25" ca="1" si="13">I23+I24</f>
        <v>3560.8322957994815</v>
      </c>
      <c r="J25" s="124">
        <f t="shared" ca="1" si="13"/>
        <v>2799.3991898095373</v>
      </c>
      <c r="K25" s="124">
        <f t="shared" ca="1" si="13"/>
        <v>2232.1681694632985</v>
      </c>
      <c r="L25" s="124">
        <f t="shared" ca="1" si="13"/>
        <v>1839.7075117252928</v>
      </c>
      <c r="M25" s="124">
        <f t="shared" ca="1" si="13"/>
        <v>777.39370583405253</v>
      </c>
      <c r="N25" s="124">
        <f t="shared" ca="1" si="13"/>
        <v>965.7753192241106</v>
      </c>
      <c r="O25" s="124">
        <f t="shared" ca="1" si="13"/>
        <v>1140.8097098290807</v>
      </c>
      <c r="P25" s="124">
        <f t="shared" ca="1" si="13"/>
        <v>1434.0085312458</v>
      </c>
      <c r="Q25" s="124">
        <f t="shared" ca="1" si="13"/>
        <v>1835.8806607564122</v>
      </c>
      <c r="R25" s="57">
        <f t="shared" ca="1" si="13"/>
        <v>2900.9866478907425</v>
      </c>
      <c r="S25" s="124">
        <f t="shared" ca="1" si="13"/>
        <v>3753.0270499072999</v>
      </c>
      <c r="T25" s="124">
        <f t="shared" ca="1" si="13"/>
        <v>4579.8405447060322</v>
      </c>
      <c r="U25" s="124">
        <f t="shared" ca="1" si="13"/>
        <v>5418.4151847695048</v>
      </c>
      <c r="V25" s="124">
        <f t="shared" ca="1" si="13"/>
        <v>6267.1561631532759</v>
      </c>
      <c r="W25" s="124">
        <f t="shared" ca="1" si="13"/>
        <v>8898.3818005746161</v>
      </c>
      <c r="X25" s="124">
        <f t="shared" ca="1" si="13"/>
        <v>11106.871652565846</v>
      </c>
      <c r="Y25" s="124">
        <f t="shared" ca="1" si="13"/>
        <v>13102.929795004311</v>
      </c>
      <c r="Z25" s="124">
        <f t="shared" ca="1" si="13"/>
        <v>14907.769524604357</v>
      </c>
      <c r="AA25" s="124">
        <f t="shared" ca="1" si="13"/>
        <v>16540.482942842977</v>
      </c>
    </row>
    <row r="26" spans="2:27" s="134" customFormat="1" x14ac:dyDescent="0.25">
      <c r="B26" s="150">
        <v>13</v>
      </c>
      <c r="C26" s="151" t="s">
        <v>481</v>
      </c>
      <c r="D26" s="152">
        <f t="shared" ca="1" si="0"/>
        <v>2595.0914407231794</v>
      </c>
      <c r="E26" s="153" t="s">
        <v>120</v>
      </c>
      <c r="F26" s="124"/>
      <c r="G26" s="124"/>
      <c r="H26" s="124">
        <f ca="1">IF(G28&gt;=参数输入表!$H$366,0,IF(H25&lt;0,0,IF(H25*参数输入表!$H$367&gt;=H27,H27,(-H24-H15+H25)*参数输入表!$H$367)))</f>
        <v>512.20406417134336</v>
      </c>
      <c r="I26" s="124">
        <f ca="1">IF(H28&gt;=参数输入表!$H$366,0,IF(I25&lt;0,0,IF(I25*参数输入表!$H$367&gt;=I27,I27,(-I24-I15+I25)*参数输入表!$H$367)))</f>
        <v>-58.802062398839922</v>
      </c>
      <c r="J26" s="124">
        <f ca="1">IF(I28&gt;=参数输入表!$H$366,0,IF(J25&lt;0,0,IF(J25*参数输入表!$H$367&gt;=J27,J27,(-J24-J15+J25)*参数输入表!$H$367)))</f>
        <v>-45.827173256895186</v>
      </c>
      <c r="K26" s="124">
        <f ca="1">IF(J28&gt;=参数输入表!$H$366,0,IF(K25&lt;0,0,IF(K25*参数输入表!$H$367&gt;=K27,K27,(-K24-K15+K25)*参数输入表!$H$367)))</f>
        <v>-32.853555729649088</v>
      </c>
      <c r="L26" s="124">
        <f ca="1">IF(K28&gt;=参数输入表!$H$366,0,IF(L25&lt;0,0,IF(L25*参数输入表!$H$367&gt;=L27,L27,(-L24-L15+L25)*参数输入表!$H$367)))</f>
        <v>-19.881204094835994</v>
      </c>
      <c r="M26" s="124">
        <f ca="1">IF(L28&gt;=参数输入表!$H$366,0,IF(M25&lt;0,0,IF(M25*参数输入表!$H$367&gt;=M27,M27,(-M24-M15+M25)*参数输入表!$H$367)))</f>
        <v>-89.623613840406335</v>
      </c>
      <c r="N26" s="124">
        <f ca="1">IF(M28&gt;=参数输入表!$H$366,0,IF(N25&lt;0,0,IF(N25*参数输入表!$H$367&gt;=N27,N27,(-N24-N15+N25)*参数输入表!$H$367)))</f>
        <v>0</v>
      </c>
      <c r="O26" s="124">
        <f ca="1">IF(N28&gt;=参数输入表!$H$366,0,IF(O25&lt;0,0,IF(O25*参数输入表!$H$367&gt;=O27,O27,(-O24-O15+O25)*参数输入表!$H$367)))</f>
        <v>0</v>
      </c>
      <c r="P26" s="124">
        <f ca="1">IF(O28&gt;=参数输入表!$H$366,0,IF(P25&lt;0,0,IF(P25*参数输入表!$H$367&gt;=P27,P27,(-P24-P15+P25)*参数输入表!$H$367)))</f>
        <v>0</v>
      </c>
      <c r="Q26" s="124">
        <f ca="1">IF(P28&gt;=参数输入表!$H$366,0,IF(Q25&lt;0,0,IF(Q25*参数输入表!$H$367&gt;=Q27,Q27,(-Q24-Q15+Q25)*参数输入表!$H$367)))</f>
        <v>0</v>
      </c>
      <c r="R26" s="57">
        <f ca="1">IF(Q28&gt;=参数输入表!$H$366,0,IF(R25&lt;0,0,IF(R25*参数输入表!$H$367&gt;=R27,R27,(-R24-R15+R25)*参数输入表!$H$367)))</f>
        <v>77.766309159587678</v>
      </c>
      <c r="S26" s="124">
        <f ca="1">IF(R28&gt;=参数输入表!$H$366,0,IF(S25&lt;0,0,IF(S25*参数输入表!$H$367&gt;=S27,S27,(-S24-S15+S25)*参数输入表!$H$367)))</f>
        <v>121.21287450492605</v>
      </c>
      <c r="T26" s="124">
        <f ca="1">IF(S28&gt;=参数输入表!$H$366,0,IF(T25&lt;0,0,IF(T25*参数输入表!$H$367&gt;=T27,T27,(-T24-T15+T25)*参数输入表!$H$367)))</f>
        <v>131.12077868438959</v>
      </c>
      <c r="U26" s="124">
        <f ca="1">IF(T28&gt;=参数输入表!$H$366,0,IF(U25&lt;0,0,IF(U25*参数输入表!$H$367&gt;=U27,U27,(-U24-U15+U25)*参数输入表!$H$367)))</f>
        <v>141.45673953500264</v>
      </c>
      <c r="V26" s="124">
        <f ca="1">IF(U28&gt;=参数输入表!$H$366,0,IF(V25&lt;0,0,IF(V25*参数输入表!$H$367&gt;=V27,V27,(-V24-V15+V25)*参数输入表!$H$367)))</f>
        <v>151.78935624422238</v>
      </c>
      <c r="W26" s="124">
        <f ca="1">IF(V28&gt;=参数输入表!$H$366,0,IF(W25&lt;0,0,IF(W25*参数输入表!$H$367&gt;=W27,W27,(-W24-W15+W25)*参数输入表!$H$367)))</f>
        <v>339.45516743564679</v>
      </c>
      <c r="X26" s="124">
        <f ca="1">IF(W28&gt;=参数输入表!$H$366,0,IF(X25&lt;0,0,IF(X25*参数输入表!$H$367&gt;=X27,X27,(-X24-X15+X25)*参数输入表!$H$367)))</f>
        <v>340.38376827407728</v>
      </c>
      <c r="Y26" s="124">
        <f ca="1">IF(X28&gt;=参数输入表!$H$366,0,IF(Y25&lt;0,0,IF(Y25*参数输入表!$H$367&gt;=Y27,Y27,(-Y24-Y15+Y25)*参数输入表!$H$367)))</f>
        <v>341.30906991417197</v>
      </c>
      <c r="Z26" s="124">
        <f ca="1">IF(Y28&gt;=参数输入表!$H$366,0,IF(Z25&lt;0,0,IF(Z25*参数输入表!$H$367&gt;=Z27,Z27,(-Z24-Z15+Z25)*参数输入表!$H$367)))</f>
        <v>342.23108720232324</v>
      </c>
      <c r="AA26" s="124">
        <f ca="1">IF(Z28&gt;=参数输入表!$H$366,0,IF(AA25&lt;0,0,IF(AA25*参数输入表!$H$367&gt;=AA27,AA27,(-AA24-AA15+AA25)*参数输入表!$H$367)))</f>
        <v>343.14983491811455</v>
      </c>
    </row>
    <row r="27" spans="2:27" x14ac:dyDescent="0.25">
      <c r="B27" s="112"/>
      <c r="C27" s="113" t="s">
        <v>482</v>
      </c>
      <c r="D27" s="114"/>
      <c r="E27" s="103" t="s">
        <v>120</v>
      </c>
      <c r="F27" s="104"/>
      <c r="G27" s="104"/>
      <c r="H27" s="104">
        <f ca="1">参数输入表!$H$366</f>
        <v>4037.551022839853</v>
      </c>
      <c r="I27" s="104">
        <f ca="1">参数输入表!$H$366-H28</f>
        <v>3525.3469586685096</v>
      </c>
      <c r="J27" s="104">
        <f ca="1">参数输入表!$H$366-I28</f>
        <v>3584.1490210673496</v>
      </c>
      <c r="K27" s="104">
        <f ca="1">参数输入表!$H$366-J28</f>
        <v>3629.9761943242447</v>
      </c>
      <c r="L27" s="104">
        <f ca="1">参数输入表!$H$366-K28</f>
        <v>3662.8297500538938</v>
      </c>
      <c r="M27" s="104">
        <f ca="1">参数输入表!$H$366-L28</f>
        <v>3682.7109541487298</v>
      </c>
      <c r="N27" s="104">
        <f ca="1">参数输入表!$H$366-M28</f>
        <v>3772.3345679891363</v>
      </c>
      <c r="O27" s="104">
        <f ca="1">参数输入表!$H$366-N28</f>
        <v>3772.3345679891363</v>
      </c>
      <c r="P27" s="104">
        <f ca="1">参数输入表!$H$366-O28</f>
        <v>3772.3345679891363</v>
      </c>
      <c r="Q27" s="104">
        <f ca="1">参数输入表!$H$366-P28</f>
        <v>3772.3345679891363</v>
      </c>
      <c r="R27" s="139">
        <f ca="1">参数输入表!$H$366-Q28</f>
        <v>3772.3345679891363</v>
      </c>
      <c r="S27" s="104">
        <f ca="1">参数输入表!$H$366-R28</f>
        <v>3694.5682588295485</v>
      </c>
      <c r="T27" s="104">
        <f ca="1">参数输入表!$H$366-S28</f>
        <v>3573.3553843246223</v>
      </c>
      <c r="U27" s="104">
        <f ca="1">参数输入表!$H$366-T28</f>
        <v>3442.234605640233</v>
      </c>
      <c r="V27" s="104">
        <f ca="1">参数输入表!$H$366-U28</f>
        <v>3300.7778661052303</v>
      </c>
      <c r="W27" s="104">
        <f ca="1">参数输入表!$H$366-V28</f>
        <v>3148.9885098610075</v>
      </c>
      <c r="X27" s="104">
        <f ca="1">参数输入表!$H$366-W28</f>
        <v>2809.5333424253608</v>
      </c>
      <c r="Y27" s="104">
        <f ca="1">参数输入表!$H$366-X28</f>
        <v>2469.1495741512836</v>
      </c>
      <c r="Z27" s="104">
        <f ca="1">参数输入表!$H$366-Y28</f>
        <v>2127.8405042371114</v>
      </c>
      <c r="AA27" s="104">
        <f ca="1">参数输入表!$H$366-Z28</f>
        <v>1785.6094170347883</v>
      </c>
    </row>
    <row r="28" spans="2:27" x14ac:dyDescent="0.25">
      <c r="B28" s="112"/>
      <c r="C28" s="113" t="s">
        <v>483</v>
      </c>
      <c r="D28" s="114"/>
      <c r="E28" s="103" t="s">
        <v>120</v>
      </c>
      <c r="F28" s="104"/>
      <c r="G28" s="104"/>
      <c r="H28" s="104">
        <f ca="1">H26</f>
        <v>512.20406417134336</v>
      </c>
      <c r="I28" s="104">
        <f ca="1">I26+H28</f>
        <v>453.40200177250347</v>
      </c>
      <c r="J28" s="104">
        <f t="shared" ref="J28:AA28" ca="1" si="14">J26+I28</f>
        <v>407.57482851560826</v>
      </c>
      <c r="K28" s="104">
        <f t="shared" ca="1" si="14"/>
        <v>374.72127278595917</v>
      </c>
      <c r="L28" s="104">
        <f t="shared" ca="1" si="14"/>
        <v>354.84006869112318</v>
      </c>
      <c r="M28" s="104">
        <f t="shared" ca="1" si="14"/>
        <v>265.21645485071684</v>
      </c>
      <c r="N28" s="104">
        <f t="shared" ca="1" si="14"/>
        <v>265.21645485071684</v>
      </c>
      <c r="O28" s="104">
        <f t="shared" ca="1" si="14"/>
        <v>265.21645485071684</v>
      </c>
      <c r="P28" s="104">
        <f t="shared" ca="1" si="14"/>
        <v>265.21645485071684</v>
      </c>
      <c r="Q28" s="104">
        <f t="shared" ca="1" si="14"/>
        <v>265.21645485071684</v>
      </c>
      <c r="R28" s="139">
        <f t="shared" ca="1" si="14"/>
        <v>342.98276401030455</v>
      </c>
      <c r="S28" s="104">
        <f t="shared" ca="1" si="14"/>
        <v>464.1956385152306</v>
      </c>
      <c r="T28" s="104">
        <f t="shared" ca="1" si="14"/>
        <v>595.31641719962022</v>
      </c>
      <c r="U28" s="104">
        <f t="shared" ca="1" si="14"/>
        <v>736.77315673462283</v>
      </c>
      <c r="V28" s="104">
        <f t="shared" ca="1" si="14"/>
        <v>888.56251297884523</v>
      </c>
      <c r="W28" s="104">
        <f t="shared" ca="1" si="14"/>
        <v>1228.0176804144921</v>
      </c>
      <c r="X28" s="104">
        <f t="shared" ca="1" si="14"/>
        <v>1568.4014486885694</v>
      </c>
      <c r="Y28" s="104">
        <f t="shared" ca="1" si="14"/>
        <v>1909.7105186027413</v>
      </c>
      <c r="Z28" s="104">
        <f t="shared" ca="1" si="14"/>
        <v>2251.9416058050647</v>
      </c>
      <c r="AA28" s="104">
        <f t="shared" ca="1" si="14"/>
        <v>2595.0914407231794</v>
      </c>
    </row>
    <row r="29" spans="2:27" x14ac:dyDescent="0.25">
      <c r="B29" s="105">
        <v>14</v>
      </c>
      <c r="C29" s="117" t="s">
        <v>484</v>
      </c>
      <c r="D29" s="102">
        <f t="shared" ca="1" si="0"/>
        <v>106588.78560069628</v>
      </c>
      <c r="E29" s="103" t="s">
        <v>120</v>
      </c>
      <c r="F29" s="104"/>
      <c r="G29" s="104"/>
      <c r="H29" s="104">
        <f ca="1">H25-H26</f>
        <v>4609.8365775420898</v>
      </c>
      <c r="I29" s="104">
        <f t="shared" ref="I29:AA29" ca="1" si="15">I25-I26</f>
        <v>3619.6343581983215</v>
      </c>
      <c r="J29" s="104">
        <f t="shared" ca="1" si="15"/>
        <v>2845.2263630664324</v>
      </c>
      <c r="K29" s="104">
        <f t="shared" ca="1" si="15"/>
        <v>2265.0217251929475</v>
      </c>
      <c r="L29" s="104">
        <f t="shared" ca="1" si="15"/>
        <v>1859.5887158201288</v>
      </c>
      <c r="M29" s="104">
        <f t="shared" ca="1" si="15"/>
        <v>867.0173196744588</v>
      </c>
      <c r="N29" s="104">
        <f t="shared" ca="1" si="15"/>
        <v>965.7753192241106</v>
      </c>
      <c r="O29" s="104">
        <f t="shared" ca="1" si="15"/>
        <v>1140.8097098290807</v>
      </c>
      <c r="P29" s="104">
        <f t="shared" ca="1" si="15"/>
        <v>1434.0085312458</v>
      </c>
      <c r="Q29" s="104">
        <f t="shared" ca="1" si="15"/>
        <v>1835.8806607564122</v>
      </c>
      <c r="R29" s="139">
        <f t="shared" ca="1" si="15"/>
        <v>2823.2203387311547</v>
      </c>
      <c r="S29" s="104">
        <f t="shared" ca="1" si="15"/>
        <v>3631.8141754023736</v>
      </c>
      <c r="T29" s="104">
        <f t="shared" ca="1" si="15"/>
        <v>4448.7197660216425</v>
      </c>
      <c r="U29" s="104">
        <f t="shared" ca="1" si="15"/>
        <v>5276.9584452345025</v>
      </c>
      <c r="V29" s="104">
        <f t="shared" ca="1" si="15"/>
        <v>6115.3668069090536</v>
      </c>
      <c r="W29" s="104">
        <f t="shared" ca="1" si="15"/>
        <v>8558.9266331389699</v>
      </c>
      <c r="X29" s="104">
        <f t="shared" ca="1" si="15"/>
        <v>10766.487884291768</v>
      </c>
      <c r="Y29" s="104">
        <f t="shared" ca="1" si="15"/>
        <v>12761.620725090139</v>
      </c>
      <c r="Z29" s="104">
        <f t="shared" ca="1" si="15"/>
        <v>14565.538437402034</v>
      </c>
      <c r="AA29" s="104">
        <f t="shared" ca="1" si="15"/>
        <v>16197.333107924862</v>
      </c>
    </row>
    <row r="30" spans="2:27" x14ac:dyDescent="0.25">
      <c r="B30" s="105">
        <v>15</v>
      </c>
      <c r="C30" s="117" t="s">
        <v>485</v>
      </c>
      <c r="D30" s="102">
        <f t="shared" ca="1" si="0"/>
        <v>0</v>
      </c>
      <c r="E30" s="103" t="s">
        <v>120</v>
      </c>
      <c r="F30" s="104"/>
      <c r="G30" s="104"/>
      <c r="H30" s="104">
        <f ca="1">H29*参数输入表!$H$368</f>
        <v>0</v>
      </c>
      <c r="I30" s="104">
        <f ca="1">I29*参数输入表!$H$368</f>
        <v>0</v>
      </c>
      <c r="J30" s="104">
        <f ca="1">J29*参数输入表!$H$368</f>
        <v>0</v>
      </c>
      <c r="K30" s="104">
        <f ca="1">K29*参数输入表!$H$368</f>
        <v>0</v>
      </c>
      <c r="L30" s="104">
        <f ca="1">L29*参数输入表!$H$368</f>
        <v>0</v>
      </c>
      <c r="M30" s="104">
        <f ca="1">M29*参数输入表!$H$368</f>
        <v>0</v>
      </c>
      <c r="N30" s="104">
        <f ca="1">N29*参数输入表!$H$368</f>
        <v>0</v>
      </c>
      <c r="O30" s="104">
        <f ca="1">O29*参数输入表!$H$368</f>
        <v>0</v>
      </c>
      <c r="P30" s="104">
        <f ca="1">P29*参数输入表!$H$368</f>
        <v>0</v>
      </c>
      <c r="Q30" s="104">
        <f ca="1">Q29*参数输入表!$H$368</f>
        <v>0</v>
      </c>
      <c r="R30" s="139">
        <f ca="1">R29*参数输入表!$H$368</f>
        <v>0</v>
      </c>
      <c r="S30" s="104">
        <f ca="1">S29*参数输入表!$H$368</f>
        <v>0</v>
      </c>
      <c r="T30" s="104">
        <f ca="1">T29*参数输入表!$H$368</f>
        <v>0</v>
      </c>
      <c r="U30" s="104">
        <f ca="1">U29*参数输入表!$H$368</f>
        <v>0</v>
      </c>
      <c r="V30" s="104">
        <f ca="1">V29*参数输入表!$H$368</f>
        <v>0</v>
      </c>
      <c r="W30" s="104">
        <f ca="1">W29*参数输入表!$H$368</f>
        <v>0</v>
      </c>
      <c r="X30" s="104">
        <f ca="1">X29*参数输入表!$H$368</f>
        <v>0</v>
      </c>
      <c r="Y30" s="104">
        <f ca="1">Y29*参数输入表!$H$368</f>
        <v>0</v>
      </c>
      <c r="Z30" s="104">
        <f ca="1">Z29*参数输入表!$H$368</f>
        <v>0</v>
      </c>
      <c r="AA30" s="104">
        <f ca="1">AA29*参数输入表!$H$368</f>
        <v>0</v>
      </c>
    </row>
    <row r="31" spans="2:27" x14ac:dyDescent="0.25">
      <c r="B31" s="105">
        <v>16</v>
      </c>
      <c r="C31" s="117" t="s">
        <v>486</v>
      </c>
      <c r="D31" s="102">
        <f t="shared" ca="1" si="0"/>
        <v>10658.878560069628</v>
      </c>
      <c r="E31" s="103" t="s">
        <v>120</v>
      </c>
      <c r="F31" s="104"/>
      <c r="G31" s="104"/>
      <c r="H31" s="104">
        <f ca="1">IF(H29&lt;0,0,(H29)*0.1)</f>
        <v>460.98365775420899</v>
      </c>
      <c r="I31" s="104">
        <f t="shared" ref="I31:AA31" ca="1" si="16">IF(I29&lt;0,0,(I29)*0.1)</f>
        <v>361.96343581983217</v>
      </c>
      <c r="J31" s="104">
        <f t="shared" ca="1" si="16"/>
        <v>284.52263630664328</v>
      </c>
      <c r="K31" s="104">
        <f t="shared" ca="1" si="16"/>
        <v>226.50217251929476</v>
      </c>
      <c r="L31" s="104">
        <f t="shared" ca="1" si="16"/>
        <v>185.95887158201288</v>
      </c>
      <c r="M31" s="104">
        <f t="shared" ca="1" si="16"/>
        <v>86.70173196744588</v>
      </c>
      <c r="N31" s="104">
        <f t="shared" ca="1" si="16"/>
        <v>96.577531922411069</v>
      </c>
      <c r="O31" s="104">
        <f t="shared" ca="1" si="16"/>
        <v>114.08097098290807</v>
      </c>
      <c r="P31" s="104">
        <f t="shared" ca="1" si="16"/>
        <v>143.40085312458001</v>
      </c>
      <c r="Q31" s="104">
        <f t="shared" ca="1" si="16"/>
        <v>183.58806607564122</v>
      </c>
      <c r="R31" s="139">
        <f t="shared" ca="1" si="16"/>
        <v>282.32203387311546</v>
      </c>
      <c r="S31" s="104">
        <f t="shared" ca="1" si="16"/>
        <v>363.18141754023736</v>
      </c>
      <c r="T31" s="104">
        <f t="shared" ca="1" si="16"/>
        <v>444.8719766021643</v>
      </c>
      <c r="U31" s="104">
        <f t="shared" ca="1" si="16"/>
        <v>527.69584452345032</v>
      </c>
      <c r="V31" s="104">
        <f t="shared" ca="1" si="16"/>
        <v>611.53668069090543</v>
      </c>
      <c r="W31" s="104">
        <f t="shared" ca="1" si="16"/>
        <v>855.89266331389706</v>
      </c>
      <c r="X31" s="104">
        <f t="shared" ca="1" si="16"/>
        <v>1076.6487884291769</v>
      </c>
      <c r="Y31" s="104">
        <f t="shared" ca="1" si="16"/>
        <v>1276.162072509014</v>
      </c>
      <c r="Z31" s="104">
        <f t="shared" ca="1" si="16"/>
        <v>1456.5538437402035</v>
      </c>
      <c r="AA31" s="104">
        <f t="shared" ca="1" si="16"/>
        <v>1619.7333107924862</v>
      </c>
    </row>
    <row r="32" spans="2:27" x14ac:dyDescent="0.25">
      <c r="B32" s="105">
        <v>17</v>
      </c>
      <c r="C32" s="117" t="s">
        <v>487</v>
      </c>
      <c r="D32" s="102">
        <f t="shared" ca="1" si="0"/>
        <v>95929.907040626669</v>
      </c>
      <c r="E32" s="103" t="s">
        <v>120</v>
      </c>
      <c r="F32" s="104"/>
      <c r="G32" s="104"/>
      <c r="H32" s="104">
        <f ca="1">H29-H30-H31</f>
        <v>4148.8529197878806</v>
      </c>
      <c r="I32" s="104">
        <f t="shared" ref="I32:AA32" ca="1" si="17">I29-I30-I31</f>
        <v>3257.6709223784892</v>
      </c>
      <c r="J32" s="104">
        <f t="shared" ca="1" si="17"/>
        <v>2560.7037267597893</v>
      </c>
      <c r="K32" s="104">
        <f t="shared" ca="1" si="17"/>
        <v>2038.5195526736527</v>
      </c>
      <c r="L32" s="104">
        <f t="shared" ca="1" si="17"/>
        <v>1673.6298442381158</v>
      </c>
      <c r="M32" s="104">
        <f t="shared" ca="1" si="17"/>
        <v>780.31558770701292</v>
      </c>
      <c r="N32" s="104">
        <f t="shared" ca="1" si="17"/>
        <v>869.19778730169958</v>
      </c>
      <c r="O32" s="104">
        <f t="shared" ca="1" si="17"/>
        <v>1026.7287388461727</v>
      </c>
      <c r="P32" s="104">
        <f t="shared" ca="1" si="17"/>
        <v>1290.60767812122</v>
      </c>
      <c r="Q32" s="104">
        <f t="shared" ca="1" si="17"/>
        <v>1652.2925946807709</v>
      </c>
      <c r="R32" s="139">
        <f t="shared" ca="1" si="17"/>
        <v>2540.8983048580394</v>
      </c>
      <c r="S32" s="104">
        <f t="shared" ca="1" si="17"/>
        <v>3268.6327578621363</v>
      </c>
      <c r="T32" s="104">
        <f t="shared" ca="1" si="17"/>
        <v>4003.8477894194784</v>
      </c>
      <c r="U32" s="104">
        <f t="shared" ca="1" si="17"/>
        <v>4749.2626007110521</v>
      </c>
      <c r="V32" s="104">
        <f t="shared" ca="1" si="17"/>
        <v>5503.8301262181485</v>
      </c>
      <c r="W32" s="104">
        <f t="shared" ca="1" si="17"/>
        <v>7703.0339698250727</v>
      </c>
      <c r="X32" s="104">
        <f t="shared" ca="1" si="17"/>
        <v>9689.8390958625914</v>
      </c>
      <c r="Y32" s="104">
        <f t="shared" ca="1" si="17"/>
        <v>11485.458652581125</v>
      </c>
      <c r="Z32" s="104">
        <f t="shared" ca="1" si="17"/>
        <v>13108.984593661831</v>
      </c>
      <c r="AA32" s="104">
        <f t="shared" ca="1" si="17"/>
        <v>14577.599797132376</v>
      </c>
    </row>
    <row r="33" spans="2:27" x14ac:dyDescent="0.25">
      <c r="B33" s="105">
        <v>18</v>
      </c>
      <c r="C33" s="117" t="s">
        <v>488</v>
      </c>
      <c r="D33" s="102">
        <f t="shared" ca="1" si="0"/>
        <v>52500.982897313967</v>
      </c>
      <c r="E33" s="103" t="s">
        <v>120</v>
      </c>
      <c r="F33" s="104"/>
      <c r="G33" s="104"/>
      <c r="H33" s="104">
        <f ca="1">H14+'表1-资金筹措及还本付息表'!H93</f>
        <v>8716.8630555232558</v>
      </c>
      <c r="I33" s="104">
        <f ca="1">I14+'表1-资金筹措及还本付息表'!I93</f>
        <v>1174.156607034367</v>
      </c>
      <c r="J33" s="104">
        <f ca="1">J14+'表1-资金筹措及还本付息表'!J93</f>
        <v>1178.6071962379024</v>
      </c>
      <c r="K33" s="104">
        <f ca="1">K14+'表1-资金筹措及还本付息表'!K93</f>
        <v>1183.0450692944514</v>
      </c>
      <c r="L33" s="104">
        <f ca="1">L14+'表1-资金筹措及还本付息表'!L93</f>
        <v>1187.4702834266702</v>
      </c>
      <c r="M33" s="104">
        <f ca="1">M14+'表1-资金筹措及还本付息表'!M93</f>
        <v>364.747883755055</v>
      </c>
      <c r="N33" s="104">
        <f ca="1">N14+'表1-资金筹措及还本付息表'!N93</f>
        <v>1321.145451460304</v>
      </c>
      <c r="O33" s="104">
        <f ca="1">O14+'表1-资金筹措及还本付息表'!O93</f>
        <v>1281.9993402546756</v>
      </c>
      <c r="P33" s="104">
        <f ca="1">P14+'表1-资金筹措及还本付息表'!P93</f>
        <v>1292.36890791101</v>
      </c>
      <c r="Q33" s="104">
        <f ca="1">Q14+'表1-资金筹措及还本付息表'!Q93</f>
        <v>1305.0637959306632</v>
      </c>
      <c r="R33" s="139">
        <f ca="1">R14+'表1-资金筹措及还本付息表'!R93</f>
        <v>2142.40759482149</v>
      </c>
      <c r="S33" s="104">
        <f ca="1">S14+'表1-资金筹措及还本付息表'!S93</f>
        <v>2125.3658689293279</v>
      </c>
      <c r="T33" s="104">
        <f ca="1">T14+'表1-资金筹措及还本付息表'!T93</f>
        <v>2132.1729557729304</v>
      </c>
      <c r="U33" s="104">
        <f ca="1">U14+'表1-资金筹措及还本付息表'!U93</f>
        <v>2144.6874648985249</v>
      </c>
      <c r="V33" s="104">
        <f ca="1">V14+'表1-资金筹措及还本付息表'!V93</f>
        <v>2157.1573854722096</v>
      </c>
      <c r="W33" s="104">
        <f ca="1">W14+'表1-资金筹措及还本付息表'!W93</f>
        <v>4534.0698991419576</v>
      </c>
      <c r="X33" s="104">
        <f ca="1">X14+'表1-资金筹措及还本付息表'!X93</f>
        <v>4546.4512436543646</v>
      </c>
      <c r="Y33" s="104">
        <f ca="1">Y14+'表1-资金筹措及还本付息表'!Y93</f>
        <v>4558.7885988556272</v>
      </c>
      <c r="Z33" s="104">
        <f ca="1">Z14+'表1-资金筹措及还本付息表'!Z93</f>
        <v>4571.0821626976431</v>
      </c>
      <c r="AA33" s="104">
        <f ca="1">AA14+'表1-资金筹措及还本付息表'!AA93</f>
        <v>4583.3321322415259</v>
      </c>
    </row>
    <row r="34" spans="2:27" x14ac:dyDescent="0.25">
      <c r="B34" s="105">
        <v>19</v>
      </c>
      <c r="C34" s="117" t="s">
        <v>489</v>
      </c>
      <c r="D34" s="102">
        <f t="shared" ca="1" si="0"/>
        <v>107903.18185928036</v>
      </c>
      <c r="E34" s="103" t="s">
        <v>120</v>
      </c>
      <c r="F34" s="104"/>
      <c r="G34" s="104"/>
      <c r="H34" s="104">
        <f ca="1">H33+'表2-折旧摊销表'!H52</f>
        <v>12487.874269479742</v>
      </c>
      <c r="I34" s="104">
        <f ca="1">I33+'表2-折旧摊销表'!I52</f>
        <v>4945.1678209908532</v>
      </c>
      <c r="J34" s="104">
        <f ca="1">J33+'表2-折旧摊销表'!J52</f>
        <v>4949.6184101943891</v>
      </c>
      <c r="K34" s="104">
        <f ca="1">K33+'表2-折旧摊销表'!K52</f>
        <v>4954.0562832509377</v>
      </c>
      <c r="L34" s="104">
        <f ca="1">L33+'表2-折旧摊销表'!L52</f>
        <v>4958.4814973831562</v>
      </c>
      <c r="M34" s="104">
        <f ca="1">M33+'表2-折旧摊销表'!M52</f>
        <v>4135.7590977115415</v>
      </c>
      <c r="N34" s="104">
        <f ca="1">N33+'表2-折旧摊销表'!N52</f>
        <v>5092.15666541679</v>
      </c>
      <c r="O34" s="104">
        <f ca="1">O33+'表2-折旧摊销表'!O52</f>
        <v>5053.0105542111614</v>
      </c>
      <c r="P34" s="104">
        <f ca="1">P33+'表2-折旧摊销表'!P52</f>
        <v>5063.3801218674962</v>
      </c>
      <c r="Q34" s="104">
        <f ca="1">Q33+'表2-折旧摊销表'!Q52</f>
        <v>5076.0750098871495</v>
      </c>
      <c r="R34" s="139">
        <f ca="1">R33+'表2-折旧摊销表'!R52</f>
        <v>5056.0279091543052</v>
      </c>
      <c r="S34" s="104">
        <f ca="1">S33+'表2-折旧摊销表'!S52</f>
        <v>5081.0215814922312</v>
      </c>
      <c r="T34" s="104">
        <f ca="1">T33+'表2-折旧摊销表'!T52</f>
        <v>5087.8286683358338</v>
      </c>
      <c r="U34" s="104">
        <f ca="1">U33+'表2-折旧摊销表'!U52</f>
        <v>5100.3431774614282</v>
      </c>
      <c r="V34" s="104">
        <f ca="1">V33+'表2-折旧摊销表'!V52</f>
        <v>5112.8130980351125</v>
      </c>
      <c r="W34" s="104">
        <f ca="1">W33+'表2-折旧摊销表'!W52</f>
        <v>5125.2386307053794</v>
      </c>
      <c r="X34" s="104">
        <f ca="1">X33+'表2-折旧摊销表'!X52</f>
        <v>5137.6199752177863</v>
      </c>
      <c r="Y34" s="104">
        <f ca="1">Y33+'表2-折旧摊销表'!Y52</f>
        <v>5149.957330419049</v>
      </c>
      <c r="Z34" s="104">
        <f ca="1">Z33+'表2-折旧摊销表'!Z52</f>
        <v>5162.2508942610648</v>
      </c>
      <c r="AA34" s="104">
        <f ca="1">AA33+'表2-折旧摊销表'!AA52</f>
        <v>5174.5008638049476</v>
      </c>
    </row>
    <row r="36" spans="2:27" ht="21.5" x14ac:dyDescent="0.25">
      <c r="C36" s="118" t="s">
        <v>490</v>
      </c>
    </row>
    <row r="37" spans="2:27" ht="21.5" x14ac:dyDescent="0.25">
      <c r="C37" s="118" t="s">
        <v>491</v>
      </c>
    </row>
    <row r="38" spans="2:27" ht="21.5" x14ac:dyDescent="0.25">
      <c r="C38" s="118" t="s">
        <v>492</v>
      </c>
    </row>
    <row r="39" spans="2:27" ht="21.5" x14ac:dyDescent="0.25">
      <c r="C39" s="118"/>
    </row>
    <row r="40" spans="2:27" ht="21.5" x14ac:dyDescent="0.25">
      <c r="C40" s="118" t="s">
        <v>419</v>
      </c>
    </row>
    <row r="41" spans="2:27" ht="21.5" x14ac:dyDescent="0.25">
      <c r="C41" s="118" t="s">
        <v>455</v>
      </c>
    </row>
  </sheetData>
  <mergeCells count="6">
    <mergeCell ref="F3:G3"/>
    <mergeCell ref="H3:AA3"/>
    <mergeCell ref="B3:B4"/>
    <mergeCell ref="C3:C4"/>
    <mergeCell ref="D3:D4"/>
    <mergeCell ref="E3:E4"/>
  </mergeCells>
  <phoneticPr fontId="65" type="noConversion"/>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AA56"/>
  <sheetViews>
    <sheetView showGridLines="0" topLeftCell="A14" zoomScale="60" zoomScaleNormal="60" workbookViewId="0">
      <selection activeCell="D35" sqref="D35"/>
    </sheetView>
  </sheetViews>
  <sheetFormatPr defaultColWidth="8.81640625" defaultRowHeight="16.5" x14ac:dyDescent="0.25"/>
  <cols>
    <col min="1" max="1" width="2.36328125" style="44" customWidth="1"/>
    <col min="2" max="2" width="8.81640625" style="87"/>
    <col min="3" max="3" width="33.7265625" style="44" customWidth="1"/>
    <col min="4" max="4" width="14.1796875" style="44" customWidth="1"/>
    <col min="5" max="5" width="12.36328125" style="44"/>
    <col min="6" max="6" width="14.6328125" style="44" customWidth="1"/>
    <col min="7" max="7" width="15.36328125" style="44" customWidth="1"/>
    <col min="8" max="12" width="14.6328125" style="44" customWidth="1"/>
    <col min="13" max="16" width="13.54296875" style="44" customWidth="1"/>
    <col min="17" max="17" width="14.6328125" style="44" customWidth="1"/>
    <col min="18" max="18" width="14.6328125" style="120" customWidth="1"/>
    <col min="19" max="20" width="14.6328125" style="44" customWidth="1"/>
    <col min="21" max="27" width="13.54296875" style="44" customWidth="1"/>
    <col min="28" max="16384" width="8.81640625" style="44"/>
  </cols>
  <sheetData>
    <row r="1" spans="2:27" ht="7" customHeight="1" x14ac:dyDescent="0.25"/>
    <row r="2" spans="2:27" ht="21" customHeight="1" x14ac:dyDescent="0.25">
      <c r="B2" s="121" t="s">
        <v>493</v>
      </c>
    </row>
    <row r="3" spans="2:27" x14ac:dyDescent="0.25">
      <c r="B3" s="440" t="s">
        <v>14</v>
      </c>
      <c r="C3" s="440" t="s">
        <v>318</v>
      </c>
      <c r="D3" s="440" t="s">
        <v>306</v>
      </c>
      <c r="E3" s="440" t="s">
        <v>38</v>
      </c>
      <c r="F3" s="438" t="s">
        <v>93</v>
      </c>
      <c r="G3" s="438"/>
      <c r="H3" s="438" t="s">
        <v>103</v>
      </c>
      <c r="I3" s="438"/>
      <c r="J3" s="438"/>
      <c r="K3" s="438"/>
      <c r="L3" s="438"/>
      <c r="M3" s="438"/>
      <c r="N3" s="438"/>
      <c r="O3" s="438"/>
      <c r="P3" s="438"/>
      <c r="Q3" s="438"/>
      <c r="R3" s="439"/>
      <c r="S3" s="438"/>
      <c r="T3" s="438"/>
      <c r="U3" s="438"/>
      <c r="V3" s="438"/>
      <c r="W3" s="438"/>
      <c r="X3" s="438"/>
      <c r="Y3" s="438"/>
      <c r="Z3" s="438"/>
      <c r="AA3" s="438"/>
    </row>
    <row r="4" spans="2:27" x14ac:dyDescent="0.25">
      <c r="B4" s="441"/>
      <c r="C4" s="441"/>
      <c r="D4" s="441"/>
      <c r="E4" s="441"/>
      <c r="F4" s="47">
        <v>1</v>
      </c>
      <c r="G4" s="47">
        <v>2</v>
      </c>
      <c r="H4" s="47">
        <v>1</v>
      </c>
      <c r="I4" s="47">
        <v>2</v>
      </c>
      <c r="J4" s="47">
        <v>3</v>
      </c>
      <c r="K4" s="47">
        <v>4</v>
      </c>
      <c r="L4" s="47">
        <v>5</v>
      </c>
      <c r="M4" s="47">
        <v>6</v>
      </c>
      <c r="N4" s="47">
        <v>7</v>
      </c>
      <c r="O4" s="47">
        <v>8</v>
      </c>
      <c r="P4" s="47">
        <v>9</v>
      </c>
      <c r="Q4" s="47">
        <v>10</v>
      </c>
      <c r="R4" s="122">
        <v>11</v>
      </c>
      <c r="S4" s="47">
        <v>12</v>
      </c>
      <c r="T4" s="47">
        <v>13</v>
      </c>
      <c r="U4" s="47">
        <v>14</v>
      </c>
      <c r="V4" s="47">
        <v>15</v>
      </c>
      <c r="W4" s="47">
        <v>16</v>
      </c>
      <c r="X4" s="47">
        <v>17</v>
      </c>
      <c r="Y4" s="47">
        <v>18</v>
      </c>
      <c r="Z4" s="47">
        <v>19</v>
      </c>
      <c r="AA4" s="47">
        <v>20</v>
      </c>
    </row>
    <row r="5" spans="2:27" x14ac:dyDescent="0.25">
      <c r="B5" s="69">
        <v>1</v>
      </c>
      <c r="C5" s="70" t="s">
        <v>494</v>
      </c>
      <c r="D5" s="71">
        <f ca="1">SUM(F5:AA5)</f>
        <v>457721.40361999726</v>
      </c>
      <c r="E5" s="51" t="s">
        <v>120</v>
      </c>
      <c r="F5" s="50">
        <f ca="1">SUM(F6:F12)</f>
        <v>31636.040763520901</v>
      </c>
      <c r="G5" s="50">
        <f ca="1">SUM(G6:G12)</f>
        <v>22063.231614727039</v>
      </c>
      <c r="H5" s="50">
        <f ca="1">H6+H7+H8+H9+H10+H11+H12</f>
        <v>26688.384000000002</v>
      </c>
      <c r="I5" s="50">
        <f t="shared" ref="I5:AA5" ca="1" si="0">SUM(I6:I12)</f>
        <v>18688.384000000002</v>
      </c>
      <c r="J5" s="50">
        <f t="shared" ca="1" si="0"/>
        <v>18688.384000000002</v>
      </c>
      <c r="K5" s="50">
        <f t="shared" ca="1" si="0"/>
        <v>18688.384000000002</v>
      </c>
      <c r="L5" s="50">
        <f t="shared" ca="1" si="0"/>
        <v>18688.384000000002</v>
      </c>
      <c r="M5" s="50">
        <f t="shared" ca="1" si="0"/>
        <v>18688.384000000002</v>
      </c>
      <c r="N5" s="50">
        <f t="shared" ca="1" si="0"/>
        <v>19688.384000000002</v>
      </c>
      <c r="O5" s="50">
        <f t="shared" ca="1" si="0"/>
        <v>19688.384000000002</v>
      </c>
      <c r="P5" s="50">
        <f t="shared" ca="1" si="0"/>
        <v>19688.384000000002</v>
      </c>
      <c r="Q5" s="50">
        <f t="shared" ca="1" si="0"/>
        <v>19688.384000000002</v>
      </c>
      <c r="R5" s="123">
        <f t="shared" ca="1" si="0"/>
        <v>19688.384000000002</v>
      </c>
      <c r="S5" s="50">
        <f t="shared" ca="1" si="0"/>
        <v>19688.384000000002</v>
      </c>
      <c r="T5" s="50">
        <f t="shared" ca="1" si="0"/>
        <v>19688.384000000002</v>
      </c>
      <c r="U5" s="50">
        <f t="shared" ca="1" si="0"/>
        <v>19688.384000000002</v>
      </c>
      <c r="V5" s="50">
        <f t="shared" ca="1" si="0"/>
        <v>19688.384000000002</v>
      </c>
      <c r="W5" s="50">
        <f t="shared" ca="1" si="0"/>
        <v>19688.384000000002</v>
      </c>
      <c r="X5" s="50">
        <f t="shared" ca="1" si="0"/>
        <v>19688.384000000002</v>
      </c>
      <c r="Y5" s="50">
        <f t="shared" ca="1" si="0"/>
        <v>19688.384000000002</v>
      </c>
      <c r="Z5" s="50">
        <f t="shared" ca="1" si="0"/>
        <v>19688.384000000002</v>
      </c>
      <c r="AA5" s="50">
        <f t="shared" ca="1" si="0"/>
        <v>27942.835241749206</v>
      </c>
    </row>
    <row r="6" spans="2:27" x14ac:dyDescent="0.25">
      <c r="B6" s="73">
        <v>1.1000000000000001</v>
      </c>
      <c r="C6" s="74" t="s">
        <v>315</v>
      </c>
      <c r="D6" s="75">
        <f ca="1">SUM(F6:AA6)</f>
        <v>53699.272378247944</v>
      </c>
      <c r="E6" s="51" t="s">
        <v>120</v>
      </c>
      <c r="F6" s="55">
        <f ca="1">'表1-资金筹措及还本付息表'!F80</f>
        <v>31636.040763520901</v>
      </c>
      <c r="G6" s="55">
        <f ca="1">'表1-资金筹措及还本付息表'!G80</f>
        <v>22063.231614727039</v>
      </c>
      <c r="H6" s="55">
        <v>0</v>
      </c>
      <c r="I6" s="55">
        <v>0</v>
      </c>
      <c r="J6" s="55">
        <v>0</v>
      </c>
      <c r="K6" s="55">
        <v>0</v>
      </c>
      <c r="L6" s="55">
        <v>0</v>
      </c>
      <c r="M6" s="55">
        <v>0</v>
      </c>
      <c r="N6" s="55">
        <v>0</v>
      </c>
      <c r="O6" s="55">
        <v>0</v>
      </c>
      <c r="P6" s="55">
        <v>0</v>
      </c>
      <c r="Q6" s="55">
        <v>0</v>
      </c>
      <c r="R6" s="124">
        <v>0</v>
      </c>
      <c r="S6" s="55">
        <v>0</v>
      </c>
      <c r="T6" s="55">
        <v>0</v>
      </c>
      <c r="U6" s="55">
        <v>0</v>
      </c>
      <c r="V6" s="55">
        <v>0</v>
      </c>
      <c r="W6" s="55">
        <v>0</v>
      </c>
      <c r="X6" s="55">
        <v>0</v>
      </c>
      <c r="Y6" s="55">
        <v>0</v>
      </c>
      <c r="Z6" s="55">
        <v>0</v>
      </c>
      <c r="AA6" s="55">
        <v>0</v>
      </c>
    </row>
    <row r="7" spans="2:27" x14ac:dyDescent="0.25">
      <c r="B7" s="73">
        <v>1.2</v>
      </c>
      <c r="C7" s="74" t="s">
        <v>495</v>
      </c>
      <c r="D7" s="75">
        <f>SUM(F7:AA7)</f>
        <v>395767.68000000011</v>
      </c>
      <c r="E7" s="51" t="s">
        <v>120</v>
      </c>
      <c r="F7" s="55"/>
      <c r="G7" s="55"/>
      <c r="H7" s="55">
        <f>'表4-收入税金表'!H6+'表4-收入税金表'!H18</f>
        <v>26688.384000000002</v>
      </c>
      <c r="I7" s="55">
        <f>'表4-收入税金表'!I6+'表4-收入税金表'!I18</f>
        <v>18688.384000000002</v>
      </c>
      <c r="J7" s="55">
        <f>'表4-收入税金表'!J6+'表4-收入税金表'!J18</f>
        <v>18688.384000000002</v>
      </c>
      <c r="K7" s="55">
        <f>'表4-收入税金表'!K6+'表4-收入税金表'!K18</f>
        <v>18688.384000000002</v>
      </c>
      <c r="L7" s="55">
        <f>'表4-收入税金表'!L6+'表4-收入税金表'!L18</f>
        <v>18688.384000000002</v>
      </c>
      <c r="M7" s="55">
        <f>'表4-收入税金表'!M6+'表4-收入税金表'!M18</f>
        <v>18688.384000000002</v>
      </c>
      <c r="N7" s="55">
        <f>'表4-收入税金表'!N6+'表4-收入税金表'!N18</f>
        <v>19688.384000000002</v>
      </c>
      <c r="O7" s="55">
        <f>'表4-收入税金表'!O6+'表4-收入税金表'!O18</f>
        <v>19688.384000000002</v>
      </c>
      <c r="P7" s="55">
        <f>'表4-收入税金表'!P6+'表4-收入税金表'!P18</f>
        <v>19688.384000000002</v>
      </c>
      <c r="Q7" s="55">
        <f>'表4-收入税金表'!Q6+'表4-收入税金表'!Q18</f>
        <v>19688.384000000002</v>
      </c>
      <c r="R7" s="124">
        <f>'表4-收入税金表'!R6+'表4-收入税金表'!R18</f>
        <v>19688.384000000002</v>
      </c>
      <c r="S7" s="55">
        <f>'表4-收入税金表'!S6+'表4-收入税金表'!S18</f>
        <v>19688.384000000002</v>
      </c>
      <c r="T7" s="55">
        <f>'表4-收入税金表'!T6+'表4-收入税金表'!T18</f>
        <v>19688.384000000002</v>
      </c>
      <c r="U7" s="55">
        <f>'表4-收入税金表'!U6+'表4-收入税金表'!U18</f>
        <v>19688.384000000002</v>
      </c>
      <c r="V7" s="55">
        <f>'表4-收入税金表'!V6+'表4-收入税金表'!V18</f>
        <v>19688.384000000002</v>
      </c>
      <c r="W7" s="55">
        <f>'表4-收入税金表'!W6+'表4-收入税金表'!W18</f>
        <v>19688.384000000002</v>
      </c>
      <c r="X7" s="55">
        <f>'表4-收入税金表'!X6+'表4-收入税金表'!X18</f>
        <v>19688.384000000002</v>
      </c>
      <c r="Y7" s="55">
        <f>'表4-收入税金表'!Y6+'表4-收入税金表'!Y18</f>
        <v>19688.384000000002</v>
      </c>
      <c r="Z7" s="55">
        <f>'表4-收入税金表'!Z6+'表4-收入税金表'!Z18</f>
        <v>19688.384000000002</v>
      </c>
      <c r="AA7" s="55">
        <f>'表4-收入税金表'!AA6+'表4-收入税金表'!AA18</f>
        <v>19688.384000000002</v>
      </c>
    </row>
    <row r="8" spans="2:27" x14ac:dyDescent="0.25">
      <c r="B8" s="73">
        <v>1.3</v>
      </c>
      <c r="C8" s="74" t="s">
        <v>122</v>
      </c>
      <c r="D8" s="75">
        <f t="shared" ref="D8:D27" si="1">SUM(F8:AA8)</f>
        <v>0</v>
      </c>
      <c r="E8" s="51" t="s">
        <v>120</v>
      </c>
      <c r="F8" s="55"/>
      <c r="G8" s="55"/>
      <c r="H8" s="55">
        <f>('表4-收入税金表'!H10+'表4-收入税金表'!H19)</f>
        <v>0</v>
      </c>
      <c r="I8" s="55">
        <f>('表4-收入税金表'!I10+'表4-收入税金表'!I19)</f>
        <v>0</v>
      </c>
      <c r="J8" s="55">
        <f>('表4-收入税金表'!J10+'表4-收入税金表'!J19)</f>
        <v>0</v>
      </c>
      <c r="K8" s="55">
        <f>('表4-收入税金表'!K10+'表4-收入税金表'!K19)</f>
        <v>0</v>
      </c>
      <c r="L8" s="55">
        <f>('表4-收入税金表'!L10+'表4-收入税金表'!L19)</f>
        <v>0</v>
      </c>
      <c r="M8" s="55">
        <f>('表4-收入税金表'!M10+'表4-收入税金表'!M19)</f>
        <v>0</v>
      </c>
      <c r="N8" s="55">
        <f>('表4-收入税金表'!N10+'表4-收入税金表'!N19)</f>
        <v>0</v>
      </c>
      <c r="O8" s="55">
        <f>('表4-收入税金表'!O10+'表4-收入税金表'!O19)</f>
        <v>0</v>
      </c>
      <c r="P8" s="55">
        <f>('表4-收入税金表'!P10+'表4-收入税金表'!P19)</f>
        <v>0</v>
      </c>
      <c r="Q8" s="55">
        <f>('表4-收入税金表'!Q10+'表4-收入税金表'!Q19)</f>
        <v>0</v>
      </c>
      <c r="R8" s="124">
        <f>('表4-收入税金表'!R10+'表4-收入税金表'!R19)</f>
        <v>0</v>
      </c>
      <c r="S8" s="55">
        <f>('表4-收入税金表'!S10+'表4-收入税金表'!S19)</f>
        <v>0</v>
      </c>
      <c r="T8" s="55">
        <f>('表4-收入税金表'!T10+'表4-收入税金表'!T19)</f>
        <v>0</v>
      </c>
      <c r="U8" s="55">
        <f>('表4-收入税金表'!U10+'表4-收入税金表'!U19)</f>
        <v>0</v>
      </c>
      <c r="V8" s="55">
        <f>('表4-收入税金表'!V10+'表4-收入税金表'!V19)</f>
        <v>0</v>
      </c>
      <c r="W8" s="55">
        <f>('表4-收入税金表'!W10+'表4-收入税金表'!W19)</f>
        <v>0</v>
      </c>
      <c r="X8" s="55">
        <f>('表4-收入税金表'!X10+'表4-收入税金表'!X19)</f>
        <v>0</v>
      </c>
      <c r="Y8" s="55">
        <f>('表4-收入税金表'!Y10+'表4-收入税金表'!Y19)</f>
        <v>0</v>
      </c>
      <c r="Z8" s="55">
        <f>('表4-收入税金表'!Z10+'表4-收入税金表'!Z19)</f>
        <v>0</v>
      </c>
      <c r="AA8" s="55">
        <f>('表4-收入税金表'!AA10+'表4-收入税金表'!AA19)</f>
        <v>0</v>
      </c>
    </row>
    <row r="9" spans="2:27" x14ac:dyDescent="0.25">
      <c r="B9" s="73">
        <v>1.4</v>
      </c>
      <c r="C9" s="74" t="s">
        <v>426</v>
      </c>
      <c r="D9" s="75">
        <f t="shared" si="1"/>
        <v>0</v>
      </c>
      <c r="E9" s="51" t="s">
        <v>120</v>
      </c>
      <c r="F9" s="55"/>
      <c r="G9" s="55"/>
      <c r="H9" s="55">
        <f>参数输入表!H318</f>
        <v>0</v>
      </c>
      <c r="I9" s="55"/>
      <c r="J9" s="55"/>
      <c r="K9" s="55"/>
      <c r="L9" s="55"/>
      <c r="M9" s="55"/>
      <c r="N9" s="55"/>
      <c r="O9" s="55"/>
      <c r="P9" s="55"/>
      <c r="Q9" s="55"/>
      <c r="R9" s="124"/>
      <c r="S9" s="55"/>
      <c r="T9" s="55"/>
      <c r="U9" s="55"/>
      <c r="V9" s="55"/>
      <c r="W9" s="55"/>
      <c r="X9" s="55"/>
      <c r="Y9" s="55"/>
      <c r="Z9" s="55"/>
      <c r="AA9" s="55"/>
    </row>
    <row r="10" spans="2:27" x14ac:dyDescent="0.25">
      <c r="B10" s="73">
        <v>1.5</v>
      </c>
      <c r="C10" s="74" t="s">
        <v>496</v>
      </c>
      <c r="D10" s="75">
        <f t="shared" ca="1" si="1"/>
        <v>7873.4512417492024</v>
      </c>
      <c r="E10" s="51" t="s">
        <v>120</v>
      </c>
      <c r="F10" s="55"/>
      <c r="G10" s="55"/>
      <c r="H10" s="55">
        <v>0</v>
      </c>
      <c r="I10" s="55">
        <v>0</v>
      </c>
      <c r="J10" s="55">
        <v>0</v>
      </c>
      <c r="K10" s="55">
        <v>0</v>
      </c>
      <c r="L10" s="55">
        <v>0</v>
      </c>
      <c r="M10" s="55">
        <v>0</v>
      </c>
      <c r="N10" s="55">
        <v>0</v>
      </c>
      <c r="O10" s="55">
        <v>0</v>
      </c>
      <c r="P10" s="55">
        <v>0</v>
      </c>
      <c r="Q10" s="55">
        <v>0</v>
      </c>
      <c r="R10" s="124">
        <v>0</v>
      </c>
      <c r="S10" s="55">
        <v>0</v>
      </c>
      <c r="T10" s="55">
        <v>0</v>
      </c>
      <c r="U10" s="55">
        <v>0</v>
      </c>
      <c r="V10" s="55">
        <v>0</v>
      </c>
      <c r="W10" s="55">
        <v>0</v>
      </c>
      <c r="X10" s="55">
        <v>0</v>
      </c>
      <c r="Y10" s="55">
        <v>0</v>
      </c>
      <c r="Z10" s="55">
        <v>0</v>
      </c>
      <c r="AA10" s="55">
        <f ca="1">'表2-折旧摊销表'!AA53</f>
        <v>7873.4512417492024</v>
      </c>
    </row>
    <row r="11" spans="2:27" x14ac:dyDescent="0.25">
      <c r="B11" s="73">
        <v>1.6</v>
      </c>
      <c r="C11" s="74" t="s">
        <v>497</v>
      </c>
      <c r="D11" s="75">
        <f t="shared" si="1"/>
        <v>381</v>
      </c>
      <c r="E11" s="51" t="s">
        <v>120</v>
      </c>
      <c r="F11" s="55"/>
      <c r="G11" s="55"/>
      <c r="H11" s="55"/>
      <c r="I11" s="55"/>
      <c r="J11" s="55"/>
      <c r="K11" s="55"/>
      <c r="L11" s="55"/>
      <c r="M11" s="55"/>
      <c r="N11" s="55"/>
      <c r="O11" s="55"/>
      <c r="P11" s="55"/>
      <c r="Q11" s="55"/>
      <c r="R11" s="124"/>
      <c r="S11" s="55"/>
      <c r="T11" s="55"/>
      <c r="U11" s="55"/>
      <c r="V11" s="55"/>
      <c r="W11" s="55"/>
      <c r="X11" s="55"/>
      <c r="Y11" s="55"/>
      <c r="Z11" s="55"/>
      <c r="AA11" s="55">
        <f>'表1-资金筹措及还本付息表'!H6</f>
        <v>381</v>
      </c>
    </row>
    <row r="12" spans="2:27" x14ac:dyDescent="0.25">
      <c r="B12" s="73">
        <v>1.7</v>
      </c>
      <c r="C12" s="74" t="s">
        <v>427</v>
      </c>
      <c r="D12" s="75">
        <f t="shared" ca="1" si="1"/>
        <v>0</v>
      </c>
      <c r="E12" s="51" t="s">
        <v>120</v>
      </c>
      <c r="F12" s="55"/>
      <c r="G12" s="55"/>
      <c r="H12" s="55">
        <f ca="1">'表4-收入税金表'!H13</f>
        <v>0</v>
      </c>
      <c r="I12" s="55">
        <f ca="1">'表4-收入税金表'!I13</f>
        <v>0</v>
      </c>
      <c r="J12" s="55">
        <f ca="1">'表4-收入税金表'!J13</f>
        <v>0</v>
      </c>
      <c r="K12" s="55">
        <f ca="1">'表4-收入税金表'!K13</f>
        <v>0</v>
      </c>
      <c r="L12" s="55">
        <f ca="1">'表4-收入税金表'!L13</f>
        <v>0</v>
      </c>
      <c r="M12" s="55">
        <f ca="1">'表4-收入税金表'!M13</f>
        <v>0</v>
      </c>
      <c r="N12" s="55">
        <f ca="1">'表4-收入税金表'!N13</f>
        <v>0</v>
      </c>
      <c r="O12" s="55">
        <f ca="1">'表4-收入税金表'!O13</f>
        <v>0</v>
      </c>
      <c r="P12" s="55">
        <f ca="1">'表4-收入税金表'!P13</f>
        <v>0</v>
      </c>
      <c r="Q12" s="55">
        <f ca="1">'表4-收入税金表'!Q13</f>
        <v>0</v>
      </c>
      <c r="R12" s="124">
        <f ca="1">'表4-收入税金表'!R13</f>
        <v>0</v>
      </c>
      <c r="S12" s="55">
        <f ca="1">'表4-收入税金表'!S13</f>
        <v>0</v>
      </c>
      <c r="T12" s="55">
        <f ca="1">'表4-收入税金表'!T13</f>
        <v>0</v>
      </c>
      <c r="U12" s="55">
        <f ca="1">'表4-收入税金表'!U13</f>
        <v>0</v>
      </c>
      <c r="V12" s="55">
        <f ca="1">'表4-收入税金表'!V13</f>
        <v>0</v>
      </c>
      <c r="W12" s="55">
        <f ca="1">'表4-收入税金表'!W13</f>
        <v>0</v>
      </c>
      <c r="X12" s="55">
        <f ca="1">'表4-收入税金表'!X13</f>
        <v>0</v>
      </c>
      <c r="Y12" s="55">
        <f ca="1">'表4-收入税金表'!Y13</f>
        <v>0</v>
      </c>
      <c r="Z12" s="55">
        <f ca="1">'表4-收入税金表'!Z13</f>
        <v>0</v>
      </c>
      <c r="AA12" s="55">
        <f ca="1">'表4-收入税金表'!AA13</f>
        <v>0</v>
      </c>
    </row>
    <row r="13" spans="2:27" x14ac:dyDescent="0.25">
      <c r="B13" s="69">
        <v>2</v>
      </c>
      <c r="C13" s="70" t="s">
        <v>498</v>
      </c>
      <c r="D13" s="71">
        <f t="shared" ca="1" si="1"/>
        <v>420416.2369885926</v>
      </c>
      <c r="E13" s="51" t="s">
        <v>120</v>
      </c>
      <c r="F13" s="50">
        <f ca="1">F14+F17+F18+F22+F23+F24+F25+F26</f>
        <v>39711.14280920061</v>
      </c>
      <c r="G13" s="50">
        <f t="shared" ref="G13:AA13" ca="1" si="2">G14+G17+G18+G22+G23+G24+G25+G26</f>
        <v>27579.039518408801</v>
      </c>
      <c r="H13" s="50">
        <f t="shared" ca="1" si="2"/>
        <v>18740.024196199818</v>
      </c>
      <c r="I13" s="50">
        <f t="shared" ca="1" si="2"/>
        <v>18495.382293983905</v>
      </c>
      <c r="J13" s="50">
        <f t="shared" ca="1" si="2"/>
        <v>18365.054825967996</v>
      </c>
      <c r="K13" s="50">
        <f t="shared" ca="1" si="2"/>
        <v>18234.741727198183</v>
      </c>
      <c r="L13" s="50">
        <f t="shared" ca="1" si="2"/>
        <v>18104.442933012862</v>
      </c>
      <c r="M13" s="50">
        <f t="shared" ca="1" si="2"/>
        <v>18908.820942425878</v>
      </c>
      <c r="N13" s="50">
        <f t="shared" ca="1" si="2"/>
        <v>18768.831124552089</v>
      </c>
      <c r="O13" s="50">
        <f t="shared" ca="1" si="2"/>
        <v>19202.003096950168</v>
      </c>
      <c r="P13" s="50">
        <f t="shared" ca="1" si="2"/>
        <v>19090.044485527087</v>
      </c>
      <c r="Q13" s="50">
        <f t="shared" ca="1" si="2"/>
        <v>18952.051295291516</v>
      </c>
      <c r="R13" s="123">
        <f t="shared" ca="1" si="2"/>
        <v>18846.800093808455</v>
      </c>
      <c r="S13" s="50">
        <f t="shared" ca="1" si="2"/>
        <v>19138.985995360807</v>
      </c>
      <c r="T13" s="50">
        <f t="shared" ca="1" si="2"/>
        <v>18564.402730195099</v>
      </c>
      <c r="U13" s="50">
        <f t="shared" ca="1" si="2"/>
        <v>18426.589918853595</v>
      </c>
      <c r="V13" s="50">
        <f t="shared" ca="1" si="2"/>
        <v>18288.821696063998</v>
      </c>
      <c r="W13" s="50">
        <f t="shared" ca="1" si="2"/>
        <v>14571.146369294622</v>
      </c>
      <c r="X13" s="50">
        <f t="shared" ca="1" si="2"/>
        <v>14558.765024782215</v>
      </c>
      <c r="Y13" s="50">
        <f t="shared" ca="1" si="2"/>
        <v>14546.427669580951</v>
      </c>
      <c r="Z13" s="50">
        <f t="shared" ca="1" si="2"/>
        <v>14534.134105738936</v>
      </c>
      <c r="AA13" s="50">
        <f t="shared" ca="1" si="2"/>
        <v>14788.584136195052</v>
      </c>
    </row>
    <row r="14" spans="2:27" x14ac:dyDescent="0.25">
      <c r="B14" s="73">
        <v>2.1</v>
      </c>
      <c r="C14" s="74" t="s">
        <v>499</v>
      </c>
      <c r="D14" s="75">
        <f t="shared" ca="1" si="1"/>
        <v>67290.182327609407</v>
      </c>
      <c r="E14" s="51"/>
      <c r="F14" s="50">
        <f ca="1">SUM(F15:F16)</f>
        <v>39711.14280920061</v>
      </c>
      <c r="G14" s="50">
        <f ca="1">SUM(G15:G16)</f>
        <v>27579.039518408801</v>
      </c>
      <c r="H14" s="50"/>
      <c r="I14" s="50"/>
      <c r="J14" s="50"/>
      <c r="K14" s="50"/>
      <c r="L14" s="50"/>
      <c r="M14" s="50"/>
      <c r="N14" s="50"/>
      <c r="O14" s="50"/>
      <c r="P14" s="50"/>
      <c r="Q14" s="50"/>
      <c r="R14" s="123"/>
      <c r="S14" s="50"/>
      <c r="T14" s="50"/>
      <c r="U14" s="50"/>
      <c r="V14" s="50"/>
      <c r="W14" s="50"/>
      <c r="X14" s="50"/>
      <c r="Y14" s="50"/>
      <c r="Z14" s="50"/>
      <c r="AA14" s="50"/>
    </row>
    <row r="15" spans="2:27" x14ac:dyDescent="0.25">
      <c r="B15" s="73"/>
      <c r="C15" s="125" t="s">
        <v>500</v>
      </c>
      <c r="D15" s="75">
        <f t="shared" ca="1" si="1"/>
        <v>13590.909949361467</v>
      </c>
      <c r="E15" s="51" t="s">
        <v>120</v>
      </c>
      <c r="F15" s="55">
        <f ca="1">'表1-资金筹措及还本付息表'!F11</f>
        <v>8075.102045679706</v>
      </c>
      <c r="G15" s="55">
        <f ca="1">'表1-资金筹措及还本付息表'!G11</f>
        <v>5515.8079036817608</v>
      </c>
      <c r="H15" s="55"/>
      <c r="I15" s="55"/>
      <c r="J15" s="55"/>
      <c r="K15" s="55"/>
      <c r="L15" s="55"/>
      <c r="M15" s="55"/>
      <c r="N15" s="55"/>
      <c r="O15" s="55"/>
      <c r="P15" s="55"/>
      <c r="Q15" s="55"/>
      <c r="R15" s="124"/>
      <c r="S15" s="55"/>
      <c r="T15" s="55"/>
      <c r="U15" s="55"/>
      <c r="V15" s="55"/>
      <c r="W15" s="55"/>
      <c r="X15" s="55"/>
      <c r="Y15" s="55"/>
      <c r="Z15" s="55"/>
      <c r="AA15" s="55"/>
    </row>
    <row r="16" spans="2:27" x14ac:dyDescent="0.25">
      <c r="B16" s="73"/>
      <c r="C16" s="125" t="s">
        <v>501</v>
      </c>
      <c r="D16" s="75">
        <f t="shared" ca="1" si="1"/>
        <v>53699.272378247944</v>
      </c>
      <c r="E16" s="51" t="s">
        <v>120</v>
      </c>
      <c r="F16" s="55">
        <f ca="1">'表1-资金筹措及还本付息表'!F15</f>
        <v>31636.040763520901</v>
      </c>
      <c r="G16" s="55">
        <f ca="1">'表1-资金筹措及还本付息表'!G15</f>
        <v>22063.231614727039</v>
      </c>
      <c r="H16" s="55"/>
      <c r="I16" s="55"/>
      <c r="J16" s="55"/>
      <c r="K16" s="55"/>
      <c r="L16" s="55"/>
      <c r="M16" s="55"/>
      <c r="N16" s="55"/>
      <c r="O16" s="55"/>
      <c r="P16" s="55"/>
      <c r="Q16" s="55"/>
      <c r="R16" s="124"/>
      <c r="S16" s="55"/>
      <c r="T16" s="55"/>
      <c r="U16" s="55"/>
      <c r="V16" s="55"/>
      <c r="W16" s="55"/>
      <c r="X16" s="55"/>
      <c r="Y16" s="55"/>
      <c r="Z16" s="55"/>
      <c r="AA16" s="55"/>
    </row>
    <row r="17" spans="2:27" x14ac:dyDescent="0.25">
      <c r="B17" s="73">
        <v>2.2000000000000002</v>
      </c>
      <c r="C17" s="74" t="s">
        <v>502</v>
      </c>
      <c r="D17" s="75">
        <f t="shared" si="1"/>
        <v>114.3</v>
      </c>
      <c r="E17" s="51" t="s">
        <v>120</v>
      </c>
      <c r="F17" s="55"/>
      <c r="G17" s="55"/>
      <c r="H17" s="55">
        <f>'表1-资金筹措及还本付息表'!H11</f>
        <v>114.3</v>
      </c>
      <c r="I17" s="55"/>
      <c r="J17" s="55"/>
      <c r="K17" s="55"/>
      <c r="L17" s="55"/>
      <c r="M17" s="55"/>
      <c r="N17" s="55"/>
      <c r="O17" s="55"/>
      <c r="P17" s="55"/>
      <c r="Q17" s="55"/>
      <c r="R17" s="124"/>
      <c r="S17" s="55"/>
      <c r="T17" s="55"/>
      <c r="U17" s="55"/>
      <c r="V17" s="55"/>
      <c r="W17" s="55"/>
      <c r="X17" s="55"/>
      <c r="Y17" s="55"/>
      <c r="Z17" s="55"/>
      <c r="AA17" s="55"/>
    </row>
    <row r="18" spans="2:27" x14ac:dyDescent="0.25">
      <c r="B18" s="73">
        <v>2.2999999999999998</v>
      </c>
      <c r="C18" s="74" t="s">
        <v>503</v>
      </c>
      <c r="D18" s="75">
        <f t="shared" ca="1" si="1"/>
        <v>69161.788644157379</v>
      </c>
      <c r="E18" s="51" t="s">
        <v>120</v>
      </c>
      <c r="F18" s="55"/>
      <c r="G18" s="55"/>
      <c r="H18" s="55">
        <f ca="1">SUM(H19:H21)</f>
        <v>5467.427025121875</v>
      </c>
      <c r="I18" s="55">
        <f t="shared" ref="I18:AA18" ca="1" si="3">SUM(I19:I21)</f>
        <v>5342.1287229059626</v>
      </c>
      <c r="J18" s="55">
        <f t="shared" ca="1" si="3"/>
        <v>5216.8304206900502</v>
      </c>
      <c r="K18" s="55">
        <f t="shared" ca="1" si="3"/>
        <v>5091.5321184741388</v>
      </c>
      <c r="L18" s="55">
        <f t="shared" ca="1" si="3"/>
        <v>4966.2338162582264</v>
      </c>
      <c r="M18" s="55">
        <f t="shared" ca="1" si="3"/>
        <v>4840.9355140423149</v>
      </c>
      <c r="N18" s="55">
        <f t="shared" ca="1" si="3"/>
        <v>4715.6372118264026</v>
      </c>
      <c r="O18" s="55">
        <f t="shared" ca="1" si="3"/>
        <v>4590.3389096104911</v>
      </c>
      <c r="P18" s="55">
        <f t="shared" ca="1" si="3"/>
        <v>4465.0406073945796</v>
      </c>
      <c r="Q18" s="55">
        <f t="shared" ca="1" si="3"/>
        <v>4339.7423051786673</v>
      </c>
      <c r="R18" s="124">
        <f t="shared" ca="1" si="3"/>
        <v>4214.4440029627558</v>
      </c>
      <c r="S18" s="55">
        <f t="shared" ca="1" si="3"/>
        <v>4089.1457007468434</v>
      </c>
      <c r="T18" s="55">
        <f t="shared" ca="1" si="3"/>
        <v>3963.847398530932</v>
      </c>
      <c r="U18" s="55">
        <f t="shared" ca="1" si="3"/>
        <v>3838.5490963150201</v>
      </c>
      <c r="V18" s="55">
        <f t="shared" ca="1" si="3"/>
        <v>3713.2507940991081</v>
      </c>
      <c r="W18" s="55">
        <f t="shared" si="3"/>
        <v>8.0009999999999994</v>
      </c>
      <c r="X18" s="55">
        <f t="shared" si="3"/>
        <v>8.0009999999999994</v>
      </c>
      <c r="Y18" s="55">
        <f t="shared" si="3"/>
        <v>8.0009999999999994</v>
      </c>
      <c r="Z18" s="55">
        <f t="shared" si="3"/>
        <v>8.0009999999999994</v>
      </c>
      <c r="AA18" s="55">
        <f t="shared" si="3"/>
        <v>274.70099999999996</v>
      </c>
    </row>
    <row r="19" spans="2:27" x14ac:dyDescent="0.25">
      <c r="B19" s="73"/>
      <c r="C19" s="125" t="s">
        <v>504</v>
      </c>
      <c r="D19" s="75">
        <f t="shared" ca="1" si="1"/>
        <v>53699.272378247959</v>
      </c>
      <c r="E19" s="51" t="s">
        <v>120</v>
      </c>
      <c r="F19" s="55"/>
      <c r="G19" s="55"/>
      <c r="H19" s="55">
        <f ca="1">'表1-资金筹措及还本付息表'!H52</f>
        <v>3579.9514918831965</v>
      </c>
      <c r="I19" s="55">
        <f ca="1">'表1-资金筹措及还本付息表'!I52</f>
        <v>3579.9514918831965</v>
      </c>
      <c r="J19" s="55">
        <f ca="1">'表1-资金筹措及还本付息表'!J52</f>
        <v>3579.9514918831965</v>
      </c>
      <c r="K19" s="55">
        <f ca="1">'表1-资金筹措及还本付息表'!K52</f>
        <v>3579.9514918831965</v>
      </c>
      <c r="L19" s="55">
        <f ca="1">'表1-资金筹措及还本付息表'!L52</f>
        <v>3579.9514918831965</v>
      </c>
      <c r="M19" s="55">
        <f ca="1">'表1-资金筹措及还本付息表'!M52</f>
        <v>3579.9514918831965</v>
      </c>
      <c r="N19" s="55">
        <f ca="1">'表1-资金筹措及还本付息表'!N52</f>
        <v>3579.9514918831965</v>
      </c>
      <c r="O19" s="55">
        <f ca="1">'表1-资金筹措及还本付息表'!O52</f>
        <v>3579.9514918831965</v>
      </c>
      <c r="P19" s="55">
        <f ca="1">'表1-资金筹措及还本付息表'!P52</f>
        <v>3579.9514918831965</v>
      </c>
      <c r="Q19" s="55">
        <f ca="1">'表1-资金筹措及还本付息表'!Q52</f>
        <v>3579.9514918831965</v>
      </c>
      <c r="R19" s="124">
        <f ca="1">'表1-资金筹措及还本付息表'!R52</f>
        <v>3579.9514918831965</v>
      </c>
      <c r="S19" s="55">
        <f ca="1">'表1-资金筹措及还本付息表'!S52</f>
        <v>3579.9514918831965</v>
      </c>
      <c r="T19" s="55">
        <f ca="1">'表1-资金筹措及还本付息表'!T52</f>
        <v>3579.9514918831965</v>
      </c>
      <c r="U19" s="55">
        <f ca="1">'表1-资金筹措及还本付息表'!U52</f>
        <v>3579.9514918831965</v>
      </c>
      <c r="V19" s="55">
        <f ca="1">'表1-资金筹措及还本付息表'!V52</f>
        <v>3579.9514918831965</v>
      </c>
      <c r="W19" s="55">
        <f>'表1-资金筹措及还本付息表'!W52</f>
        <v>0</v>
      </c>
      <c r="X19" s="55">
        <f>'表1-资金筹措及还本付息表'!X52</f>
        <v>0</v>
      </c>
      <c r="Y19" s="55">
        <f>'表1-资金筹措及还本付息表'!Y52</f>
        <v>0</v>
      </c>
      <c r="Z19" s="55">
        <f>'表1-资金筹措及还本付息表'!Z52</f>
        <v>0</v>
      </c>
      <c r="AA19" s="55">
        <f>'表1-资金筹措及还本付息表'!AA52</f>
        <v>0</v>
      </c>
    </row>
    <row r="20" spans="2:27" x14ac:dyDescent="0.25">
      <c r="B20" s="73"/>
      <c r="C20" s="125" t="s">
        <v>505</v>
      </c>
      <c r="D20" s="75"/>
      <c r="E20" s="51" t="s">
        <v>120</v>
      </c>
      <c r="F20" s="55"/>
      <c r="G20" s="55"/>
      <c r="H20" s="55">
        <f>'表1-资金筹措及还本付息表'!H62</f>
        <v>0</v>
      </c>
      <c r="I20" s="55">
        <f>'表1-资金筹措及还本付息表'!I62</f>
        <v>0</v>
      </c>
      <c r="J20" s="55">
        <f>'表1-资金筹措及还本付息表'!J62</f>
        <v>0</v>
      </c>
      <c r="K20" s="55">
        <f>'表1-资金筹措及还本付息表'!K62</f>
        <v>0</v>
      </c>
      <c r="L20" s="55">
        <f>'表1-资金筹措及还本付息表'!L62</f>
        <v>0</v>
      </c>
      <c r="M20" s="55">
        <f>'表1-资金筹措及还本付息表'!M62</f>
        <v>0</v>
      </c>
      <c r="N20" s="55">
        <f>'表1-资金筹措及还本付息表'!N62</f>
        <v>0</v>
      </c>
      <c r="O20" s="55">
        <f>'表1-资金筹措及还本付息表'!O62</f>
        <v>0</v>
      </c>
      <c r="P20" s="55">
        <f>'表1-资金筹措及还本付息表'!P62</f>
        <v>0</v>
      </c>
      <c r="Q20" s="55">
        <f>'表1-资金筹措及还本付息表'!Q62</f>
        <v>0</v>
      </c>
      <c r="R20" s="124">
        <f>'表1-资金筹措及还本付息表'!R62</f>
        <v>0</v>
      </c>
      <c r="S20" s="55">
        <f>'表1-资金筹措及还本付息表'!S62</f>
        <v>0</v>
      </c>
      <c r="T20" s="55">
        <f>'表1-资金筹措及还本付息表'!T62</f>
        <v>0</v>
      </c>
      <c r="U20" s="55">
        <f>'表1-资金筹措及还本付息表'!U62</f>
        <v>0</v>
      </c>
      <c r="V20" s="55">
        <f>'表1-资金筹措及还本付息表'!V62</f>
        <v>0</v>
      </c>
      <c r="W20" s="55">
        <f>'表1-资金筹措及还本付息表'!W62</f>
        <v>0</v>
      </c>
      <c r="X20" s="55">
        <f>'表1-资金筹措及还本付息表'!X62</f>
        <v>0</v>
      </c>
      <c r="Y20" s="55">
        <f>'表1-资金筹措及还本付息表'!Y62</f>
        <v>0</v>
      </c>
      <c r="Z20" s="55">
        <f>'表1-资金筹措及还本付息表'!Z62</f>
        <v>0</v>
      </c>
      <c r="AA20" s="55">
        <f>'表1-资金筹措及还本付息表'!AA62</f>
        <v>266.7</v>
      </c>
    </row>
    <row r="21" spans="2:27" x14ac:dyDescent="0.25">
      <c r="B21" s="73"/>
      <c r="C21" s="125" t="s">
        <v>506</v>
      </c>
      <c r="D21" s="75">
        <f t="shared" ca="1" si="1"/>
        <v>15195.81626590942</v>
      </c>
      <c r="E21" s="51" t="s">
        <v>120</v>
      </c>
      <c r="F21" s="55"/>
      <c r="G21" s="55"/>
      <c r="H21" s="55">
        <f ca="1">'表1-资金筹措及还本付息表'!H53+'表1-资金筹措及还本付息表'!H63+'表1-资金筹措及还本付息表'!H73</f>
        <v>1887.4755332386783</v>
      </c>
      <c r="I21" s="55">
        <f ca="1">'表1-资金筹措及还本付息表'!I53+'表1-资金筹措及还本付息表'!I63+'表1-资金筹措及还本付息表'!I73</f>
        <v>1762.1772310227661</v>
      </c>
      <c r="J21" s="55">
        <f ca="1">'表1-资金筹措及还本付息表'!J53+'表1-资金筹措及还本付息表'!J63+'表1-资金筹措及还本付息表'!J73</f>
        <v>1636.8789288068542</v>
      </c>
      <c r="K21" s="55">
        <f ca="1">'表1-资金筹措及还本付息表'!K53+'表1-资金筹措及还本付息表'!K63+'表1-资金筹措及还本付息表'!K73</f>
        <v>1511.5806265909423</v>
      </c>
      <c r="L21" s="55">
        <f ca="1">'表1-资金筹措及还本付息表'!L53+'表1-资金筹措及还本付息表'!L63+'表1-资金筹措及还本付息表'!L73</f>
        <v>1386.2823243750302</v>
      </c>
      <c r="M21" s="55">
        <f ca="1">'表1-资金筹措及还本付息表'!M53+'表1-资金筹措及还本付息表'!M63+'表1-资金筹措及还本付息表'!M73</f>
        <v>1260.9840221591182</v>
      </c>
      <c r="N21" s="55">
        <f ca="1">'表1-资金筹措及还本付息表'!N53+'表1-资金筹措及还本付息表'!N63+'表1-资金筹措及还本付息表'!N73</f>
        <v>1135.6857199432063</v>
      </c>
      <c r="O21" s="55">
        <f ca="1">'表1-资金筹措及还本付息表'!O53+'表1-资金筹措及还本付息表'!O63+'表1-资金筹措及还本付息表'!O73</f>
        <v>1010.3874177272945</v>
      </c>
      <c r="P21" s="55">
        <f ca="1">'表1-资金筹措及还本付息表'!P53+'表1-资金筹措及还本付息表'!P63+'表1-资金筹措及还本付息表'!P73</f>
        <v>885.08911551138272</v>
      </c>
      <c r="Q21" s="55">
        <f ca="1">'表1-资金筹措及还本付息表'!Q53+'表1-资金筹措及还本付息表'!Q63+'表1-资金筹措及还本付息表'!Q73</f>
        <v>759.79081329547091</v>
      </c>
      <c r="R21" s="124">
        <f ca="1">'表1-资金筹措及还本付息表'!R53+'表1-资金筹措及还本付息表'!R63+'表1-资金筹措及还本付息表'!R73</f>
        <v>634.49251107955899</v>
      </c>
      <c r="S21" s="55">
        <f ca="1">'表1-资金筹措及还本付息表'!S53+'表1-资金筹措及还本付息表'!S63+'表1-资金筹措及还本付息表'!S73</f>
        <v>509.19420886364713</v>
      </c>
      <c r="T21" s="55">
        <f ca="1">'表1-资金筹措及还本付息表'!T53+'表1-资金筹措及还本付息表'!T63+'表1-资金筹措及还本付息表'!T73</f>
        <v>383.89590664773527</v>
      </c>
      <c r="U21" s="55">
        <f ca="1">'表1-资金筹措及还本付息表'!U53+'表1-资金筹措及还本付息表'!U63+'表1-资金筹措及还本付息表'!U73</f>
        <v>258.59760443182341</v>
      </c>
      <c r="V21" s="55">
        <f ca="1">'表1-资金筹措及还本付息表'!V53+'表1-资金筹措及还本付息表'!V63+'表1-资金筹措及还本付息表'!V73</f>
        <v>133.29930221591152</v>
      </c>
      <c r="W21" s="55">
        <f>'表1-资金筹措及还本付息表'!W53+'表1-资金筹措及还本付息表'!W63+'表1-资金筹措及还本付息表'!W73</f>
        <v>8.0009999999999994</v>
      </c>
      <c r="X21" s="55">
        <f>'表1-资金筹措及还本付息表'!X53+'表1-资金筹措及还本付息表'!X63+'表1-资金筹措及还本付息表'!X73</f>
        <v>8.0009999999999994</v>
      </c>
      <c r="Y21" s="55">
        <f>'表1-资金筹措及还本付息表'!Y53+'表1-资金筹措及还本付息表'!Y63+'表1-资金筹措及还本付息表'!Y73</f>
        <v>8.0009999999999994</v>
      </c>
      <c r="Z21" s="55">
        <f>'表1-资金筹措及还本付息表'!Z53+'表1-资金筹措及还本付息表'!Z63+'表1-资金筹措及还本付息表'!Z73</f>
        <v>8.0009999999999994</v>
      </c>
      <c r="AA21" s="55">
        <f>'表1-资金筹措及还本付息表'!AA53+'表1-资金筹措及还本付息表'!AA63+'表1-资金筹措及还本付息表'!AA73</f>
        <v>8.0009999999999994</v>
      </c>
    </row>
    <row r="22" spans="2:27" x14ac:dyDescent="0.25">
      <c r="B22" s="73">
        <v>2.4</v>
      </c>
      <c r="C22" s="74" t="s">
        <v>507</v>
      </c>
      <c r="D22" s="75">
        <f t="shared" ca="1" si="1"/>
        <v>275545.50504059112</v>
      </c>
      <c r="E22" s="51" t="s">
        <v>120</v>
      </c>
      <c r="F22" s="55"/>
      <c r="G22" s="55"/>
      <c r="H22" s="55">
        <f ca="1">'表3-成本费用表'!H48+'表4-收入税金表'!H22</f>
        <v>13158.297171077944</v>
      </c>
      <c r="I22" s="55">
        <f ca="1">'表3-成本费用表'!I48+'表4-收入税金表'!I22</f>
        <v>13153.253571077943</v>
      </c>
      <c r="J22" s="55">
        <f ca="1">'表3-成本费用表'!J48+'表4-收入税金表'!J22</f>
        <v>13148.224405277946</v>
      </c>
      <c r="K22" s="55">
        <f ca="1">'表3-成本费用表'!K48+'表4-收入税金表'!K22</f>
        <v>13143.209608724046</v>
      </c>
      <c r="L22" s="55">
        <f ca="1">'表3-成本费用表'!L48+'表4-收入税金表'!L22</f>
        <v>13138.209116754637</v>
      </c>
      <c r="M22" s="55">
        <f ca="1">'表3-成本费用表'!M48+'表4-收入税金表'!M22</f>
        <v>14067.885428383564</v>
      </c>
      <c r="N22" s="55">
        <f ca="1">'表3-成本费用表'!N48+'表4-收入税金表'!N22</f>
        <v>14053.193912725688</v>
      </c>
      <c r="O22" s="55">
        <f ca="1">'表3-成本费用表'!O48+'表4-收入税金表'!O22</f>
        <v>14038.555083138272</v>
      </c>
      <c r="P22" s="55">
        <f ca="1">'表3-成本费用表'!P48+'表4-收入税金表'!P22</f>
        <v>14023.968702534001</v>
      </c>
      <c r="Q22" s="55">
        <f ca="1">'表3-成本费用表'!Q48+'表4-收入税金表'!Q22</f>
        <v>14009.434534892449</v>
      </c>
      <c r="R22" s="124">
        <f ca="1">'表3-成本费用表'!R48+'表4-收入税金表'!R22</f>
        <v>14031.424513396876</v>
      </c>
      <c r="S22" s="55">
        <f ca="1">'表3-成本费用表'!S48+'表4-收入税金表'!S22</f>
        <v>14010.356899721484</v>
      </c>
      <c r="T22" s="55">
        <f ca="1">'表3-成本费用表'!T48+'表4-收入税金表'!T22</f>
        <v>13995.977965442589</v>
      </c>
      <c r="U22" s="55">
        <f ca="1">'表3-成本费用表'!U48+'表4-收入税金表'!U22</f>
        <v>13981.65031061795</v>
      </c>
      <c r="V22" s="55">
        <f ca="1">'表3-成本费用表'!V48+'表4-收入税金表'!V22</f>
        <v>13967.373704490019</v>
      </c>
      <c r="W22" s="55">
        <f ca="1">'表3-成本费用表'!W48+'表4-收入税金表'!W22</f>
        <v>13953.147917339664</v>
      </c>
      <c r="X22" s="55">
        <f ca="1">'表3-成本费用表'!X48+'表4-收入税金表'!X22</f>
        <v>13938.972720481488</v>
      </c>
      <c r="Y22" s="55">
        <f ca="1">'表3-成本费用表'!Y48+'表4-收入税金表'!Y22</f>
        <v>13924.847886259171</v>
      </c>
      <c r="Z22" s="55">
        <f ca="1">'表3-成本费用表'!Z48+'表4-收入税金表'!Z22</f>
        <v>13910.773188040856</v>
      </c>
      <c r="AA22" s="55">
        <f ca="1">'表3-成本费用表'!AA48+'表4-收入税金表'!AA22</f>
        <v>13896.748400214525</v>
      </c>
    </row>
    <row r="23" spans="2:27" x14ac:dyDescent="0.25">
      <c r="B23" s="73">
        <v>2.5</v>
      </c>
      <c r="C23" s="74" t="s">
        <v>264</v>
      </c>
      <c r="D23" s="75">
        <f t="shared" si="1"/>
        <v>0</v>
      </c>
      <c r="E23" s="51" t="s">
        <v>120</v>
      </c>
      <c r="F23" s="55"/>
      <c r="G23" s="55"/>
      <c r="H23" s="55">
        <f>'表3-成本费用表'!H62</f>
        <v>0</v>
      </c>
      <c r="I23" s="55">
        <f>'表3-成本费用表'!I62</f>
        <v>0</v>
      </c>
      <c r="J23" s="55">
        <f>'表3-成本费用表'!J62</f>
        <v>0</v>
      </c>
      <c r="K23" s="55">
        <f>'表3-成本费用表'!K62</f>
        <v>0</v>
      </c>
      <c r="L23" s="55">
        <f>'表3-成本费用表'!L62</f>
        <v>0</v>
      </c>
      <c r="M23" s="55">
        <f>'表3-成本费用表'!M62</f>
        <v>0</v>
      </c>
      <c r="N23" s="55">
        <f>'表3-成本费用表'!N62</f>
        <v>0</v>
      </c>
      <c r="O23" s="55">
        <f>'表3-成本费用表'!O62</f>
        <v>0</v>
      </c>
      <c r="P23" s="55">
        <f>'表3-成本费用表'!P62</f>
        <v>0</v>
      </c>
      <c r="Q23" s="55">
        <f>'表3-成本费用表'!Q62</f>
        <v>0</v>
      </c>
      <c r="R23" s="124">
        <f>'表3-成本费用表'!R62</f>
        <v>0</v>
      </c>
      <c r="S23" s="55">
        <f>'表3-成本费用表'!S62</f>
        <v>0</v>
      </c>
      <c r="T23" s="55">
        <f>'表3-成本费用表'!T62</f>
        <v>0</v>
      </c>
      <c r="U23" s="55">
        <f>'表3-成本费用表'!U62</f>
        <v>0</v>
      </c>
      <c r="V23" s="55">
        <f>'表3-成本费用表'!V62</f>
        <v>0</v>
      </c>
      <c r="W23" s="55">
        <f>'表3-成本费用表'!W62</f>
        <v>0</v>
      </c>
      <c r="X23" s="55">
        <f>'表3-成本费用表'!X62</f>
        <v>0</v>
      </c>
      <c r="Y23" s="55">
        <f>'表3-成本费用表'!Y62</f>
        <v>0</v>
      </c>
      <c r="Z23" s="55">
        <f>'表3-成本费用表'!Z62</f>
        <v>0</v>
      </c>
      <c r="AA23" s="55">
        <f>'表3-成本费用表'!AA62</f>
        <v>0</v>
      </c>
    </row>
    <row r="24" spans="2:27" x14ac:dyDescent="0.25">
      <c r="B24" s="73">
        <v>2.6</v>
      </c>
      <c r="C24" s="74" t="s">
        <v>508</v>
      </c>
      <c r="D24" s="75">
        <f t="shared" ca="1" si="1"/>
        <v>7094.9645238497851</v>
      </c>
      <c r="E24" s="51" t="s">
        <v>120</v>
      </c>
      <c r="F24" s="55"/>
      <c r="G24" s="55"/>
      <c r="H24" s="55">
        <f ca="1">'表4-收入税金表'!H16</f>
        <v>0</v>
      </c>
      <c r="I24" s="55">
        <f ca="1">'表4-收入税金表'!I16</f>
        <v>0</v>
      </c>
      <c r="J24" s="55">
        <f ca="1">'表4-收入税金表'!J16</f>
        <v>0</v>
      </c>
      <c r="K24" s="55">
        <f ca="1">'表4-收入税金表'!K16</f>
        <v>0</v>
      </c>
      <c r="L24" s="55">
        <f ca="1">'表4-收入税金表'!L16</f>
        <v>0</v>
      </c>
      <c r="M24" s="55">
        <f ca="1">'表4-收入税金表'!M16</f>
        <v>0</v>
      </c>
      <c r="N24" s="55">
        <f ca="1">'表4-收入税金表'!N16</f>
        <v>0</v>
      </c>
      <c r="O24" s="55">
        <f ca="1">'表4-收入税金表'!O16</f>
        <v>521.00827654672946</v>
      </c>
      <c r="P24" s="55">
        <f ca="1">'表4-收入税金表'!P16</f>
        <v>546.39561418046037</v>
      </c>
      <c r="Q24" s="55">
        <f ca="1">'表4-收入税金表'!Q16</f>
        <v>548.06768656400186</v>
      </c>
      <c r="R24" s="124">
        <f ca="1">'表4-收入税金表'!R16</f>
        <v>546.30143404438365</v>
      </c>
      <c r="S24" s="55">
        <f ca="1">'表4-收入税金表'!S16</f>
        <v>490.43944990225418</v>
      </c>
      <c r="T24" s="55">
        <f ca="1">'表4-收入税金表'!T16</f>
        <v>549.61578747416263</v>
      </c>
      <c r="U24" s="55">
        <f ca="1">'表4-收入税金表'!U16</f>
        <v>551.26410174602404</v>
      </c>
      <c r="V24" s="55">
        <f ca="1">'表4-收入税金表'!V16</f>
        <v>552.90654315897154</v>
      </c>
      <c r="W24" s="55">
        <f ca="1">'表4-收入税金表'!W16</f>
        <v>554.54313814087072</v>
      </c>
      <c r="X24" s="55">
        <f ca="1">'表4-收入税金表'!X16</f>
        <v>556.17391300066095</v>
      </c>
      <c r="Y24" s="55">
        <f ca="1">'表4-收入税金表'!Y16</f>
        <v>557.7988939288922</v>
      </c>
      <c r="Z24" s="55">
        <f ca="1">'表4-收入税金表'!Z16</f>
        <v>559.41810699825589</v>
      </c>
      <c r="AA24" s="55">
        <f ca="1">'表4-收入税金表'!AA16</f>
        <v>561.03157816411704</v>
      </c>
    </row>
    <row r="25" spans="2:27" x14ac:dyDescent="0.25">
      <c r="B25" s="73">
        <v>2.7</v>
      </c>
      <c r="C25" s="74" t="s">
        <v>466</v>
      </c>
      <c r="D25" s="75">
        <f t="shared" ca="1" si="1"/>
        <v>709.49645238497851</v>
      </c>
      <c r="E25" s="51" t="s">
        <v>120</v>
      </c>
      <c r="F25" s="55"/>
      <c r="G25" s="55"/>
      <c r="H25" s="55">
        <f ca="1">'表5-利润表-资本金'!H9</f>
        <v>0</v>
      </c>
      <c r="I25" s="55">
        <f ca="1">'表5-利润表-资本金'!I9</f>
        <v>0</v>
      </c>
      <c r="J25" s="55">
        <f ca="1">'表5-利润表-资本金'!J9</f>
        <v>0</v>
      </c>
      <c r="K25" s="55">
        <f ca="1">'表5-利润表-资本金'!K9</f>
        <v>0</v>
      </c>
      <c r="L25" s="55">
        <f ca="1">'表5-利润表-资本金'!L9</f>
        <v>0</v>
      </c>
      <c r="M25" s="55">
        <f ca="1">'表5-利润表-资本金'!M9</f>
        <v>0</v>
      </c>
      <c r="N25" s="55">
        <f ca="1">'表5-利润表-资本金'!N9</f>
        <v>0</v>
      </c>
      <c r="O25" s="55">
        <f ca="1">'表5-利润表-资本金'!O9</f>
        <v>52.100827654672948</v>
      </c>
      <c r="P25" s="55">
        <f ca="1">'表5-利润表-资本金'!P9</f>
        <v>54.639561418046043</v>
      </c>
      <c r="Q25" s="55">
        <f ca="1">'表5-利润表-资本金'!Q9</f>
        <v>54.806768656400195</v>
      </c>
      <c r="R25" s="124">
        <f ca="1">'表5-利润表-资本金'!R9</f>
        <v>54.630143404438371</v>
      </c>
      <c r="S25" s="55">
        <f ca="1">'表5-利润表-资本金'!S9</f>
        <v>49.043944990225427</v>
      </c>
      <c r="T25" s="55">
        <f ca="1">'表5-利润表-资本金'!T9</f>
        <v>54.961578747416269</v>
      </c>
      <c r="U25" s="55">
        <f ca="1">'表5-利润表-资本金'!U9</f>
        <v>55.126410174602398</v>
      </c>
      <c r="V25" s="55">
        <f ca="1">'表5-利润表-资本金'!V9</f>
        <v>55.290654315897157</v>
      </c>
      <c r="W25" s="55">
        <f ca="1">'表5-利润表-资本金'!W9</f>
        <v>55.454313814087072</v>
      </c>
      <c r="X25" s="55">
        <f ca="1">'表5-利润表-资本金'!X9</f>
        <v>55.617391300066089</v>
      </c>
      <c r="Y25" s="55">
        <f ca="1">'表5-利润表-资本金'!Y9</f>
        <v>55.779889392889217</v>
      </c>
      <c r="Z25" s="55">
        <f ca="1">'表5-利润表-资本金'!Z9</f>
        <v>55.941810699825595</v>
      </c>
      <c r="AA25" s="55">
        <f ca="1">'表5-利润表-资本金'!AA9</f>
        <v>56.103157816411709</v>
      </c>
    </row>
    <row r="26" spans="2:27" x14ac:dyDescent="0.25">
      <c r="B26" s="73">
        <v>2.8</v>
      </c>
      <c r="C26" s="74" t="s">
        <v>509</v>
      </c>
      <c r="D26" s="75">
        <f t="shared" si="1"/>
        <v>500</v>
      </c>
      <c r="E26" s="51" t="s">
        <v>120</v>
      </c>
      <c r="F26" s="55"/>
      <c r="G26" s="55"/>
      <c r="H26" s="55">
        <f>参数输入表!H656</f>
        <v>0</v>
      </c>
      <c r="I26" s="55">
        <f>参数输入表!H657</f>
        <v>0</v>
      </c>
      <c r="J26" s="55">
        <f>参数输入表!H658</f>
        <v>0</v>
      </c>
      <c r="K26" s="55">
        <f>参数输入表!H659</f>
        <v>0</v>
      </c>
      <c r="L26" s="55">
        <f>参数输入表!H660</f>
        <v>0</v>
      </c>
      <c r="M26" s="55">
        <f>参数输入表!H661</f>
        <v>0</v>
      </c>
      <c r="N26" s="55">
        <f>参数输入表!H662</f>
        <v>0</v>
      </c>
      <c r="O26" s="55">
        <f>参数输入表!H663</f>
        <v>0</v>
      </c>
      <c r="P26" s="55">
        <f>参数输入表!H664</f>
        <v>0</v>
      </c>
      <c r="Q26" s="55">
        <f>参数输入表!H665</f>
        <v>0</v>
      </c>
      <c r="R26" s="124">
        <f>参数输入表!H666</f>
        <v>0</v>
      </c>
      <c r="S26" s="55">
        <f>参数输入表!H667</f>
        <v>500</v>
      </c>
      <c r="T26" s="55">
        <f>参数输入表!H668</f>
        <v>0</v>
      </c>
      <c r="U26" s="55">
        <f>参数输入表!H669</f>
        <v>0</v>
      </c>
      <c r="V26" s="55">
        <f>参数输入表!H670</f>
        <v>0</v>
      </c>
      <c r="W26" s="55">
        <f>参数输入表!H671</f>
        <v>0</v>
      </c>
      <c r="X26" s="55">
        <f>参数输入表!H672</f>
        <v>0</v>
      </c>
      <c r="Y26" s="55">
        <f>参数输入表!H673</f>
        <v>0</v>
      </c>
      <c r="Z26" s="55">
        <f>参数输入表!H674</f>
        <v>0</v>
      </c>
      <c r="AA26" s="55">
        <f>参数输入表!H675</f>
        <v>0</v>
      </c>
    </row>
    <row r="27" spans="2:27" x14ac:dyDescent="0.25">
      <c r="B27" s="69">
        <v>3</v>
      </c>
      <c r="C27" s="70" t="s">
        <v>510</v>
      </c>
      <c r="D27" s="71">
        <f t="shared" ca="1" si="1"/>
        <v>37305.166631404543</v>
      </c>
      <c r="E27" s="51" t="s">
        <v>120</v>
      </c>
      <c r="F27" s="50">
        <f t="shared" ref="F27:AA27" ca="1" si="4">F5-F13</f>
        <v>-8075.1020456797087</v>
      </c>
      <c r="G27" s="89">
        <f t="shared" ca="1" si="4"/>
        <v>-5515.8079036817617</v>
      </c>
      <c r="H27" s="50">
        <f t="shared" ca="1" si="4"/>
        <v>7948.3598038001837</v>
      </c>
      <c r="I27" s="50">
        <f t="shared" ca="1" si="4"/>
        <v>193.00170601609716</v>
      </c>
      <c r="J27" s="50">
        <f t="shared" ca="1" si="4"/>
        <v>323.32917403200554</v>
      </c>
      <c r="K27" s="50">
        <f t="shared" ca="1" si="4"/>
        <v>453.64227280181876</v>
      </c>
      <c r="L27" s="50">
        <f t="shared" ca="1" si="4"/>
        <v>583.94106698713949</v>
      </c>
      <c r="M27" s="50">
        <f t="shared" ca="1" si="4"/>
        <v>-220.43694242587662</v>
      </c>
      <c r="N27" s="50">
        <f t="shared" ca="1" si="4"/>
        <v>919.55287544791281</v>
      </c>
      <c r="O27" s="50">
        <f t="shared" ca="1" si="4"/>
        <v>486.38090304983416</v>
      </c>
      <c r="P27" s="50">
        <f t="shared" ca="1" si="4"/>
        <v>598.33951447291474</v>
      </c>
      <c r="Q27" s="50">
        <f t="shared" ca="1" si="4"/>
        <v>736.33270470848583</v>
      </c>
      <c r="R27" s="123">
        <f t="shared" ca="1" si="4"/>
        <v>841.5839061915467</v>
      </c>
      <c r="S27" s="50">
        <f t="shared" ca="1" si="4"/>
        <v>549.39800463919528</v>
      </c>
      <c r="T27" s="50">
        <f t="shared" ca="1" si="4"/>
        <v>1123.9812698049027</v>
      </c>
      <c r="U27" s="50">
        <f t="shared" ca="1" si="4"/>
        <v>1261.7940811464068</v>
      </c>
      <c r="V27" s="50">
        <f t="shared" ca="1" si="4"/>
        <v>1399.5623039360034</v>
      </c>
      <c r="W27" s="50">
        <f t="shared" ca="1" si="4"/>
        <v>5117.2376307053801</v>
      </c>
      <c r="X27" s="50">
        <f t="shared" ca="1" si="4"/>
        <v>5129.618975217787</v>
      </c>
      <c r="Y27" s="50">
        <f t="shared" ca="1" si="4"/>
        <v>5141.9563304190506</v>
      </c>
      <c r="Z27" s="50">
        <f t="shared" ca="1" si="4"/>
        <v>5154.2498942610655</v>
      </c>
      <c r="AA27" s="50">
        <f t="shared" ca="1" si="4"/>
        <v>13154.251105554154</v>
      </c>
    </row>
    <row r="28" spans="2:27" x14ac:dyDescent="0.25">
      <c r="B28" s="69">
        <v>4</v>
      </c>
      <c r="C28" s="49" t="s">
        <v>511</v>
      </c>
      <c r="D28" s="49"/>
      <c r="E28" s="51" t="s">
        <v>120</v>
      </c>
      <c r="F28" s="50">
        <f ca="1">F27</f>
        <v>-8075.1020456797087</v>
      </c>
      <c r="G28" s="89">
        <f ca="1">IF('表1-资金筹措及还本付息表'!G5&gt;0,F28+G27,0)</f>
        <v>-13590.90994936147</v>
      </c>
      <c r="H28" s="50">
        <f t="shared" ref="H28:AA28" ca="1" si="5">G28+H27</f>
        <v>-5642.5501455612866</v>
      </c>
      <c r="I28" s="50">
        <f t="shared" ca="1" si="5"/>
        <v>-5449.5484395451895</v>
      </c>
      <c r="J28" s="50">
        <f t="shared" ca="1" si="5"/>
        <v>-5126.2192655131839</v>
      </c>
      <c r="K28" s="50">
        <f t="shared" ca="1" si="5"/>
        <v>-4672.5769927113652</v>
      </c>
      <c r="L28" s="50">
        <f t="shared" ca="1" si="5"/>
        <v>-4088.6359257242257</v>
      </c>
      <c r="M28" s="50">
        <f t="shared" ca="1" si="5"/>
        <v>-4309.0728681501023</v>
      </c>
      <c r="N28" s="50">
        <f t="shared" ca="1" si="5"/>
        <v>-3389.5199927021895</v>
      </c>
      <c r="O28" s="50">
        <f t="shared" ca="1" si="5"/>
        <v>-2903.1390896523553</v>
      </c>
      <c r="P28" s="50">
        <f t="shared" ca="1" si="5"/>
        <v>-2304.7995751794406</v>
      </c>
      <c r="Q28" s="50">
        <f t="shared" ca="1" si="5"/>
        <v>-1568.4668704709547</v>
      </c>
      <c r="R28" s="123">
        <f t="shared" ca="1" si="5"/>
        <v>-726.88296427940804</v>
      </c>
      <c r="S28" s="50">
        <f t="shared" ca="1" si="5"/>
        <v>-177.48495964021276</v>
      </c>
      <c r="T28" s="50">
        <f t="shared" ca="1" si="5"/>
        <v>946.49631016468993</v>
      </c>
      <c r="U28" s="50">
        <f t="shared" ca="1" si="5"/>
        <v>2208.2903913110968</v>
      </c>
      <c r="V28" s="50">
        <f t="shared" ca="1" si="5"/>
        <v>3607.8526952471002</v>
      </c>
      <c r="W28" s="50">
        <f t="shared" ca="1" si="5"/>
        <v>8725.0903259524803</v>
      </c>
      <c r="X28" s="50">
        <f t="shared" ca="1" si="5"/>
        <v>13854.709301170267</v>
      </c>
      <c r="Y28" s="50">
        <f t="shared" ca="1" si="5"/>
        <v>18996.66563158932</v>
      </c>
      <c r="Z28" s="50">
        <f t="shared" ca="1" si="5"/>
        <v>24150.915525850385</v>
      </c>
      <c r="AA28" s="50">
        <f t="shared" ca="1" si="5"/>
        <v>37305.166631404543</v>
      </c>
    </row>
    <row r="29" spans="2:27" x14ac:dyDescent="0.25">
      <c r="B29" s="69">
        <v>5</v>
      </c>
      <c r="C29" s="49" t="s">
        <v>477</v>
      </c>
      <c r="D29" s="71">
        <f ca="1">SUM(F29:AA29)</f>
        <v>9473.5968334793506</v>
      </c>
      <c r="E29" s="51" t="s">
        <v>120</v>
      </c>
      <c r="F29" s="50"/>
      <c r="G29" s="89"/>
      <c r="H29" s="50">
        <f ca="1">'表5-利润表-资本金'!H22</f>
        <v>1707.3468805711445</v>
      </c>
      <c r="I29" s="50">
        <f ca="1">'表5-利润表-资本金'!I22</f>
        <v>0</v>
      </c>
      <c r="J29" s="50">
        <f ca="1">'表5-利润表-资本金'!J22</f>
        <v>0</v>
      </c>
      <c r="K29" s="50">
        <f ca="1">'表5-利润表-资本金'!K22</f>
        <v>0</v>
      </c>
      <c r="L29" s="50">
        <f ca="1">'表5-利润表-资本金'!L22</f>
        <v>0</v>
      </c>
      <c r="M29" s="50">
        <f ca="1">'表5-利润表-资本金'!M22</f>
        <v>0</v>
      </c>
      <c r="N29" s="50">
        <f ca="1">'表5-利润表-资本金'!N22</f>
        <v>0</v>
      </c>
      <c r="O29" s="50">
        <f ca="1">'表5-利润表-资本金'!O22</f>
        <v>0</v>
      </c>
      <c r="P29" s="50">
        <f ca="1">'表5-利润表-资本金'!P22</f>
        <v>0</v>
      </c>
      <c r="Q29" s="50">
        <f ca="1">'表5-利润表-资本金'!Q22</f>
        <v>0</v>
      </c>
      <c r="R29" s="123">
        <f ca="1">'表5-利润表-资本金'!R22</f>
        <v>259.22103053195906</v>
      </c>
      <c r="S29" s="50">
        <f ca="1">'表5-利润表-资本金'!S22</f>
        <v>404.04291501642018</v>
      </c>
      <c r="T29" s="50">
        <f ca="1">'表5-利润表-资本金'!T22</f>
        <v>437.06926228129885</v>
      </c>
      <c r="U29" s="50">
        <f ca="1">'表5-利润表-资本金'!U22</f>
        <v>471.52246511667533</v>
      </c>
      <c r="V29" s="50">
        <f ca="1">'表5-利润表-资本金'!V22</f>
        <v>505.96452081407455</v>
      </c>
      <c r="W29" s="50">
        <f ca="1">'表5-利润表-资本金'!W22</f>
        <v>1131.5172247854894</v>
      </c>
      <c r="X29" s="50">
        <f ca="1">'表5-利润表-资本金'!X22</f>
        <v>1134.6125609135911</v>
      </c>
      <c r="Y29" s="50">
        <f ca="1">'表5-利润表-资本金'!Y22</f>
        <v>1137.6968997139068</v>
      </c>
      <c r="Z29" s="50">
        <f ca="1">'表5-利润表-资本金'!Z22</f>
        <v>1140.7702906744107</v>
      </c>
      <c r="AA29" s="50">
        <f ca="1">'表5-利润表-资本金'!AA22</f>
        <v>1143.8327830603814</v>
      </c>
    </row>
    <row r="30" spans="2:27" x14ac:dyDescent="0.25">
      <c r="B30" s="47">
        <v>6</v>
      </c>
      <c r="C30" s="70" t="s">
        <v>512</v>
      </c>
      <c r="D30" s="126">
        <f ca="1">SUM(F30:AA30)</f>
        <v>27831.569797925185</v>
      </c>
      <c r="E30" s="51" t="s">
        <v>120</v>
      </c>
      <c r="F30" s="50">
        <f ca="1">F27-F29</f>
        <v>-8075.1020456797087</v>
      </c>
      <c r="G30" s="89">
        <f t="shared" ref="G30:AA30" ca="1" si="6">G27-G29</f>
        <v>-5515.8079036817617</v>
      </c>
      <c r="H30" s="50">
        <f t="shared" ca="1" si="6"/>
        <v>6241.0129232290392</v>
      </c>
      <c r="I30" s="50">
        <f t="shared" ca="1" si="6"/>
        <v>193.00170601609716</v>
      </c>
      <c r="J30" s="50">
        <f t="shared" ca="1" si="6"/>
        <v>323.32917403200554</v>
      </c>
      <c r="K30" s="50">
        <f t="shared" ca="1" si="6"/>
        <v>453.64227280181876</v>
      </c>
      <c r="L30" s="50">
        <f t="shared" ca="1" si="6"/>
        <v>583.94106698713949</v>
      </c>
      <c r="M30" s="89">
        <f t="shared" ca="1" si="6"/>
        <v>-220.43694242587662</v>
      </c>
      <c r="N30" s="50">
        <f t="shared" ca="1" si="6"/>
        <v>919.55287544791281</v>
      </c>
      <c r="O30" s="50">
        <f t="shared" ca="1" si="6"/>
        <v>486.38090304983416</v>
      </c>
      <c r="P30" s="50">
        <f t="shared" ca="1" si="6"/>
        <v>598.33951447291474</v>
      </c>
      <c r="Q30" s="50">
        <f t="shared" ca="1" si="6"/>
        <v>736.33270470848583</v>
      </c>
      <c r="R30" s="123">
        <f t="shared" ca="1" si="6"/>
        <v>582.36287565958764</v>
      </c>
      <c r="S30" s="50">
        <f t="shared" ca="1" si="6"/>
        <v>145.3550896227751</v>
      </c>
      <c r="T30" s="50">
        <f t="shared" ca="1" si="6"/>
        <v>686.91200752360385</v>
      </c>
      <c r="U30" s="50">
        <f t="shared" ca="1" si="6"/>
        <v>790.27161602973149</v>
      </c>
      <c r="V30" s="50">
        <f t="shared" ca="1" si="6"/>
        <v>893.59778312192884</v>
      </c>
      <c r="W30" s="50">
        <f t="shared" ca="1" si="6"/>
        <v>3985.7204059198907</v>
      </c>
      <c r="X30" s="50">
        <f t="shared" ca="1" si="6"/>
        <v>3995.0064143041959</v>
      </c>
      <c r="Y30" s="50">
        <f t="shared" ca="1" si="6"/>
        <v>4004.259430705144</v>
      </c>
      <c r="Z30" s="50">
        <f t="shared" ca="1" si="6"/>
        <v>4013.4796035866548</v>
      </c>
      <c r="AA30" s="50">
        <f t="shared" ca="1" si="6"/>
        <v>12010.418322493773</v>
      </c>
    </row>
    <row r="31" spans="2:27" hidden="1" x14ac:dyDescent="0.25">
      <c r="B31" s="47">
        <v>7</v>
      </c>
      <c r="C31" s="49" t="s">
        <v>513</v>
      </c>
      <c r="D31" s="49"/>
      <c r="E31" s="51" t="s">
        <v>120</v>
      </c>
      <c r="F31" s="50">
        <f ca="1">F30</f>
        <v>-8075.1020456797087</v>
      </c>
      <c r="G31" s="89">
        <f ca="1">IF('表1-资金筹措及还本付息表'!G5&gt;0,F31+G30,0)</f>
        <v>-13590.90994936147</v>
      </c>
      <c r="H31" s="50">
        <f t="shared" ref="H31:AA31" ca="1" si="7">G31+H30</f>
        <v>-7349.8970261324312</v>
      </c>
      <c r="I31" s="50">
        <f t="shared" ca="1" si="7"/>
        <v>-7156.895320116334</v>
      </c>
      <c r="J31" s="50">
        <f t="shared" ca="1" si="7"/>
        <v>-6833.5661460843285</v>
      </c>
      <c r="K31" s="50">
        <f t="shared" ca="1" si="7"/>
        <v>-6379.9238732825097</v>
      </c>
      <c r="L31" s="50">
        <f t="shared" ca="1" si="7"/>
        <v>-5795.9828062953702</v>
      </c>
      <c r="M31" s="50">
        <f t="shared" ca="1" si="7"/>
        <v>-6016.4197487212468</v>
      </c>
      <c r="N31" s="50">
        <f t="shared" ca="1" si="7"/>
        <v>-5096.866873273334</v>
      </c>
      <c r="O31" s="50">
        <f t="shared" ca="1" si="7"/>
        <v>-4610.4859702234999</v>
      </c>
      <c r="P31" s="50">
        <f t="shared" ca="1" si="7"/>
        <v>-4012.1464557505851</v>
      </c>
      <c r="Q31" s="50">
        <f t="shared" ca="1" si="7"/>
        <v>-3275.8137510420993</v>
      </c>
      <c r="R31" s="123">
        <f t="shared" ca="1" si="7"/>
        <v>-2693.4508753825116</v>
      </c>
      <c r="S31" s="50">
        <f t="shared" ca="1" si="7"/>
        <v>-2548.0957857597364</v>
      </c>
      <c r="T31" s="50">
        <f t="shared" ca="1" si="7"/>
        <v>-1861.1837782361326</v>
      </c>
      <c r="U31" s="50">
        <f t="shared" ca="1" si="7"/>
        <v>-1070.9121622064013</v>
      </c>
      <c r="V31" s="50">
        <f t="shared" ca="1" si="7"/>
        <v>-177.31437908447242</v>
      </c>
      <c r="W31" s="50">
        <f t="shared" ca="1" si="7"/>
        <v>3808.4060268354183</v>
      </c>
      <c r="X31" s="50">
        <f t="shared" ca="1" si="7"/>
        <v>7803.4124411396142</v>
      </c>
      <c r="Y31" s="50">
        <f t="shared" ca="1" si="7"/>
        <v>11807.671871844759</v>
      </c>
      <c r="Z31" s="50">
        <f t="shared" ca="1" si="7"/>
        <v>15821.151475431414</v>
      </c>
      <c r="AA31" s="50">
        <f t="shared" ca="1" si="7"/>
        <v>27831.569797925185</v>
      </c>
    </row>
    <row r="33" spans="2:27" hidden="1" x14ac:dyDescent="0.25">
      <c r="C33" s="49" t="s">
        <v>514</v>
      </c>
      <c r="D33" s="127">
        <f ca="1">IF('表1-资金筹措及还本付息表'!G5=0,IRR(E52:Y52),IRR(F27:AA27))</f>
        <v>0.11871396638219012</v>
      </c>
      <c r="E33" s="128"/>
      <c r="F33" s="128"/>
      <c r="G33" s="128"/>
      <c r="H33" s="128"/>
      <c r="I33" s="128"/>
      <c r="J33" s="128"/>
      <c r="K33" s="128"/>
      <c r="L33" s="128"/>
      <c r="M33" s="128"/>
      <c r="N33" s="128"/>
      <c r="O33" s="128"/>
      <c r="P33" s="128"/>
      <c r="Q33" s="128"/>
      <c r="R33" s="129"/>
      <c r="S33" s="128"/>
      <c r="T33" s="128"/>
      <c r="U33" s="128"/>
      <c r="V33" s="128"/>
      <c r="W33" s="128"/>
      <c r="X33" s="128"/>
      <c r="Y33" s="128"/>
      <c r="Z33" s="128"/>
      <c r="AA33" s="128"/>
    </row>
    <row r="34" spans="2:27" x14ac:dyDescent="0.25">
      <c r="C34" s="49" t="s">
        <v>515</v>
      </c>
      <c r="D34" s="127">
        <f ca="1">IF('表1-资金筹措及还本付息表'!G5=0,IRR(E55:Y55),IRR(F30:AA30))</f>
        <v>9.3083588887161506E-2</v>
      </c>
      <c r="E34" s="128"/>
      <c r="F34" s="128"/>
      <c r="G34" s="128"/>
      <c r="H34" s="128"/>
      <c r="I34" s="128"/>
      <c r="J34" s="128"/>
      <c r="K34" s="128"/>
      <c r="L34" s="128"/>
      <c r="M34" s="128"/>
      <c r="N34" s="128"/>
      <c r="O34" s="128"/>
      <c r="P34" s="128"/>
      <c r="Q34" s="128"/>
      <c r="R34" s="129"/>
      <c r="S34" s="128"/>
      <c r="T34" s="128"/>
      <c r="U34" s="128"/>
      <c r="V34" s="128"/>
      <c r="W34" s="128"/>
      <c r="X34" s="128"/>
      <c r="Y34" s="128"/>
      <c r="Z34" s="128"/>
      <c r="AA34" s="128"/>
    </row>
    <row r="35" spans="2:27" x14ac:dyDescent="0.25">
      <c r="C35" s="130" t="s">
        <v>516</v>
      </c>
      <c r="D35" s="131">
        <f ca="1">MAX(F35:AA35)+2</f>
        <v>17.044487410311348</v>
      </c>
      <c r="E35" s="51" t="s">
        <v>94</v>
      </c>
      <c r="F35" s="55">
        <v>0</v>
      </c>
      <c r="G35" s="55">
        <v>0</v>
      </c>
      <c r="H35" s="55">
        <v>0</v>
      </c>
      <c r="I35" s="55">
        <f t="shared" ref="I35:AA35" ca="1" si="8">IF(I31/H31&lt;0,H4+ABS(H31/I30),0)</f>
        <v>0</v>
      </c>
      <c r="J35" s="55">
        <f t="shared" ca="1" si="8"/>
        <v>0</v>
      </c>
      <c r="K35" s="55">
        <f t="shared" ca="1" si="8"/>
        <v>0</v>
      </c>
      <c r="L35" s="55">
        <f t="shared" ca="1" si="8"/>
        <v>0</v>
      </c>
      <c r="M35" s="55">
        <f t="shared" ca="1" si="8"/>
        <v>0</v>
      </c>
      <c r="N35" s="55">
        <f t="shared" ca="1" si="8"/>
        <v>0</v>
      </c>
      <c r="O35" s="55">
        <f t="shared" ca="1" si="8"/>
        <v>0</v>
      </c>
      <c r="P35" s="55">
        <f t="shared" ca="1" si="8"/>
        <v>0</v>
      </c>
      <c r="Q35" s="55">
        <f t="shared" ca="1" si="8"/>
        <v>0</v>
      </c>
      <c r="R35" s="124">
        <f t="shared" ca="1" si="8"/>
        <v>0</v>
      </c>
      <c r="S35" s="55">
        <f t="shared" ca="1" si="8"/>
        <v>0</v>
      </c>
      <c r="T35" s="55">
        <f t="shared" ca="1" si="8"/>
        <v>0</v>
      </c>
      <c r="U35" s="55">
        <f t="shared" ca="1" si="8"/>
        <v>0</v>
      </c>
      <c r="V35" s="55">
        <f t="shared" ca="1" si="8"/>
        <v>0</v>
      </c>
      <c r="W35" s="55">
        <f t="shared" ca="1" si="8"/>
        <v>15.044487410311348</v>
      </c>
      <c r="X35" s="55">
        <f t="shared" ca="1" si="8"/>
        <v>0</v>
      </c>
      <c r="Y35" s="55">
        <f t="shared" ca="1" si="8"/>
        <v>0</v>
      </c>
      <c r="Z35" s="55">
        <f t="shared" ca="1" si="8"/>
        <v>0</v>
      </c>
      <c r="AA35" s="55">
        <f t="shared" ca="1" si="8"/>
        <v>0</v>
      </c>
    </row>
    <row r="37" spans="2:27" ht="21.5" x14ac:dyDescent="0.25">
      <c r="C37" s="65" t="s">
        <v>419</v>
      </c>
    </row>
    <row r="38" spans="2:27" ht="21.5" x14ac:dyDescent="0.25">
      <c r="C38" s="65" t="s">
        <v>517</v>
      </c>
    </row>
    <row r="39" spans="2:27" ht="21.5" x14ac:dyDescent="0.25">
      <c r="C39" s="65" t="s">
        <v>518</v>
      </c>
    </row>
    <row r="40" spans="2:27" ht="21.5" x14ac:dyDescent="0.25">
      <c r="C40" s="65" t="s">
        <v>519</v>
      </c>
    </row>
    <row r="41" spans="2:27" ht="21.5" x14ac:dyDescent="0.25">
      <c r="C41" s="65" t="s">
        <v>520</v>
      </c>
    </row>
    <row r="42" spans="2:27" x14ac:dyDescent="0.25">
      <c r="L42" s="132"/>
    </row>
    <row r="44" spans="2:27" x14ac:dyDescent="0.25">
      <c r="C44" s="84" t="s">
        <v>521</v>
      </c>
      <c r="D44" s="85">
        <f ca="1">D30-'表5-利润表-资本金'!D23</f>
        <v>0</v>
      </c>
    </row>
    <row r="45" spans="2:27" x14ac:dyDescent="0.25">
      <c r="C45" s="84"/>
      <c r="D45" s="85"/>
    </row>
    <row r="46" spans="2:27" x14ac:dyDescent="0.25">
      <c r="B46" s="442" t="s">
        <v>522</v>
      </c>
      <c r="C46" s="442"/>
      <c r="D46" s="442"/>
    </row>
    <row r="47" spans="2:27" x14ac:dyDescent="0.25">
      <c r="B47" s="442"/>
      <c r="C47" s="442"/>
      <c r="D47" s="442"/>
    </row>
    <row r="48" spans="2:27" x14ac:dyDescent="0.25">
      <c r="B48" s="442"/>
      <c r="C48" s="442"/>
      <c r="D48" s="442"/>
    </row>
    <row r="50" spans="2:26" x14ac:dyDescent="0.25">
      <c r="B50" s="440" t="s">
        <v>14</v>
      </c>
      <c r="C50" s="440" t="s">
        <v>318</v>
      </c>
      <c r="D50" s="440" t="s">
        <v>38</v>
      </c>
      <c r="E50" s="88" t="s">
        <v>93</v>
      </c>
      <c r="F50" s="88" t="s">
        <v>523</v>
      </c>
      <c r="G50" s="438" t="s">
        <v>103</v>
      </c>
      <c r="H50" s="438"/>
      <c r="I50" s="438"/>
      <c r="J50" s="438"/>
      <c r="K50" s="438"/>
      <c r="L50" s="438"/>
      <c r="M50" s="438"/>
      <c r="N50" s="438"/>
      <c r="O50" s="438"/>
      <c r="P50" s="438"/>
      <c r="Q50" s="438"/>
      <c r="R50" s="439"/>
      <c r="S50" s="438"/>
      <c r="T50" s="438"/>
      <c r="U50" s="438"/>
      <c r="V50" s="438"/>
      <c r="W50" s="438"/>
      <c r="X50" s="438"/>
      <c r="Y50" s="438"/>
      <c r="Z50" s="438"/>
    </row>
    <row r="51" spans="2:26" x14ac:dyDescent="0.25">
      <c r="B51" s="441"/>
      <c r="C51" s="441"/>
      <c r="D51" s="441"/>
      <c r="E51" s="47">
        <v>1</v>
      </c>
      <c r="F51" s="47">
        <v>1</v>
      </c>
      <c r="G51" s="47">
        <v>2</v>
      </c>
      <c r="H51" s="47">
        <v>3</v>
      </c>
      <c r="I51" s="47">
        <v>4</v>
      </c>
      <c r="J51" s="47">
        <v>5</v>
      </c>
      <c r="K51" s="47">
        <v>6</v>
      </c>
      <c r="L51" s="47">
        <v>7</v>
      </c>
      <c r="M51" s="47">
        <v>8</v>
      </c>
      <c r="N51" s="47">
        <v>9</v>
      </c>
      <c r="O51" s="47">
        <v>10</v>
      </c>
      <c r="P51" s="47">
        <v>11</v>
      </c>
      <c r="Q51" s="47">
        <v>12</v>
      </c>
      <c r="R51" s="122">
        <v>13</v>
      </c>
      <c r="S51" s="47">
        <v>14</v>
      </c>
      <c r="T51" s="47">
        <v>15</v>
      </c>
      <c r="U51" s="47">
        <v>16</v>
      </c>
      <c r="V51" s="47">
        <v>17</v>
      </c>
      <c r="W51" s="47">
        <v>18</v>
      </c>
      <c r="X51" s="47">
        <v>19</v>
      </c>
      <c r="Y51" s="47">
        <v>20</v>
      </c>
    </row>
    <row r="52" spans="2:26" x14ac:dyDescent="0.25">
      <c r="B52" s="69">
        <v>3</v>
      </c>
      <c r="C52" s="70" t="s">
        <v>510</v>
      </c>
      <c r="D52" s="51" t="s">
        <v>120</v>
      </c>
      <c r="E52" s="50">
        <f ca="1">F27</f>
        <v>-8075.1020456797087</v>
      </c>
      <c r="F52" s="50">
        <f ca="1">H27</f>
        <v>7948.3598038001837</v>
      </c>
      <c r="G52" s="50">
        <f t="shared" ref="G52:Y52" ca="1" si="9">I27</f>
        <v>193.00170601609716</v>
      </c>
      <c r="H52" s="50">
        <f t="shared" ca="1" si="9"/>
        <v>323.32917403200554</v>
      </c>
      <c r="I52" s="50">
        <f t="shared" ca="1" si="9"/>
        <v>453.64227280181876</v>
      </c>
      <c r="J52" s="50">
        <f t="shared" ca="1" si="9"/>
        <v>583.94106698713949</v>
      </c>
      <c r="K52" s="50">
        <f t="shared" ca="1" si="9"/>
        <v>-220.43694242587662</v>
      </c>
      <c r="L52" s="50">
        <f t="shared" ca="1" si="9"/>
        <v>919.55287544791281</v>
      </c>
      <c r="M52" s="50">
        <f t="shared" ca="1" si="9"/>
        <v>486.38090304983416</v>
      </c>
      <c r="N52" s="50">
        <f t="shared" ca="1" si="9"/>
        <v>598.33951447291474</v>
      </c>
      <c r="O52" s="50">
        <f t="shared" ca="1" si="9"/>
        <v>736.33270470848583</v>
      </c>
      <c r="P52" s="50">
        <f t="shared" ca="1" si="9"/>
        <v>841.5839061915467</v>
      </c>
      <c r="Q52" s="50">
        <f t="shared" ca="1" si="9"/>
        <v>549.39800463919528</v>
      </c>
      <c r="R52" s="123">
        <f t="shared" ca="1" si="9"/>
        <v>1123.9812698049027</v>
      </c>
      <c r="S52" s="50">
        <f t="shared" ca="1" si="9"/>
        <v>1261.7940811464068</v>
      </c>
      <c r="T52" s="50">
        <f t="shared" ca="1" si="9"/>
        <v>1399.5623039360034</v>
      </c>
      <c r="U52" s="50">
        <f t="shared" ca="1" si="9"/>
        <v>5117.2376307053801</v>
      </c>
      <c r="V52" s="50">
        <f t="shared" ca="1" si="9"/>
        <v>5129.618975217787</v>
      </c>
      <c r="W52" s="50">
        <f t="shared" ca="1" si="9"/>
        <v>5141.9563304190506</v>
      </c>
      <c r="X52" s="50">
        <f t="shared" ca="1" si="9"/>
        <v>5154.2498942610655</v>
      </c>
      <c r="Y52" s="50">
        <f t="shared" ca="1" si="9"/>
        <v>13154.251105554154</v>
      </c>
    </row>
    <row r="53" spans="2:26" x14ac:dyDescent="0.25">
      <c r="B53" s="69">
        <v>4</v>
      </c>
      <c r="C53" s="49" t="s">
        <v>511</v>
      </c>
      <c r="D53" s="51" t="s">
        <v>120</v>
      </c>
      <c r="E53" s="50">
        <f ca="1">E52</f>
        <v>-8075.1020456797087</v>
      </c>
      <c r="F53" s="50">
        <f ca="1">H28</f>
        <v>-5642.5501455612866</v>
      </c>
      <c r="G53" s="50">
        <f t="shared" ref="G53:Y53" ca="1" si="10">I28</f>
        <v>-5449.5484395451895</v>
      </c>
      <c r="H53" s="50">
        <f t="shared" ca="1" si="10"/>
        <v>-5126.2192655131839</v>
      </c>
      <c r="I53" s="50">
        <f t="shared" ca="1" si="10"/>
        <v>-4672.5769927113652</v>
      </c>
      <c r="J53" s="50">
        <f t="shared" ca="1" si="10"/>
        <v>-4088.6359257242257</v>
      </c>
      <c r="K53" s="50">
        <f t="shared" ca="1" si="10"/>
        <v>-4309.0728681501023</v>
      </c>
      <c r="L53" s="50">
        <f t="shared" ca="1" si="10"/>
        <v>-3389.5199927021895</v>
      </c>
      <c r="M53" s="50">
        <f t="shared" ca="1" si="10"/>
        <v>-2903.1390896523553</v>
      </c>
      <c r="N53" s="50">
        <f t="shared" ca="1" si="10"/>
        <v>-2304.7995751794406</v>
      </c>
      <c r="O53" s="50">
        <f t="shared" ca="1" si="10"/>
        <v>-1568.4668704709547</v>
      </c>
      <c r="P53" s="50">
        <f t="shared" ca="1" si="10"/>
        <v>-726.88296427940804</v>
      </c>
      <c r="Q53" s="50">
        <f t="shared" ca="1" si="10"/>
        <v>-177.48495964021276</v>
      </c>
      <c r="R53" s="123">
        <f t="shared" ca="1" si="10"/>
        <v>946.49631016468993</v>
      </c>
      <c r="S53" s="50">
        <f t="shared" ca="1" si="10"/>
        <v>2208.2903913110968</v>
      </c>
      <c r="T53" s="50">
        <f t="shared" ca="1" si="10"/>
        <v>3607.8526952471002</v>
      </c>
      <c r="U53" s="50">
        <f t="shared" ca="1" si="10"/>
        <v>8725.0903259524803</v>
      </c>
      <c r="V53" s="50">
        <f t="shared" ca="1" si="10"/>
        <v>13854.709301170267</v>
      </c>
      <c r="W53" s="50">
        <f t="shared" ca="1" si="10"/>
        <v>18996.66563158932</v>
      </c>
      <c r="X53" s="50">
        <f t="shared" ca="1" si="10"/>
        <v>24150.915525850385</v>
      </c>
      <c r="Y53" s="50">
        <f t="shared" ca="1" si="10"/>
        <v>37305.166631404543</v>
      </c>
    </row>
    <row r="54" spans="2:26" x14ac:dyDescent="0.25">
      <c r="B54" s="69">
        <v>5</v>
      </c>
      <c r="C54" s="49" t="s">
        <v>477</v>
      </c>
      <c r="D54" s="51" t="s">
        <v>120</v>
      </c>
      <c r="E54" s="50"/>
      <c r="F54" s="50">
        <f ca="1">H29</f>
        <v>1707.3468805711445</v>
      </c>
      <c r="G54" s="50">
        <f t="shared" ref="G54:Y54" ca="1" si="11">I29</f>
        <v>0</v>
      </c>
      <c r="H54" s="50">
        <f t="shared" ca="1" si="11"/>
        <v>0</v>
      </c>
      <c r="I54" s="50">
        <f t="shared" ca="1" si="11"/>
        <v>0</v>
      </c>
      <c r="J54" s="50">
        <f t="shared" ca="1" si="11"/>
        <v>0</v>
      </c>
      <c r="K54" s="50">
        <f t="shared" ca="1" si="11"/>
        <v>0</v>
      </c>
      <c r="L54" s="50">
        <f t="shared" ca="1" si="11"/>
        <v>0</v>
      </c>
      <c r="M54" s="50">
        <f t="shared" ca="1" si="11"/>
        <v>0</v>
      </c>
      <c r="N54" s="50">
        <f t="shared" ca="1" si="11"/>
        <v>0</v>
      </c>
      <c r="O54" s="50">
        <f t="shared" ca="1" si="11"/>
        <v>0</v>
      </c>
      <c r="P54" s="50">
        <f t="shared" ca="1" si="11"/>
        <v>259.22103053195906</v>
      </c>
      <c r="Q54" s="50">
        <f t="shared" ca="1" si="11"/>
        <v>404.04291501642018</v>
      </c>
      <c r="R54" s="123">
        <f t="shared" ca="1" si="11"/>
        <v>437.06926228129885</v>
      </c>
      <c r="S54" s="50">
        <f t="shared" ca="1" si="11"/>
        <v>471.52246511667533</v>
      </c>
      <c r="T54" s="50">
        <f t="shared" ca="1" si="11"/>
        <v>505.96452081407455</v>
      </c>
      <c r="U54" s="50">
        <f t="shared" ca="1" si="11"/>
        <v>1131.5172247854894</v>
      </c>
      <c r="V54" s="50">
        <f t="shared" ca="1" si="11"/>
        <v>1134.6125609135911</v>
      </c>
      <c r="W54" s="50">
        <f t="shared" ca="1" si="11"/>
        <v>1137.6968997139068</v>
      </c>
      <c r="X54" s="50">
        <f t="shared" ca="1" si="11"/>
        <v>1140.7702906744107</v>
      </c>
      <c r="Y54" s="50">
        <f t="shared" ca="1" si="11"/>
        <v>1143.8327830603814</v>
      </c>
    </row>
    <row r="55" spans="2:26" x14ac:dyDescent="0.25">
      <c r="B55" s="47">
        <v>6</v>
      </c>
      <c r="C55" s="70" t="s">
        <v>512</v>
      </c>
      <c r="D55" s="51" t="s">
        <v>120</v>
      </c>
      <c r="E55" s="50">
        <f ca="1">E52-E54</f>
        <v>-8075.1020456797087</v>
      </c>
      <c r="F55" s="50">
        <f ca="1">H30</f>
        <v>6241.0129232290392</v>
      </c>
      <c r="G55" s="50">
        <f t="shared" ref="G55:Y55" ca="1" si="12">G52-G54</f>
        <v>193.00170601609716</v>
      </c>
      <c r="H55" s="50">
        <f t="shared" ca="1" si="12"/>
        <v>323.32917403200554</v>
      </c>
      <c r="I55" s="50">
        <f t="shared" ca="1" si="12"/>
        <v>453.64227280181876</v>
      </c>
      <c r="J55" s="50">
        <f t="shared" ca="1" si="12"/>
        <v>583.94106698713949</v>
      </c>
      <c r="K55" s="50">
        <f t="shared" ca="1" si="12"/>
        <v>-220.43694242587662</v>
      </c>
      <c r="L55" s="50">
        <f t="shared" ca="1" si="12"/>
        <v>919.55287544791281</v>
      </c>
      <c r="M55" s="50">
        <f t="shared" ca="1" si="12"/>
        <v>486.38090304983416</v>
      </c>
      <c r="N55" s="50">
        <f t="shared" ca="1" si="12"/>
        <v>598.33951447291474</v>
      </c>
      <c r="O55" s="50">
        <f t="shared" ca="1" si="12"/>
        <v>736.33270470848583</v>
      </c>
      <c r="P55" s="50">
        <f t="shared" ca="1" si="12"/>
        <v>582.36287565958764</v>
      </c>
      <c r="Q55" s="50">
        <f t="shared" ca="1" si="12"/>
        <v>145.3550896227751</v>
      </c>
      <c r="R55" s="123">
        <f t="shared" ca="1" si="12"/>
        <v>686.91200752360385</v>
      </c>
      <c r="S55" s="50">
        <f t="shared" ca="1" si="12"/>
        <v>790.27161602973149</v>
      </c>
      <c r="T55" s="50">
        <f t="shared" ca="1" si="12"/>
        <v>893.59778312192884</v>
      </c>
      <c r="U55" s="50">
        <f t="shared" ca="1" si="12"/>
        <v>3985.7204059198907</v>
      </c>
      <c r="V55" s="50">
        <f t="shared" ca="1" si="12"/>
        <v>3995.0064143041959</v>
      </c>
      <c r="W55" s="50">
        <f t="shared" ca="1" si="12"/>
        <v>4004.259430705144</v>
      </c>
      <c r="X55" s="50">
        <f t="shared" ca="1" si="12"/>
        <v>4013.4796035866548</v>
      </c>
      <c r="Y55" s="50">
        <f t="shared" ca="1" si="12"/>
        <v>12010.418322493773</v>
      </c>
    </row>
    <row r="56" spans="2:26" x14ac:dyDescent="0.25">
      <c r="B56" s="47">
        <v>7</v>
      </c>
      <c r="C56" s="49" t="s">
        <v>513</v>
      </c>
      <c r="D56" s="51" t="s">
        <v>120</v>
      </c>
      <c r="E56" s="50">
        <f ca="1">E55</f>
        <v>-8075.1020456797087</v>
      </c>
      <c r="F56" s="50">
        <f ca="1">H31</f>
        <v>-7349.8970261324312</v>
      </c>
      <c r="G56" s="50">
        <f t="shared" ref="G56:Y56" ca="1" si="13">F56+G55</f>
        <v>-7156.895320116334</v>
      </c>
      <c r="H56" s="50">
        <f t="shared" ca="1" si="13"/>
        <v>-6833.5661460843285</v>
      </c>
      <c r="I56" s="50">
        <f t="shared" ca="1" si="13"/>
        <v>-6379.9238732825097</v>
      </c>
      <c r="J56" s="50">
        <f t="shared" ca="1" si="13"/>
        <v>-5795.9828062953702</v>
      </c>
      <c r="K56" s="50">
        <f t="shared" ca="1" si="13"/>
        <v>-6016.4197487212468</v>
      </c>
      <c r="L56" s="50">
        <f t="shared" ca="1" si="13"/>
        <v>-5096.866873273334</v>
      </c>
      <c r="M56" s="50">
        <f t="shared" ca="1" si="13"/>
        <v>-4610.4859702234999</v>
      </c>
      <c r="N56" s="50">
        <f t="shared" ca="1" si="13"/>
        <v>-4012.1464557505851</v>
      </c>
      <c r="O56" s="50">
        <f t="shared" ca="1" si="13"/>
        <v>-3275.8137510420993</v>
      </c>
      <c r="P56" s="50">
        <f t="shared" ca="1" si="13"/>
        <v>-2693.4508753825116</v>
      </c>
      <c r="Q56" s="50">
        <f t="shared" ca="1" si="13"/>
        <v>-2548.0957857597364</v>
      </c>
      <c r="R56" s="123">
        <f t="shared" ca="1" si="13"/>
        <v>-1861.1837782361326</v>
      </c>
      <c r="S56" s="50">
        <f t="shared" ca="1" si="13"/>
        <v>-1070.9121622064013</v>
      </c>
      <c r="T56" s="50">
        <f t="shared" ca="1" si="13"/>
        <v>-177.31437908447242</v>
      </c>
      <c r="U56" s="50">
        <f t="shared" ca="1" si="13"/>
        <v>3808.4060268354183</v>
      </c>
      <c r="V56" s="50">
        <f t="shared" ca="1" si="13"/>
        <v>7803.4124411396142</v>
      </c>
      <c r="W56" s="50">
        <f t="shared" ca="1" si="13"/>
        <v>11807.671871844759</v>
      </c>
      <c r="X56" s="50">
        <f t="shared" ca="1" si="13"/>
        <v>15821.151475431414</v>
      </c>
      <c r="Y56" s="50">
        <f t="shared" ca="1" si="13"/>
        <v>27831.569797925185</v>
      </c>
    </row>
  </sheetData>
  <mergeCells count="11">
    <mergeCell ref="F3:G3"/>
    <mergeCell ref="H3:AA3"/>
    <mergeCell ref="G50:Z50"/>
    <mergeCell ref="B3:B4"/>
    <mergeCell ref="B50:B51"/>
    <mergeCell ref="C3:C4"/>
    <mergeCell ref="C50:C51"/>
    <mergeCell ref="D3:D4"/>
    <mergeCell ref="D50:D51"/>
    <mergeCell ref="E3:E4"/>
    <mergeCell ref="B46:D48"/>
  </mergeCells>
  <phoneticPr fontId="65" type="noConversion"/>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AA40"/>
  <sheetViews>
    <sheetView showGridLines="0" topLeftCell="A26" zoomScale="50" zoomScaleNormal="50" workbookViewId="0">
      <selection activeCell="H33" sqref="H33"/>
    </sheetView>
  </sheetViews>
  <sheetFormatPr defaultColWidth="8.81640625" defaultRowHeight="16.5" x14ac:dyDescent="0.25"/>
  <cols>
    <col min="1" max="1" width="2.36328125" style="91" customWidth="1"/>
    <col min="2" max="2" width="8.81640625" style="91"/>
    <col min="3" max="3" width="35" style="91" customWidth="1"/>
    <col min="4" max="4" width="17.36328125" style="91" customWidth="1"/>
    <col min="5" max="5" width="10.81640625" style="91" customWidth="1"/>
    <col min="6" max="27" width="12.453125" style="91" customWidth="1"/>
    <col min="28" max="16384" width="8.81640625" style="91"/>
  </cols>
  <sheetData>
    <row r="1" spans="2:27" ht="9" customHeight="1" x14ac:dyDescent="0.25"/>
    <row r="2" spans="2:27" ht="24" customHeight="1" x14ac:dyDescent="0.25">
      <c r="B2" s="92" t="s">
        <v>524</v>
      </c>
    </row>
    <row r="3" spans="2:27" x14ac:dyDescent="0.25">
      <c r="B3" s="433" t="s">
        <v>14</v>
      </c>
      <c r="C3" s="433" t="s">
        <v>318</v>
      </c>
      <c r="D3" s="433" t="s">
        <v>306</v>
      </c>
      <c r="E3" s="433" t="s">
        <v>38</v>
      </c>
      <c r="F3" s="417" t="s">
        <v>93</v>
      </c>
      <c r="G3" s="417"/>
      <c r="H3" s="418" t="s">
        <v>103</v>
      </c>
      <c r="I3" s="418"/>
      <c r="J3" s="418"/>
      <c r="K3" s="418"/>
      <c r="L3" s="418"/>
      <c r="M3" s="418"/>
      <c r="N3" s="418"/>
      <c r="O3" s="418"/>
      <c r="P3" s="418"/>
      <c r="Q3" s="418"/>
      <c r="R3" s="418"/>
      <c r="S3" s="418"/>
      <c r="T3" s="418"/>
      <c r="U3" s="418"/>
      <c r="V3" s="418"/>
      <c r="W3" s="418"/>
      <c r="X3" s="418"/>
      <c r="Y3" s="418"/>
      <c r="Z3" s="418"/>
      <c r="AA3" s="418"/>
    </row>
    <row r="4" spans="2:27" x14ac:dyDescent="0.25">
      <c r="B4" s="434"/>
      <c r="C4" s="434"/>
      <c r="D4" s="434"/>
      <c r="E4" s="434"/>
      <c r="F4" s="93">
        <v>1</v>
      </c>
      <c r="G4" s="93">
        <v>2</v>
      </c>
      <c r="H4" s="94">
        <v>1</v>
      </c>
      <c r="I4" s="94">
        <v>2</v>
      </c>
      <c r="J4" s="94">
        <v>3</v>
      </c>
      <c r="K4" s="94">
        <v>4</v>
      </c>
      <c r="L4" s="94">
        <v>5</v>
      </c>
      <c r="M4" s="94">
        <v>6</v>
      </c>
      <c r="N4" s="94">
        <v>7</v>
      </c>
      <c r="O4" s="94">
        <v>8</v>
      </c>
      <c r="P4" s="94">
        <v>9</v>
      </c>
      <c r="Q4" s="94">
        <v>10</v>
      </c>
      <c r="R4" s="94">
        <v>11</v>
      </c>
      <c r="S4" s="94">
        <v>12</v>
      </c>
      <c r="T4" s="94">
        <v>13</v>
      </c>
      <c r="U4" s="94">
        <v>14</v>
      </c>
      <c r="V4" s="94">
        <v>15</v>
      </c>
      <c r="W4" s="94">
        <v>16</v>
      </c>
      <c r="X4" s="94">
        <v>17</v>
      </c>
      <c r="Y4" s="94">
        <v>18</v>
      </c>
      <c r="Z4" s="94">
        <v>19</v>
      </c>
      <c r="AA4" s="94">
        <v>20</v>
      </c>
    </row>
    <row r="5" spans="2:27" s="90" customFormat="1" x14ac:dyDescent="0.25">
      <c r="B5" s="95">
        <v>1</v>
      </c>
      <c r="C5" s="96" t="s">
        <v>465</v>
      </c>
      <c r="D5" s="97">
        <f>SUM(F5:AA5)</f>
        <v>373365.73584905674</v>
      </c>
      <c r="E5" s="98" t="s">
        <v>120</v>
      </c>
      <c r="F5" s="99"/>
      <c r="G5" s="99"/>
      <c r="H5" s="99">
        <f t="shared" ref="H5:AA5" si="0">SUM(H6:H7)</f>
        <v>25177.720754716982</v>
      </c>
      <c r="I5" s="99">
        <f t="shared" si="0"/>
        <v>17630.550943396229</v>
      </c>
      <c r="J5" s="99">
        <f t="shared" si="0"/>
        <v>17630.550943396229</v>
      </c>
      <c r="K5" s="99">
        <f t="shared" si="0"/>
        <v>17630.550943396229</v>
      </c>
      <c r="L5" s="99">
        <f t="shared" si="0"/>
        <v>17630.550943396229</v>
      </c>
      <c r="M5" s="99">
        <f t="shared" si="0"/>
        <v>17630.550943396229</v>
      </c>
      <c r="N5" s="99">
        <f t="shared" si="0"/>
        <v>18573.947169811323</v>
      </c>
      <c r="O5" s="99">
        <f t="shared" si="0"/>
        <v>18573.947169811323</v>
      </c>
      <c r="P5" s="99">
        <f t="shared" si="0"/>
        <v>18573.947169811323</v>
      </c>
      <c r="Q5" s="99">
        <f t="shared" si="0"/>
        <v>18573.947169811323</v>
      </c>
      <c r="R5" s="99">
        <f t="shared" si="0"/>
        <v>18573.947169811323</v>
      </c>
      <c r="S5" s="99">
        <f t="shared" si="0"/>
        <v>18573.947169811323</v>
      </c>
      <c r="T5" s="99">
        <f t="shared" si="0"/>
        <v>18573.947169811323</v>
      </c>
      <c r="U5" s="99">
        <f t="shared" si="0"/>
        <v>18573.947169811323</v>
      </c>
      <c r="V5" s="99">
        <f t="shared" si="0"/>
        <v>18573.947169811323</v>
      </c>
      <c r="W5" s="99">
        <f t="shared" si="0"/>
        <v>18573.947169811323</v>
      </c>
      <c r="X5" s="99">
        <f t="shared" si="0"/>
        <v>18573.947169811323</v>
      </c>
      <c r="Y5" s="99">
        <f t="shared" si="0"/>
        <v>18573.947169811323</v>
      </c>
      <c r="Z5" s="99">
        <f t="shared" si="0"/>
        <v>18573.947169811323</v>
      </c>
      <c r="AA5" s="99">
        <f t="shared" si="0"/>
        <v>18573.947169811323</v>
      </c>
    </row>
    <row r="6" spans="2:27" x14ac:dyDescent="0.25">
      <c r="B6" s="100">
        <v>1.1000000000000001</v>
      </c>
      <c r="C6" s="101" t="s">
        <v>421</v>
      </c>
      <c r="D6" s="102">
        <f>SUM(F6:AA6)</f>
        <v>373365.73584905674</v>
      </c>
      <c r="E6" s="103" t="s">
        <v>120</v>
      </c>
      <c r="F6" s="104"/>
      <c r="G6" s="104"/>
      <c r="H6" s="104">
        <f>'表4-收入税金表'!H5</f>
        <v>25177.720754716982</v>
      </c>
      <c r="I6" s="104">
        <f>'表4-收入税金表'!I5</f>
        <v>17630.550943396229</v>
      </c>
      <c r="J6" s="104">
        <f>'表4-收入税金表'!J5</f>
        <v>17630.550943396229</v>
      </c>
      <c r="K6" s="104">
        <f>'表4-收入税金表'!K5</f>
        <v>17630.550943396229</v>
      </c>
      <c r="L6" s="104">
        <f>'表4-收入税金表'!L5</f>
        <v>17630.550943396229</v>
      </c>
      <c r="M6" s="104">
        <f>'表4-收入税金表'!M5</f>
        <v>17630.550943396229</v>
      </c>
      <c r="N6" s="104">
        <f>'表4-收入税金表'!N5</f>
        <v>18573.947169811323</v>
      </c>
      <c r="O6" s="104">
        <f>'表4-收入税金表'!O5</f>
        <v>18573.947169811323</v>
      </c>
      <c r="P6" s="104">
        <f>'表4-收入税金表'!P5</f>
        <v>18573.947169811323</v>
      </c>
      <c r="Q6" s="104">
        <f>'表4-收入税金表'!Q5</f>
        <v>18573.947169811323</v>
      </c>
      <c r="R6" s="104">
        <f>'表4-收入税金表'!R5</f>
        <v>18573.947169811323</v>
      </c>
      <c r="S6" s="104">
        <f>'表4-收入税金表'!S5</f>
        <v>18573.947169811323</v>
      </c>
      <c r="T6" s="104">
        <f>'表4-收入税金表'!T5</f>
        <v>18573.947169811323</v>
      </c>
      <c r="U6" s="104">
        <f>'表4-收入税金表'!U5</f>
        <v>18573.947169811323</v>
      </c>
      <c r="V6" s="104">
        <f>'表4-收入税金表'!V5</f>
        <v>18573.947169811323</v>
      </c>
      <c r="W6" s="104">
        <f>'表4-收入税金表'!W5</f>
        <v>18573.947169811323</v>
      </c>
      <c r="X6" s="104">
        <f>'表4-收入税金表'!X5</f>
        <v>18573.947169811323</v>
      </c>
      <c r="Y6" s="104">
        <f>'表4-收入税金表'!Y5</f>
        <v>18573.947169811323</v>
      </c>
      <c r="Z6" s="104">
        <f>'表4-收入税金表'!Z5</f>
        <v>18573.947169811323</v>
      </c>
      <c r="AA6" s="104">
        <f>'表4-收入税金表'!AA5</f>
        <v>18573.947169811323</v>
      </c>
    </row>
    <row r="7" spans="2:27" x14ac:dyDescent="0.25">
      <c r="B7" s="105">
        <v>1.2</v>
      </c>
      <c r="C7" s="106" t="s">
        <v>122</v>
      </c>
      <c r="D7" s="102">
        <f>SUM(F7:AA7)</f>
        <v>0</v>
      </c>
      <c r="E7" s="103" t="s">
        <v>120</v>
      </c>
      <c r="F7" s="104"/>
      <c r="G7" s="104"/>
      <c r="H7" s="104">
        <f>'表4-收入税金表'!H10</f>
        <v>0</v>
      </c>
      <c r="I7" s="104">
        <f>'表4-收入税金表'!I10</f>
        <v>0</v>
      </c>
      <c r="J7" s="104">
        <f>'表4-收入税金表'!J10</f>
        <v>0</v>
      </c>
      <c r="K7" s="104">
        <f>'表4-收入税金表'!K10</f>
        <v>0</v>
      </c>
      <c r="L7" s="104">
        <f>'表4-收入税金表'!L10</f>
        <v>0</v>
      </c>
      <c r="M7" s="104">
        <f>'表4-收入税金表'!M10</f>
        <v>0</v>
      </c>
      <c r="N7" s="104">
        <f>'表4-收入税金表'!N10</f>
        <v>0</v>
      </c>
      <c r="O7" s="104">
        <f>'表4-收入税金表'!O10</f>
        <v>0</v>
      </c>
      <c r="P7" s="104">
        <f>'表4-收入税金表'!P10</f>
        <v>0</v>
      </c>
      <c r="Q7" s="104">
        <f>'表4-收入税金表'!Q10</f>
        <v>0</v>
      </c>
      <c r="R7" s="104">
        <f>'表4-收入税金表'!R10</f>
        <v>0</v>
      </c>
      <c r="S7" s="104">
        <f>'表4-收入税金表'!S10</f>
        <v>0</v>
      </c>
      <c r="T7" s="104">
        <f>'表4-收入税金表'!T10</f>
        <v>0</v>
      </c>
      <c r="U7" s="104">
        <f>'表4-收入税金表'!U10</f>
        <v>0</v>
      </c>
      <c r="V7" s="104">
        <f>'表4-收入税金表'!V10</f>
        <v>0</v>
      </c>
      <c r="W7" s="104">
        <f>'表4-收入税金表'!W10</f>
        <v>0</v>
      </c>
      <c r="X7" s="104">
        <f>'表4-收入税金表'!X10</f>
        <v>0</v>
      </c>
      <c r="Y7" s="104">
        <f>'表4-收入税金表'!Y10</f>
        <v>0</v>
      </c>
      <c r="Z7" s="104">
        <f>'表4-收入税金表'!Z10</f>
        <v>0</v>
      </c>
      <c r="AA7" s="104">
        <f>'表4-收入税金表'!AA10</f>
        <v>0</v>
      </c>
    </row>
    <row r="8" spans="2:27" x14ac:dyDescent="0.25">
      <c r="B8" s="107">
        <v>2</v>
      </c>
      <c r="C8" s="108" t="s">
        <v>525</v>
      </c>
      <c r="D8" s="97">
        <f ca="1">SUM(F8:AA8)</f>
        <v>320155.2564993577</v>
      </c>
      <c r="E8" s="103" t="s">
        <v>120</v>
      </c>
      <c r="F8" s="104"/>
      <c r="G8" s="104"/>
      <c r="H8" s="99">
        <f ca="1">'表3-成本费用表'!H29</f>
        <v>16460.857699193726</v>
      </c>
      <c r="I8" s="99">
        <f ca="1">'表3-成本费用表'!I29</f>
        <v>16456.394336361867</v>
      </c>
      <c r="J8" s="99">
        <f ca="1">'表3-成本费用表'!J29</f>
        <v>16451.94374715833</v>
      </c>
      <c r="K8" s="99">
        <f ca="1">'表3-成本费用表'!K29</f>
        <v>16447.505874101782</v>
      </c>
      <c r="L8" s="99">
        <f ca="1">'表3-成本费用表'!L29</f>
        <v>16443.080659969561</v>
      </c>
      <c r="M8" s="99">
        <f ca="1">'表3-成本费用表'!M29</f>
        <v>17265.803059641177</v>
      </c>
      <c r="N8" s="99">
        <f ca="1">'表3-成本费用表'!N29</f>
        <v>17252.80171835102</v>
      </c>
      <c r="O8" s="99">
        <f ca="1">'表3-成本费用表'!O29</f>
        <v>17239.847001901981</v>
      </c>
      <c r="P8" s="99">
        <f ca="1">'表3-成本费用表'!P29</f>
        <v>17226.938700482271</v>
      </c>
      <c r="Q8" s="99">
        <f ca="1">'表3-成本费用表'!Q29</f>
        <v>17214.076605224262</v>
      </c>
      <c r="R8" s="99">
        <f ca="1">'表3-成本费用表'!R29</f>
        <v>16376.909431585396</v>
      </c>
      <c r="S8" s="99">
        <f ca="1">'表3-成本费用表'!S29</f>
        <v>16399.537355891771</v>
      </c>
      <c r="T8" s="99">
        <f ca="1">'表3-成本费用表'!T29</f>
        <v>16386.812635290979</v>
      </c>
      <c r="U8" s="99">
        <f ca="1">'表3-成本费用表'!U29</f>
        <v>16374.133294738198</v>
      </c>
      <c r="V8" s="99">
        <f ca="1">'表3-成本费用表'!V29</f>
        <v>16361.499130023216</v>
      </c>
      <c r="W8" s="99">
        <f ca="1">'表3-成本费用表'!W29</f>
        <v>13984.422956855278</v>
      </c>
      <c r="X8" s="99">
        <f ca="1">'表3-成本费用表'!X29</f>
        <v>13971.878534856893</v>
      </c>
      <c r="Y8" s="99">
        <f ca="1">'表3-成本费用表'!Y29</f>
        <v>13959.378681562806</v>
      </c>
      <c r="Z8" s="99">
        <f ca="1">'表3-成本费用表'!Z29</f>
        <v>13946.923196413854</v>
      </c>
      <c r="AA8" s="99">
        <f ca="1">'表3-成本费用表'!AA29</f>
        <v>13934.511879753385</v>
      </c>
    </row>
    <row r="9" spans="2:27" x14ac:dyDescent="0.25">
      <c r="B9" s="107">
        <v>3</v>
      </c>
      <c r="C9" s="109" t="s">
        <v>466</v>
      </c>
      <c r="D9" s="97">
        <f t="shared" ref="D9:D34" ca="1" si="1">SUM(F9:AA9)</f>
        <v>709.49645238497851</v>
      </c>
      <c r="E9" s="103" t="s">
        <v>120</v>
      </c>
      <c r="F9" s="104"/>
      <c r="G9" s="104"/>
      <c r="H9" s="99">
        <f ca="1">'表4-收入税金表'!H40+'表4-收入税金表'!H44</f>
        <v>0</v>
      </c>
      <c r="I9" s="99">
        <f ca="1">'表4-收入税金表'!I40+'表4-收入税金表'!I44</f>
        <v>0</v>
      </c>
      <c r="J9" s="99">
        <f ca="1">'表4-收入税金表'!J40+'表4-收入税金表'!J44</f>
        <v>0</v>
      </c>
      <c r="K9" s="99">
        <f ca="1">'表4-收入税金表'!K40+'表4-收入税金表'!K44</f>
        <v>0</v>
      </c>
      <c r="L9" s="99">
        <f ca="1">'表4-收入税金表'!L40+'表4-收入税金表'!L44</f>
        <v>0</v>
      </c>
      <c r="M9" s="99">
        <f ca="1">'表4-收入税金表'!M40+'表4-收入税金表'!M44</f>
        <v>0</v>
      </c>
      <c r="N9" s="99">
        <f ca="1">'表4-收入税金表'!N40+'表4-收入税金表'!N44</f>
        <v>0</v>
      </c>
      <c r="O9" s="99">
        <f ca="1">'表4-收入税金表'!O40+'表4-收入税金表'!O44</f>
        <v>52.100827654672948</v>
      </c>
      <c r="P9" s="99">
        <f ca="1">'表4-收入税金表'!P40+'表4-收入税金表'!P44</f>
        <v>54.639561418046043</v>
      </c>
      <c r="Q9" s="99">
        <f ca="1">'表4-收入税金表'!Q40+'表4-收入税金表'!Q44</f>
        <v>54.806768656400195</v>
      </c>
      <c r="R9" s="99">
        <f ca="1">'表4-收入税金表'!R40+'表4-收入税金表'!R44</f>
        <v>54.630143404438371</v>
      </c>
      <c r="S9" s="99">
        <f ca="1">'表4-收入税金表'!S40+'表4-收入税金表'!S44</f>
        <v>49.043944990225427</v>
      </c>
      <c r="T9" s="99">
        <f ca="1">'表4-收入税金表'!T40+'表4-收入税金表'!T44</f>
        <v>54.961578747416269</v>
      </c>
      <c r="U9" s="99">
        <f ca="1">'表4-收入税金表'!U40+'表4-收入税金表'!U44</f>
        <v>55.126410174602398</v>
      </c>
      <c r="V9" s="99">
        <f ca="1">'表4-收入税金表'!V40+'表4-收入税金表'!V44</f>
        <v>55.290654315897157</v>
      </c>
      <c r="W9" s="99">
        <f ca="1">'表4-收入税金表'!W40+'表4-收入税金表'!W44</f>
        <v>55.454313814087072</v>
      </c>
      <c r="X9" s="99">
        <f ca="1">'表4-收入税金表'!X40+'表4-收入税金表'!X44</f>
        <v>55.617391300066089</v>
      </c>
      <c r="Y9" s="99">
        <f ca="1">'表4-收入税金表'!Y40+'表4-收入税金表'!Y44</f>
        <v>55.779889392889217</v>
      </c>
      <c r="Z9" s="99">
        <f ca="1">'表4-收入税金表'!Z40+'表4-收入税金表'!Z44</f>
        <v>55.941810699825595</v>
      </c>
      <c r="AA9" s="99">
        <f ca="1">'表4-收入税金表'!AA40+'表4-收入税金表'!AA44</f>
        <v>56.103157816411709</v>
      </c>
    </row>
    <row r="10" spans="2:27" s="90" customFormat="1" x14ac:dyDescent="0.25">
      <c r="B10" s="107">
        <v>4</v>
      </c>
      <c r="C10" s="96" t="s">
        <v>123</v>
      </c>
      <c r="D10" s="97">
        <f t="shared" ca="1" si="1"/>
        <v>0</v>
      </c>
      <c r="E10" s="98" t="s">
        <v>120</v>
      </c>
      <c r="F10" s="99"/>
      <c r="G10" s="99"/>
      <c r="H10" s="99">
        <f ca="1">SUM(H11:H12)</f>
        <v>0</v>
      </c>
      <c r="I10" s="99">
        <f t="shared" ref="I10:AA10" ca="1" si="2">SUM(I11:I12)</f>
        <v>0</v>
      </c>
      <c r="J10" s="99">
        <f t="shared" ca="1" si="2"/>
        <v>0</v>
      </c>
      <c r="K10" s="99">
        <f t="shared" ca="1" si="2"/>
        <v>0</v>
      </c>
      <c r="L10" s="99">
        <f t="shared" ca="1" si="2"/>
        <v>0</v>
      </c>
      <c r="M10" s="99">
        <f t="shared" ca="1" si="2"/>
        <v>0</v>
      </c>
      <c r="N10" s="99">
        <f t="shared" ca="1" si="2"/>
        <v>0</v>
      </c>
      <c r="O10" s="99">
        <f t="shared" ca="1" si="2"/>
        <v>0</v>
      </c>
      <c r="P10" s="99">
        <f t="shared" ca="1" si="2"/>
        <v>0</v>
      </c>
      <c r="Q10" s="99">
        <f t="shared" ca="1" si="2"/>
        <v>0</v>
      </c>
      <c r="R10" s="99">
        <f t="shared" ca="1" si="2"/>
        <v>0</v>
      </c>
      <c r="S10" s="99">
        <f t="shared" ca="1" si="2"/>
        <v>0</v>
      </c>
      <c r="T10" s="99">
        <f t="shared" ca="1" si="2"/>
        <v>0</v>
      </c>
      <c r="U10" s="99">
        <f t="shared" ca="1" si="2"/>
        <v>0</v>
      </c>
      <c r="V10" s="99">
        <f t="shared" ca="1" si="2"/>
        <v>0</v>
      </c>
      <c r="W10" s="99">
        <f t="shared" ca="1" si="2"/>
        <v>0</v>
      </c>
      <c r="X10" s="99">
        <f t="shared" ca="1" si="2"/>
        <v>0</v>
      </c>
      <c r="Y10" s="99">
        <f t="shared" ca="1" si="2"/>
        <v>0</v>
      </c>
      <c r="Z10" s="99">
        <f t="shared" ca="1" si="2"/>
        <v>0</v>
      </c>
      <c r="AA10" s="99">
        <f t="shared" ca="1" si="2"/>
        <v>0</v>
      </c>
    </row>
    <row r="11" spans="2:27" x14ac:dyDescent="0.25">
      <c r="B11" s="105">
        <v>4.0999999999999996</v>
      </c>
      <c r="C11" s="110" t="s">
        <v>467</v>
      </c>
      <c r="D11" s="102">
        <f t="shared" si="1"/>
        <v>0</v>
      </c>
      <c r="E11" s="103" t="s">
        <v>120</v>
      </c>
      <c r="F11" s="104"/>
      <c r="G11" s="104"/>
      <c r="H11" s="104">
        <f>'表5-利润表-资本金'!H11</f>
        <v>0</v>
      </c>
      <c r="I11" s="104">
        <f>'表5-利润表-资本金'!I11</f>
        <v>0</v>
      </c>
      <c r="J11" s="104">
        <f>'表5-利润表-资本金'!J11</f>
        <v>0</v>
      </c>
      <c r="K11" s="104">
        <f>'表5-利润表-资本金'!K11</f>
        <v>0</v>
      </c>
      <c r="L11" s="104">
        <f>'表5-利润表-资本金'!L11</f>
        <v>0</v>
      </c>
      <c r="M11" s="104">
        <f>'表5-利润表-资本金'!M11</f>
        <v>0</v>
      </c>
      <c r="N11" s="104">
        <f>'表5-利润表-资本金'!N11</f>
        <v>0</v>
      </c>
      <c r="O11" s="104">
        <f>'表5-利润表-资本金'!O11</f>
        <v>0</v>
      </c>
      <c r="P11" s="104">
        <f>'表5-利润表-资本金'!P11</f>
        <v>0</v>
      </c>
      <c r="Q11" s="104">
        <f>'表5-利润表-资本金'!Q11</f>
        <v>0</v>
      </c>
      <c r="R11" s="104">
        <f>'表5-利润表-资本金'!R11</f>
        <v>0</v>
      </c>
      <c r="S11" s="104">
        <f>'表5-利润表-资本金'!S11</f>
        <v>0</v>
      </c>
      <c r="T11" s="104">
        <f>'表5-利润表-资本金'!T11</f>
        <v>0</v>
      </c>
      <c r="U11" s="104">
        <f>'表5-利润表-资本金'!U11</f>
        <v>0</v>
      </c>
      <c r="V11" s="104">
        <f>'表5-利润表-资本金'!V11</f>
        <v>0</v>
      </c>
      <c r="W11" s="104">
        <f>'表5-利润表-资本金'!W11</f>
        <v>0</v>
      </c>
      <c r="X11" s="104">
        <f>'表5-利润表-资本金'!X11</f>
        <v>0</v>
      </c>
      <c r="Y11" s="104">
        <f>'表5-利润表-资本金'!Y11</f>
        <v>0</v>
      </c>
      <c r="Z11" s="104">
        <f>'表5-利润表-资本金'!Z11</f>
        <v>0</v>
      </c>
      <c r="AA11" s="104">
        <f>'表5-利润表-资本金'!AA11</f>
        <v>0</v>
      </c>
    </row>
    <row r="12" spans="2:27" x14ac:dyDescent="0.25">
      <c r="B12" s="105">
        <v>4.2</v>
      </c>
      <c r="C12" s="110" t="s">
        <v>468</v>
      </c>
      <c r="D12" s="102">
        <f t="shared" ca="1" si="1"/>
        <v>0</v>
      </c>
      <c r="E12" s="103" t="s">
        <v>120</v>
      </c>
      <c r="F12" s="104"/>
      <c r="G12" s="104"/>
      <c r="H12" s="104">
        <f ca="1">'表4-收入税金表'!H13</f>
        <v>0</v>
      </c>
      <c r="I12" s="104">
        <f ca="1">'表4-收入税金表'!I13</f>
        <v>0</v>
      </c>
      <c r="J12" s="104">
        <f ca="1">'表4-收入税金表'!J13</f>
        <v>0</v>
      </c>
      <c r="K12" s="104">
        <f ca="1">'表4-收入税金表'!K13</f>
        <v>0</v>
      </c>
      <c r="L12" s="104">
        <f ca="1">'表4-收入税金表'!L13</f>
        <v>0</v>
      </c>
      <c r="M12" s="104">
        <f ca="1">'表4-收入税金表'!M13</f>
        <v>0</v>
      </c>
      <c r="N12" s="104">
        <f ca="1">'表4-收入税金表'!N13</f>
        <v>0</v>
      </c>
      <c r="O12" s="104">
        <f ca="1">'表4-收入税金表'!O13</f>
        <v>0</v>
      </c>
      <c r="P12" s="104">
        <f ca="1">'表4-收入税金表'!P13</f>
        <v>0</v>
      </c>
      <c r="Q12" s="104">
        <f ca="1">'表4-收入税金表'!Q13</f>
        <v>0</v>
      </c>
      <c r="R12" s="104">
        <f ca="1">'表4-收入税金表'!R13</f>
        <v>0</v>
      </c>
      <c r="S12" s="104">
        <f ca="1">'表4-收入税金表'!S13</f>
        <v>0</v>
      </c>
      <c r="T12" s="104">
        <f ca="1">'表4-收入税金表'!T13</f>
        <v>0</v>
      </c>
      <c r="U12" s="104">
        <f ca="1">'表4-收入税金表'!U13</f>
        <v>0</v>
      </c>
      <c r="V12" s="104">
        <f ca="1">'表4-收入税金表'!V13</f>
        <v>0</v>
      </c>
      <c r="W12" s="104">
        <f ca="1">'表4-收入税金表'!W13</f>
        <v>0</v>
      </c>
      <c r="X12" s="104">
        <f ca="1">'表4-收入税金表'!X13</f>
        <v>0</v>
      </c>
      <c r="Y12" s="104">
        <f ca="1">'表4-收入税金表'!Y13</f>
        <v>0</v>
      </c>
      <c r="Z12" s="104">
        <f ca="1">'表4-收入税金表'!Z13</f>
        <v>0</v>
      </c>
      <c r="AA12" s="104">
        <f ca="1">'表4-收入税金表'!AA13</f>
        <v>0</v>
      </c>
    </row>
    <row r="13" spans="2:27" x14ac:dyDescent="0.25">
      <c r="B13" s="107">
        <v>5</v>
      </c>
      <c r="C13" s="108" t="s">
        <v>264</v>
      </c>
      <c r="D13" s="97">
        <f t="shared" si="1"/>
        <v>0</v>
      </c>
      <c r="E13" s="103" t="s">
        <v>120</v>
      </c>
      <c r="F13" s="104"/>
      <c r="G13" s="104"/>
      <c r="H13" s="99">
        <f>'表3-成本费用表'!H24</f>
        <v>0</v>
      </c>
      <c r="I13" s="99">
        <f>'表3-成本费用表'!I24</f>
        <v>0</v>
      </c>
      <c r="J13" s="99">
        <f>'表3-成本费用表'!J24</f>
        <v>0</v>
      </c>
      <c r="K13" s="99">
        <f>'表3-成本费用表'!K24</f>
        <v>0</v>
      </c>
      <c r="L13" s="99">
        <f>'表3-成本费用表'!L24</f>
        <v>0</v>
      </c>
      <c r="M13" s="99">
        <f>'表3-成本费用表'!M24</f>
        <v>0</v>
      </c>
      <c r="N13" s="99">
        <f>'表3-成本费用表'!N24</f>
        <v>0</v>
      </c>
      <c r="O13" s="99">
        <f>'表3-成本费用表'!O24</f>
        <v>0</v>
      </c>
      <c r="P13" s="99">
        <f>'表3-成本费用表'!P24</f>
        <v>0</v>
      </c>
      <c r="Q13" s="99">
        <f>'表3-成本费用表'!Q24</f>
        <v>0</v>
      </c>
      <c r="R13" s="99">
        <f>'表3-成本费用表'!R24</f>
        <v>0</v>
      </c>
      <c r="S13" s="99">
        <f>'表3-成本费用表'!S24</f>
        <v>0</v>
      </c>
      <c r="T13" s="99">
        <f>'表3-成本费用表'!T24</f>
        <v>0</v>
      </c>
      <c r="U13" s="99">
        <f>'表3-成本费用表'!U24</f>
        <v>0</v>
      </c>
      <c r="V13" s="99">
        <f>'表3-成本费用表'!V24</f>
        <v>0</v>
      </c>
      <c r="W13" s="99">
        <f>'表3-成本费用表'!W24</f>
        <v>0</v>
      </c>
      <c r="X13" s="99">
        <f>'表3-成本费用表'!X24</f>
        <v>0</v>
      </c>
      <c r="Y13" s="99">
        <f>'表3-成本费用表'!Y24</f>
        <v>0</v>
      </c>
      <c r="Z13" s="99">
        <f>'表3-成本费用表'!Z24</f>
        <v>0</v>
      </c>
      <c r="AA13" s="99">
        <f>'表3-成本费用表'!AA24</f>
        <v>0</v>
      </c>
    </row>
    <row r="14" spans="2:27" s="90" customFormat="1" x14ac:dyDescent="0.25">
      <c r="B14" s="107">
        <v>6</v>
      </c>
      <c r="C14" s="108" t="s">
        <v>469</v>
      </c>
      <c r="D14" s="97">
        <f t="shared" ca="1" si="1"/>
        <v>52500.982897313923</v>
      </c>
      <c r="E14" s="98" t="s">
        <v>120</v>
      </c>
      <c r="F14" s="99"/>
      <c r="G14" s="99"/>
      <c r="H14" s="99">
        <f ca="1">H5+H10-H8-H9-H13</f>
        <v>8716.8630555232558</v>
      </c>
      <c r="I14" s="99">
        <f t="shared" ref="I14:AA14" ca="1" si="3">I5+I10-I8-I9-I13</f>
        <v>1174.1566070343615</v>
      </c>
      <c r="J14" s="99">
        <f t="shared" ca="1" si="3"/>
        <v>1178.6071962378992</v>
      </c>
      <c r="K14" s="99">
        <f t="shared" ca="1" si="3"/>
        <v>1183.0450692944469</v>
      </c>
      <c r="L14" s="99">
        <f t="shared" ca="1" si="3"/>
        <v>1187.4702834266682</v>
      </c>
      <c r="M14" s="99">
        <f t="shared" ca="1" si="3"/>
        <v>364.74788375505159</v>
      </c>
      <c r="N14" s="99">
        <f t="shared" ca="1" si="3"/>
        <v>1321.1454514603029</v>
      </c>
      <c r="O14" s="99">
        <f t="shared" ca="1" si="3"/>
        <v>1281.9993402546695</v>
      </c>
      <c r="P14" s="99">
        <f t="shared" ca="1" si="3"/>
        <v>1292.3689079110059</v>
      </c>
      <c r="Q14" s="99">
        <f t="shared" ca="1" si="3"/>
        <v>1305.0637959306612</v>
      </c>
      <c r="R14" s="99">
        <f t="shared" ca="1" si="3"/>
        <v>2142.4075948214881</v>
      </c>
      <c r="S14" s="99">
        <f t="shared" ca="1" si="3"/>
        <v>2125.3658689293266</v>
      </c>
      <c r="T14" s="99">
        <f t="shared" ca="1" si="3"/>
        <v>2132.1729557729282</v>
      </c>
      <c r="U14" s="99">
        <f t="shared" ca="1" si="3"/>
        <v>2144.6874648985226</v>
      </c>
      <c r="V14" s="99">
        <f t="shared" ca="1" si="3"/>
        <v>2157.1573854722101</v>
      </c>
      <c r="W14" s="99">
        <f t="shared" ca="1" si="3"/>
        <v>4534.0698991419576</v>
      </c>
      <c r="X14" s="99">
        <f t="shared" ca="1" si="3"/>
        <v>4546.4512436543646</v>
      </c>
      <c r="Y14" s="99">
        <f t="shared" ca="1" si="3"/>
        <v>4558.7885988556272</v>
      </c>
      <c r="Z14" s="99">
        <f t="shared" ca="1" si="3"/>
        <v>4571.0821626976431</v>
      </c>
      <c r="AA14" s="99">
        <f t="shared" ca="1" si="3"/>
        <v>4583.3321322415259</v>
      </c>
    </row>
    <row r="15" spans="2:27" x14ac:dyDescent="0.25">
      <c r="B15" s="107">
        <v>7</v>
      </c>
      <c r="C15" s="111" t="s">
        <v>470</v>
      </c>
      <c r="D15" s="97">
        <f t="shared" ca="1" si="1"/>
        <v>0</v>
      </c>
      <c r="E15" s="103" t="s">
        <v>120</v>
      </c>
      <c r="F15" s="104"/>
      <c r="G15" s="104"/>
      <c r="H15" s="99">
        <f>SUM(H16:H20)</f>
        <v>0</v>
      </c>
      <c r="I15" s="99">
        <f t="shared" ref="I15:AA15" ca="1" si="4">SUM(I16:I20)</f>
        <v>0</v>
      </c>
      <c r="J15" s="99">
        <f t="shared" ca="1" si="4"/>
        <v>0</v>
      </c>
      <c r="K15" s="99">
        <f t="shared" ca="1" si="4"/>
        <v>0</v>
      </c>
      <c r="L15" s="99">
        <f t="shared" ca="1" si="4"/>
        <v>0</v>
      </c>
      <c r="M15" s="99">
        <f t="shared" ca="1" si="4"/>
        <v>0</v>
      </c>
      <c r="N15" s="99">
        <f t="shared" ca="1" si="4"/>
        <v>0</v>
      </c>
      <c r="O15" s="99">
        <f t="shared" ca="1" si="4"/>
        <v>0</v>
      </c>
      <c r="P15" s="99">
        <f t="shared" ca="1" si="4"/>
        <v>0</v>
      </c>
      <c r="Q15" s="99">
        <f t="shared" ca="1" si="4"/>
        <v>0</v>
      </c>
      <c r="R15" s="99">
        <f t="shared" ca="1" si="4"/>
        <v>0</v>
      </c>
      <c r="S15" s="99">
        <f t="shared" ca="1" si="4"/>
        <v>0</v>
      </c>
      <c r="T15" s="99">
        <f t="shared" ca="1" si="4"/>
        <v>0</v>
      </c>
      <c r="U15" s="99">
        <f t="shared" ca="1" si="4"/>
        <v>0</v>
      </c>
      <c r="V15" s="99">
        <f t="shared" ca="1" si="4"/>
        <v>0</v>
      </c>
      <c r="W15" s="99">
        <f t="shared" ca="1" si="4"/>
        <v>0</v>
      </c>
      <c r="X15" s="99">
        <f t="shared" ca="1" si="4"/>
        <v>0</v>
      </c>
      <c r="Y15" s="99">
        <f t="shared" ca="1" si="4"/>
        <v>0</v>
      </c>
      <c r="Z15" s="99">
        <f t="shared" ca="1" si="4"/>
        <v>0</v>
      </c>
      <c r="AA15" s="99">
        <f t="shared" ca="1" si="4"/>
        <v>0</v>
      </c>
    </row>
    <row r="16" spans="2:27" x14ac:dyDescent="0.25">
      <c r="B16" s="112"/>
      <c r="C16" s="113" t="s">
        <v>471</v>
      </c>
      <c r="D16" s="114"/>
      <c r="E16" s="103" t="s">
        <v>120</v>
      </c>
      <c r="F16" s="104"/>
      <c r="G16" s="104"/>
      <c r="H16" s="104"/>
      <c r="I16" s="115">
        <f ca="1">IF(H14&gt;0,0,IF(I14&lt;0,0,MIN(I14-SUM(I17:I20),-H14)))</f>
        <v>0</v>
      </c>
      <c r="J16" s="115">
        <f t="shared" ref="J16:AA16" ca="1" si="5">IF(I14&gt;0,0,IF(J14&lt;0,0,MIN(J14-SUM(J17:J20),-I14)))</f>
        <v>0</v>
      </c>
      <c r="K16" s="115">
        <f t="shared" ca="1" si="5"/>
        <v>0</v>
      </c>
      <c r="L16" s="115">
        <f t="shared" ca="1" si="5"/>
        <v>0</v>
      </c>
      <c r="M16" s="115">
        <f t="shared" ca="1" si="5"/>
        <v>0</v>
      </c>
      <c r="N16" s="115">
        <f t="shared" ca="1" si="5"/>
        <v>0</v>
      </c>
      <c r="O16" s="115">
        <f t="shared" ca="1" si="5"/>
        <v>0</v>
      </c>
      <c r="P16" s="115">
        <f t="shared" ca="1" si="5"/>
        <v>0</v>
      </c>
      <c r="Q16" s="115">
        <f t="shared" ca="1" si="5"/>
        <v>0</v>
      </c>
      <c r="R16" s="115">
        <f t="shared" ca="1" si="5"/>
        <v>0</v>
      </c>
      <c r="S16" s="115">
        <f t="shared" ca="1" si="5"/>
        <v>0</v>
      </c>
      <c r="T16" s="115">
        <f t="shared" ca="1" si="5"/>
        <v>0</v>
      </c>
      <c r="U16" s="115">
        <f t="shared" ca="1" si="5"/>
        <v>0</v>
      </c>
      <c r="V16" s="115">
        <f t="shared" ca="1" si="5"/>
        <v>0</v>
      </c>
      <c r="W16" s="115">
        <f t="shared" ca="1" si="5"/>
        <v>0</v>
      </c>
      <c r="X16" s="115">
        <f t="shared" ca="1" si="5"/>
        <v>0</v>
      </c>
      <c r="Y16" s="115">
        <f t="shared" ca="1" si="5"/>
        <v>0</v>
      </c>
      <c r="Z16" s="115">
        <f t="shared" ca="1" si="5"/>
        <v>0</v>
      </c>
      <c r="AA16" s="115">
        <f t="shared" ca="1" si="5"/>
        <v>0</v>
      </c>
    </row>
    <row r="17" spans="2:27" x14ac:dyDescent="0.25">
      <c r="B17" s="112"/>
      <c r="C17" s="113" t="s">
        <v>472</v>
      </c>
      <c r="D17" s="114"/>
      <c r="E17" s="103" t="s">
        <v>120</v>
      </c>
      <c r="F17" s="104"/>
      <c r="G17" s="104"/>
      <c r="H17" s="104"/>
      <c r="I17" s="104"/>
      <c r="J17" s="115">
        <f ca="1">IF(H14&gt;0,0,IF(J14&lt;0,0,MIN(J14-SUM(J18:J20),-H14-I16)))</f>
        <v>0</v>
      </c>
      <c r="K17" s="115">
        <f t="shared" ref="K17:AA17" ca="1" si="6">IF(I14&gt;0,0,IF(K14&lt;0,0,MIN(K14-SUM(K18:K20),-I14-J16)))</f>
        <v>0</v>
      </c>
      <c r="L17" s="115">
        <f t="shared" ca="1" si="6"/>
        <v>0</v>
      </c>
      <c r="M17" s="115">
        <f t="shared" ca="1" si="6"/>
        <v>0</v>
      </c>
      <c r="N17" s="115">
        <f t="shared" ca="1" si="6"/>
        <v>0</v>
      </c>
      <c r="O17" s="115">
        <f t="shared" ca="1" si="6"/>
        <v>0</v>
      </c>
      <c r="P17" s="115">
        <f t="shared" ca="1" si="6"/>
        <v>0</v>
      </c>
      <c r="Q17" s="115">
        <f t="shared" ca="1" si="6"/>
        <v>0</v>
      </c>
      <c r="R17" s="115">
        <f t="shared" ca="1" si="6"/>
        <v>0</v>
      </c>
      <c r="S17" s="115">
        <f t="shared" ca="1" si="6"/>
        <v>0</v>
      </c>
      <c r="T17" s="115">
        <f t="shared" ca="1" si="6"/>
        <v>0</v>
      </c>
      <c r="U17" s="115">
        <f t="shared" ca="1" si="6"/>
        <v>0</v>
      </c>
      <c r="V17" s="115">
        <f t="shared" ca="1" si="6"/>
        <v>0</v>
      </c>
      <c r="W17" s="115">
        <f t="shared" ca="1" si="6"/>
        <v>0</v>
      </c>
      <c r="X17" s="115">
        <f t="shared" ca="1" si="6"/>
        <v>0</v>
      </c>
      <c r="Y17" s="115">
        <f t="shared" ca="1" si="6"/>
        <v>0</v>
      </c>
      <c r="Z17" s="115">
        <f t="shared" ca="1" si="6"/>
        <v>0</v>
      </c>
      <c r="AA17" s="115">
        <f t="shared" ca="1" si="6"/>
        <v>0</v>
      </c>
    </row>
    <row r="18" spans="2:27" x14ac:dyDescent="0.25">
      <c r="B18" s="112"/>
      <c r="C18" s="113" t="s">
        <v>473</v>
      </c>
      <c r="D18" s="114"/>
      <c r="E18" s="103" t="s">
        <v>120</v>
      </c>
      <c r="F18" s="104"/>
      <c r="G18" s="104"/>
      <c r="H18" s="104"/>
      <c r="I18" s="104"/>
      <c r="J18" s="104"/>
      <c r="K18" s="115">
        <f ca="1">IF(H14&gt;0,0,IF(K14&lt;0,0,MIN(K14-SUM(K19:K20),-H14-I16-J17)))</f>
        <v>0</v>
      </c>
      <c r="L18" s="115">
        <f t="shared" ref="L18:AA18" ca="1" si="7">IF(I14&gt;0,0,IF(L14&lt;0,0,MIN(L14-SUM(L19:L20),-I14-J16-K17)))</f>
        <v>0</v>
      </c>
      <c r="M18" s="115">
        <f t="shared" ca="1" si="7"/>
        <v>0</v>
      </c>
      <c r="N18" s="115">
        <f t="shared" ca="1" si="7"/>
        <v>0</v>
      </c>
      <c r="O18" s="115">
        <f t="shared" ca="1" si="7"/>
        <v>0</v>
      </c>
      <c r="P18" s="115">
        <f t="shared" ca="1" si="7"/>
        <v>0</v>
      </c>
      <c r="Q18" s="115">
        <f t="shared" ca="1" si="7"/>
        <v>0</v>
      </c>
      <c r="R18" s="115">
        <f t="shared" ca="1" si="7"/>
        <v>0</v>
      </c>
      <c r="S18" s="115">
        <f t="shared" ca="1" si="7"/>
        <v>0</v>
      </c>
      <c r="T18" s="115">
        <f t="shared" ca="1" si="7"/>
        <v>0</v>
      </c>
      <c r="U18" s="115">
        <f t="shared" ca="1" si="7"/>
        <v>0</v>
      </c>
      <c r="V18" s="115">
        <f t="shared" ca="1" si="7"/>
        <v>0</v>
      </c>
      <c r="W18" s="115">
        <f t="shared" ca="1" si="7"/>
        <v>0</v>
      </c>
      <c r="X18" s="115">
        <f t="shared" ca="1" si="7"/>
        <v>0</v>
      </c>
      <c r="Y18" s="115">
        <f t="shared" ca="1" si="7"/>
        <v>0</v>
      </c>
      <c r="Z18" s="115">
        <f t="shared" ca="1" si="7"/>
        <v>0</v>
      </c>
      <c r="AA18" s="115">
        <f t="shared" ca="1" si="7"/>
        <v>0</v>
      </c>
    </row>
    <row r="19" spans="2:27" x14ac:dyDescent="0.25">
      <c r="B19" s="112"/>
      <c r="C19" s="113" t="s">
        <v>474</v>
      </c>
      <c r="D19" s="114"/>
      <c r="E19" s="103" t="s">
        <v>120</v>
      </c>
      <c r="F19" s="104"/>
      <c r="G19" s="104"/>
      <c r="H19" s="104"/>
      <c r="I19" s="104"/>
      <c r="J19" s="104"/>
      <c r="K19" s="104"/>
      <c r="L19" s="115">
        <f ca="1">IF(H14&gt;0,0,IF(L14&lt;0,0,MIN(L14-L20,-H14-I16-J17-K18)))</f>
        <v>0</v>
      </c>
      <c r="M19" s="115">
        <f t="shared" ref="M19:AA19" ca="1" si="8">IF(I14&gt;0,0,IF(M14&lt;0,0,MIN(M14-M20,-I14-J16-K17-L18)))</f>
        <v>0</v>
      </c>
      <c r="N19" s="115">
        <f t="shared" ca="1" si="8"/>
        <v>0</v>
      </c>
      <c r="O19" s="115">
        <f t="shared" ca="1" si="8"/>
        <v>0</v>
      </c>
      <c r="P19" s="115">
        <f t="shared" ca="1" si="8"/>
        <v>0</v>
      </c>
      <c r="Q19" s="115">
        <f t="shared" ca="1" si="8"/>
        <v>0</v>
      </c>
      <c r="R19" s="115">
        <f t="shared" ca="1" si="8"/>
        <v>0</v>
      </c>
      <c r="S19" s="115">
        <f t="shared" ca="1" si="8"/>
        <v>0</v>
      </c>
      <c r="T19" s="115">
        <f t="shared" ca="1" si="8"/>
        <v>0</v>
      </c>
      <c r="U19" s="115">
        <f t="shared" ca="1" si="8"/>
        <v>0</v>
      </c>
      <c r="V19" s="115">
        <f t="shared" ca="1" si="8"/>
        <v>0</v>
      </c>
      <c r="W19" s="115">
        <f t="shared" ca="1" si="8"/>
        <v>0</v>
      </c>
      <c r="X19" s="115">
        <f t="shared" ca="1" si="8"/>
        <v>0</v>
      </c>
      <c r="Y19" s="115">
        <f t="shared" ca="1" si="8"/>
        <v>0</v>
      </c>
      <c r="Z19" s="115">
        <f t="shared" ca="1" si="8"/>
        <v>0</v>
      </c>
      <c r="AA19" s="115">
        <f t="shared" ca="1" si="8"/>
        <v>0</v>
      </c>
    </row>
    <row r="20" spans="2:27" x14ac:dyDescent="0.25">
      <c r="B20" s="112"/>
      <c r="C20" s="113" t="s">
        <v>475</v>
      </c>
      <c r="D20" s="114"/>
      <c r="E20" s="103" t="s">
        <v>120</v>
      </c>
      <c r="F20" s="104"/>
      <c r="G20" s="104"/>
      <c r="H20" s="104"/>
      <c r="I20" s="104"/>
      <c r="J20" s="104"/>
      <c r="K20" s="104"/>
      <c r="L20" s="104"/>
      <c r="M20" s="115">
        <f ca="1">IF(H14&gt;0,0,IF(M14&lt;0,0,MIN(M14,-H14-I16-J17-K18-L19)))</f>
        <v>0</v>
      </c>
      <c r="N20" s="115">
        <f t="shared" ref="N20:AA20" ca="1" si="9">IF(I14&gt;0,0,IF(N14&lt;0,0,MIN(N14,-I14-J16-K17-L18-M19)))</f>
        <v>0</v>
      </c>
      <c r="O20" s="115">
        <f t="shared" ca="1" si="9"/>
        <v>0</v>
      </c>
      <c r="P20" s="115">
        <f t="shared" ca="1" si="9"/>
        <v>0</v>
      </c>
      <c r="Q20" s="115">
        <f t="shared" ca="1" si="9"/>
        <v>0</v>
      </c>
      <c r="R20" s="115">
        <f t="shared" ca="1" si="9"/>
        <v>0</v>
      </c>
      <c r="S20" s="115">
        <f t="shared" ca="1" si="9"/>
        <v>0</v>
      </c>
      <c r="T20" s="115">
        <f t="shared" ca="1" si="9"/>
        <v>0</v>
      </c>
      <c r="U20" s="115">
        <f t="shared" ca="1" si="9"/>
        <v>0</v>
      </c>
      <c r="V20" s="115">
        <f t="shared" ca="1" si="9"/>
        <v>0</v>
      </c>
      <c r="W20" s="115">
        <f t="shared" ca="1" si="9"/>
        <v>0</v>
      </c>
      <c r="X20" s="115">
        <f t="shared" ca="1" si="9"/>
        <v>0</v>
      </c>
      <c r="Y20" s="115">
        <f t="shared" ca="1" si="9"/>
        <v>0</v>
      </c>
      <c r="Z20" s="115">
        <f t="shared" ca="1" si="9"/>
        <v>0</v>
      </c>
      <c r="AA20" s="115">
        <f t="shared" ca="1" si="9"/>
        <v>0</v>
      </c>
    </row>
    <row r="21" spans="2:27" s="90" customFormat="1" x14ac:dyDescent="0.25">
      <c r="B21" s="107">
        <v>8</v>
      </c>
      <c r="C21" s="111" t="s">
        <v>476</v>
      </c>
      <c r="D21" s="97">
        <f t="shared" ca="1" si="1"/>
        <v>52500.982897313923</v>
      </c>
      <c r="E21" s="98" t="s">
        <v>120</v>
      </c>
      <c r="F21" s="99"/>
      <c r="G21" s="99"/>
      <c r="H21" s="99">
        <f t="shared" ref="H21:AA21" ca="1" si="10">IF(H14-H15&gt;0,H14-H15,0)</f>
        <v>8716.8630555232558</v>
      </c>
      <c r="I21" s="99">
        <f t="shared" ca="1" si="10"/>
        <v>1174.1566070343615</v>
      </c>
      <c r="J21" s="99">
        <f t="shared" ca="1" si="10"/>
        <v>1178.6071962378992</v>
      </c>
      <c r="K21" s="99">
        <f t="shared" ca="1" si="10"/>
        <v>1183.0450692944469</v>
      </c>
      <c r="L21" s="99">
        <f t="shared" ca="1" si="10"/>
        <v>1187.4702834266682</v>
      </c>
      <c r="M21" s="99">
        <f t="shared" ca="1" si="10"/>
        <v>364.74788375505159</v>
      </c>
      <c r="N21" s="99">
        <f t="shared" ca="1" si="10"/>
        <v>1321.1454514603029</v>
      </c>
      <c r="O21" s="99">
        <f t="shared" ca="1" si="10"/>
        <v>1281.9993402546695</v>
      </c>
      <c r="P21" s="99">
        <f t="shared" ca="1" si="10"/>
        <v>1292.3689079110059</v>
      </c>
      <c r="Q21" s="99">
        <f t="shared" ca="1" si="10"/>
        <v>1305.0637959306612</v>
      </c>
      <c r="R21" s="99">
        <f t="shared" ca="1" si="10"/>
        <v>2142.4075948214881</v>
      </c>
      <c r="S21" s="99">
        <f t="shared" ca="1" si="10"/>
        <v>2125.3658689293266</v>
      </c>
      <c r="T21" s="99">
        <f t="shared" ca="1" si="10"/>
        <v>2132.1729557729282</v>
      </c>
      <c r="U21" s="99">
        <f t="shared" ca="1" si="10"/>
        <v>2144.6874648985226</v>
      </c>
      <c r="V21" s="99">
        <f t="shared" ca="1" si="10"/>
        <v>2157.1573854722101</v>
      </c>
      <c r="W21" s="99">
        <f t="shared" ca="1" si="10"/>
        <v>4534.0698991419576</v>
      </c>
      <c r="X21" s="99">
        <f t="shared" ca="1" si="10"/>
        <v>4546.4512436543646</v>
      </c>
      <c r="Y21" s="99">
        <f t="shared" ca="1" si="10"/>
        <v>4558.7885988556272</v>
      </c>
      <c r="Z21" s="99">
        <f t="shared" ca="1" si="10"/>
        <v>4571.0821626976431</v>
      </c>
      <c r="AA21" s="99">
        <f t="shared" ca="1" si="10"/>
        <v>4583.3321322415259</v>
      </c>
    </row>
    <row r="22" spans="2:27" s="90" customFormat="1" x14ac:dyDescent="0.25">
      <c r="B22" s="107">
        <v>9</v>
      </c>
      <c r="C22" s="111" t="s">
        <v>526</v>
      </c>
      <c r="D22" s="97">
        <f t="shared" ca="1" si="1"/>
        <v>13125.245724328481</v>
      </c>
      <c r="E22" s="98" t="s">
        <v>120</v>
      </c>
      <c r="F22" s="99"/>
      <c r="G22" s="99"/>
      <c r="H22" s="99">
        <f ca="1">IF(参数输入表!$H$689="三免三减半",0,H21*参数输入表!$H$690)</f>
        <v>2179.2157638808139</v>
      </c>
      <c r="I22" s="99">
        <f ca="1">IF(参数输入表!$H$689="三免三减半",0,I21*参数输入表!$H$690)</f>
        <v>293.53915175859038</v>
      </c>
      <c r="J22" s="99">
        <f ca="1">IF(参数输入表!$H$689="三免三减半",0,J21*参数输入表!$H$690)</f>
        <v>294.6517990594748</v>
      </c>
      <c r="K22" s="99">
        <f ca="1">IF(参数输入表!$H$689="三免三减半",K21*参数输入表!$H$690/2,K21*参数输入表!$H$690)</f>
        <v>295.76126732361172</v>
      </c>
      <c r="L22" s="99">
        <f ca="1">IF(参数输入表!$H$689="三免三减半",L21*参数输入表!$H$690/2,L21*参数输入表!$H$690)</f>
        <v>296.86757085666704</v>
      </c>
      <c r="M22" s="99">
        <f ca="1">IF(参数输入表!$H$689="三免三减半",M21*参数输入表!$H$690/2,M21*参数输入表!$H$690)</f>
        <v>91.186970938762897</v>
      </c>
      <c r="N22" s="99">
        <f ca="1">N21*参数输入表!$H$690</f>
        <v>330.28636286507572</v>
      </c>
      <c r="O22" s="99">
        <f ca="1">O21*参数输入表!$H$690</f>
        <v>320.49983506366738</v>
      </c>
      <c r="P22" s="99">
        <f ca="1">P21*参数输入表!$H$690</f>
        <v>323.09222697775147</v>
      </c>
      <c r="Q22" s="99">
        <f ca="1">Q21*参数输入表!$H$690</f>
        <v>326.26594898266529</v>
      </c>
      <c r="R22" s="99">
        <f ca="1">R21*参数输入表!$H$690</f>
        <v>535.60189870537204</v>
      </c>
      <c r="S22" s="99">
        <f ca="1">S21*参数输入表!$H$690</f>
        <v>531.34146723233164</v>
      </c>
      <c r="T22" s="99">
        <f ca="1">T21*参数输入表!$H$690</f>
        <v>533.04323894323204</v>
      </c>
      <c r="U22" s="99">
        <f ca="1">U21*参数输入表!$H$690</f>
        <v>536.17186622463066</v>
      </c>
      <c r="V22" s="99">
        <f ca="1">V21*参数输入表!$H$690</f>
        <v>539.28934636805252</v>
      </c>
      <c r="W22" s="99">
        <f ca="1">W21*参数输入表!$H$690</f>
        <v>1133.5174747854894</v>
      </c>
      <c r="X22" s="99">
        <f ca="1">X21*参数输入表!$H$690</f>
        <v>1136.6128109135911</v>
      </c>
      <c r="Y22" s="99">
        <f ca="1">Y21*参数输入表!$H$690</f>
        <v>1139.6971497139068</v>
      </c>
      <c r="Z22" s="99">
        <f ca="1">Z21*参数输入表!$H$690</f>
        <v>1142.7705406744108</v>
      </c>
      <c r="AA22" s="99">
        <f ca="1">AA21*参数输入表!$H$690</f>
        <v>1145.8330330603815</v>
      </c>
    </row>
    <row r="23" spans="2:27" s="90" customFormat="1" x14ac:dyDescent="0.25">
      <c r="B23" s="107">
        <v>10</v>
      </c>
      <c r="C23" s="111" t="s">
        <v>527</v>
      </c>
      <c r="D23" s="116">
        <f t="shared" ca="1" si="1"/>
        <v>39375.737172985442</v>
      </c>
      <c r="E23" s="98" t="s">
        <v>120</v>
      </c>
      <c r="F23" s="99"/>
      <c r="G23" s="99"/>
      <c r="H23" s="99">
        <f t="shared" ref="H23:AA23" ca="1" si="11">H14-H22</f>
        <v>6537.6472916424418</v>
      </c>
      <c r="I23" s="99">
        <f t="shared" ca="1" si="11"/>
        <v>880.61745527577114</v>
      </c>
      <c r="J23" s="99">
        <f t="shared" ca="1" si="11"/>
        <v>883.95539717842439</v>
      </c>
      <c r="K23" s="99">
        <f t="shared" ca="1" si="11"/>
        <v>887.28380197083516</v>
      </c>
      <c r="L23" s="99">
        <f t="shared" ca="1" si="11"/>
        <v>890.60271257000113</v>
      </c>
      <c r="M23" s="99">
        <f t="shared" ca="1" si="11"/>
        <v>273.56091281628869</v>
      </c>
      <c r="N23" s="99">
        <f t="shared" ca="1" si="11"/>
        <v>990.85908859522715</v>
      </c>
      <c r="O23" s="99">
        <f t="shared" ca="1" si="11"/>
        <v>961.49950519100207</v>
      </c>
      <c r="P23" s="99">
        <f t="shared" ca="1" si="11"/>
        <v>969.2766809332544</v>
      </c>
      <c r="Q23" s="99">
        <f t="shared" ca="1" si="11"/>
        <v>978.79784694799582</v>
      </c>
      <c r="R23" s="99">
        <f t="shared" ca="1" si="11"/>
        <v>1606.805696116116</v>
      </c>
      <c r="S23" s="99">
        <f t="shared" ca="1" si="11"/>
        <v>1594.024401696995</v>
      </c>
      <c r="T23" s="99">
        <f t="shared" ca="1" si="11"/>
        <v>1599.129716829696</v>
      </c>
      <c r="U23" s="99">
        <f t="shared" ca="1" si="11"/>
        <v>1608.5155986738919</v>
      </c>
      <c r="V23" s="99">
        <f t="shared" ca="1" si="11"/>
        <v>1617.8680391041576</v>
      </c>
      <c r="W23" s="99">
        <f t="shared" ca="1" si="11"/>
        <v>3400.5524243564682</v>
      </c>
      <c r="X23" s="99">
        <f t="shared" ca="1" si="11"/>
        <v>3409.8384327407734</v>
      </c>
      <c r="Y23" s="99">
        <f t="shared" ca="1" si="11"/>
        <v>3419.0914491417207</v>
      </c>
      <c r="Z23" s="99">
        <f t="shared" ca="1" si="11"/>
        <v>3428.3116220232323</v>
      </c>
      <c r="AA23" s="99">
        <f t="shared" ca="1" si="11"/>
        <v>3437.4990991811446</v>
      </c>
    </row>
    <row r="24" spans="2:27" x14ac:dyDescent="0.25">
      <c r="B24" s="105">
        <v>11</v>
      </c>
      <c r="C24" s="117" t="s">
        <v>479</v>
      </c>
      <c r="D24" s="102">
        <f t="shared" ca="1" si="1"/>
        <v>0</v>
      </c>
      <c r="E24" s="103" t="s">
        <v>120</v>
      </c>
      <c r="F24" s="104">
        <v>0</v>
      </c>
      <c r="G24" s="104">
        <v>0</v>
      </c>
      <c r="H24" s="104">
        <f>G32</f>
        <v>0</v>
      </c>
      <c r="I24" s="104">
        <f ca="1">H32</f>
        <v>0</v>
      </c>
      <c r="J24" s="104">
        <f t="shared" ref="J24:AA24" ca="1" si="12">I32</f>
        <v>0</v>
      </c>
      <c r="K24" s="104">
        <f t="shared" ca="1" si="12"/>
        <v>0</v>
      </c>
      <c r="L24" s="104">
        <f t="shared" ca="1" si="12"/>
        <v>0</v>
      </c>
      <c r="M24" s="104">
        <f t="shared" ca="1" si="12"/>
        <v>0</v>
      </c>
      <c r="N24" s="104">
        <f t="shared" ca="1" si="12"/>
        <v>0</v>
      </c>
      <c r="O24" s="104">
        <f t="shared" ca="1" si="12"/>
        <v>0</v>
      </c>
      <c r="P24" s="104">
        <f t="shared" ca="1" si="12"/>
        <v>0</v>
      </c>
      <c r="Q24" s="104">
        <f t="shared" ca="1" si="12"/>
        <v>0</v>
      </c>
      <c r="R24" s="104">
        <f t="shared" ca="1" si="12"/>
        <v>0</v>
      </c>
      <c r="S24" s="104">
        <f t="shared" ca="1" si="12"/>
        <v>0</v>
      </c>
      <c r="T24" s="104">
        <f t="shared" ca="1" si="12"/>
        <v>0</v>
      </c>
      <c r="U24" s="104">
        <f t="shared" ca="1" si="12"/>
        <v>0</v>
      </c>
      <c r="V24" s="104">
        <f t="shared" ca="1" si="12"/>
        <v>0</v>
      </c>
      <c r="W24" s="104">
        <f t="shared" ca="1" si="12"/>
        <v>0</v>
      </c>
      <c r="X24" s="104">
        <f t="shared" ca="1" si="12"/>
        <v>0</v>
      </c>
      <c r="Y24" s="104">
        <f t="shared" ca="1" si="12"/>
        <v>0</v>
      </c>
      <c r="Z24" s="104">
        <f t="shared" ca="1" si="12"/>
        <v>0</v>
      </c>
      <c r="AA24" s="104">
        <f t="shared" ca="1" si="12"/>
        <v>0</v>
      </c>
    </row>
    <row r="25" spans="2:27" x14ac:dyDescent="0.25">
      <c r="B25" s="105">
        <v>12</v>
      </c>
      <c r="C25" s="117" t="s">
        <v>528</v>
      </c>
      <c r="D25" s="102">
        <f t="shared" ca="1" si="1"/>
        <v>39375.737172985442</v>
      </c>
      <c r="E25" s="103" t="s">
        <v>120</v>
      </c>
      <c r="F25" s="104"/>
      <c r="G25" s="104"/>
      <c r="H25" s="104">
        <f ca="1">H23+H24</f>
        <v>6537.6472916424418</v>
      </c>
      <c r="I25" s="104">
        <f t="shared" ref="I25:AA25" ca="1" si="13">I23+I24</f>
        <v>880.61745527577114</v>
      </c>
      <c r="J25" s="104">
        <f t="shared" ca="1" si="13"/>
        <v>883.95539717842439</v>
      </c>
      <c r="K25" s="104">
        <f t="shared" ca="1" si="13"/>
        <v>887.28380197083516</v>
      </c>
      <c r="L25" s="104">
        <f t="shared" ca="1" si="13"/>
        <v>890.60271257000113</v>
      </c>
      <c r="M25" s="104">
        <f t="shared" ca="1" si="13"/>
        <v>273.56091281628869</v>
      </c>
      <c r="N25" s="104">
        <f t="shared" ca="1" si="13"/>
        <v>990.85908859522715</v>
      </c>
      <c r="O25" s="104">
        <f t="shared" ca="1" si="13"/>
        <v>961.49950519100207</v>
      </c>
      <c r="P25" s="104">
        <f t="shared" ca="1" si="13"/>
        <v>969.2766809332544</v>
      </c>
      <c r="Q25" s="104">
        <f t="shared" ca="1" si="13"/>
        <v>978.79784694799582</v>
      </c>
      <c r="R25" s="104">
        <f t="shared" ca="1" si="13"/>
        <v>1606.805696116116</v>
      </c>
      <c r="S25" s="104">
        <f t="shared" ca="1" si="13"/>
        <v>1594.024401696995</v>
      </c>
      <c r="T25" s="104">
        <f t="shared" ca="1" si="13"/>
        <v>1599.129716829696</v>
      </c>
      <c r="U25" s="104">
        <f t="shared" ca="1" si="13"/>
        <v>1608.5155986738919</v>
      </c>
      <c r="V25" s="104">
        <f t="shared" ca="1" si="13"/>
        <v>1617.8680391041576</v>
      </c>
      <c r="W25" s="104">
        <f t="shared" ca="1" si="13"/>
        <v>3400.5524243564682</v>
      </c>
      <c r="X25" s="104">
        <f t="shared" ca="1" si="13"/>
        <v>3409.8384327407734</v>
      </c>
      <c r="Y25" s="104">
        <f t="shared" ca="1" si="13"/>
        <v>3419.0914491417207</v>
      </c>
      <c r="Z25" s="104">
        <f t="shared" ca="1" si="13"/>
        <v>3428.3116220232323</v>
      </c>
      <c r="AA25" s="104">
        <f t="shared" ca="1" si="13"/>
        <v>3437.4990991811446</v>
      </c>
    </row>
    <row r="26" spans="2:27" x14ac:dyDescent="0.25">
      <c r="B26" s="105">
        <v>13</v>
      </c>
      <c r="C26" s="117" t="s">
        <v>481</v>
      </c>
      <c r="D26" s="102">
        <f t="shared" ca="1" si="1"/>
        <v>3937.573717298545</v>
      </c>
      <c r="E26" s="103" t="s">
        <v>120</v>
      </c>
      <c r="F26" s="104"/>
      <c r="G26" s="104"/>
      <c r="H26" s="104">
        <f ca="1">IF(H25&lt;=0,0,H25*参数输入表!$H$367)</f>
        <v>653.76472916424427</v>
      </c>
      <c r="I26" s="104">
        <f ca="1">IF(H28&gt;=参数输入表!$H$366,0,IF(I25&lt;0,0,IF(I25*参数输入表!$H$367&gt;=I27,I27,I25*参数输入表!$H$367)))</f>
        <v>88.061745527577116</v>
      </c>
      <c r="J26" s="104">
        <f ca="1">IF(I28&gt;=参数输入表!$H$366,0,IF(J25&lt;0,0,IF(J25*参数输入表!$H$367&gt;=J27,J27,J25*参数输入表!$H$367)))</f>
        <v>88.395539717842439</v>
      </c>
      <c r="K26" s="104">
        <f ca="1">IF(J28&gt;=参数输入表!$H$366,0,IF(K25&lt;0,0,IF(K25*参数输入表!$H$367&gt;=K27,K27,K25*参数输入表!$H$367)))</f>
        <v>88.728380197083524</v>
      </c>
      <c r="L26" s="104">
        <f ca="1">IF(K28&gt;=参数输入表!$H$366,0,IF(L25&lt;0,0,IF(L25*参数输入表!$H$367&gt;=L27,L27,L25*参数输入表!$H$367)))</f>
        <v>89.060271257000124</v>
      </c>
      <c r="M26" s="104">
        <f ca="1">IF(L28&gt;=参数输入表!$H$366,0,IF(M25&lt;0,0,IF(M25*参数输入表!$H$367&gt;=M27,M27,M25*参数输入表!$H$367)))</f>
        <v>27.356091281628871</v>
      </c>
      <c r="N26" s="104">
        <f ca="1">IF(M28&gt;=参数输入表!$H$366,0,IF(N25&lt;0,0,IF(N25*参数输入表!$H$367&gt;=N27,N27,N25*参数输入表!$H$367)))</f>
        <v>99.085908859522718</v>
      </c>
      <c r="O26" s="104">
        <f ca="1">IF(N28&gt;=参数输入表!$H$366,0,IF(O25&lt;0,0,IF(O25*参数输入表!$H$367&gt;=O27,O27,O25*参数输入表!$H$367)))</f>
        <v>96.149950519100216</v>
      </c>
      <c r="P26" s="104">
        <f ca="1">IF(O28&gt;=参数输入表!$H$366,0,IF(P25&lt;0,0,IF(P25*参数输入表!$H$367&gt;=P27,P27,P25*参数输入表!$H$367)))</f>
        <v>96.927668093325451</v>
      </c>
      <c r="Q26" s="104">
        <f ca="1">IF(P28&gt;=参数输入表!$H$366,0,IF(Q25&lt;0,0,IF(Q25*参数输入表!$H$367&gt;=Q27,Q27,Q25*参数输入表!$H$367)))</f>
        <v>97.879784694799582</v>
      </c>
      <c r="R26" s="104">
        <f ca="1">IF(Q28&gt;=参数输入表!$H$366,0,IF(R25&lt;0,0,IF(R25*参数输入表!$H$367&gt;=R27,R27,R25*参数输入表!$H$367)))</f>
        <v>160.68056961161162</v>
      </c>
      <c r="S26" s="104">
        <f ca="1">IF(R28&gt;=参数输入表!$H$366,0,IF(S25&lt;0,0,IF(S25*参数输入表!$H$367&gt;=S27,S27,S25*参数输入表!$H$367)))</f>
        <v>159.4024401696995</v>
      </c>
      <c r="T26" s="104">
        <f ca="1">IF(S28&gt;=参数输入表!$H$366,0,IF(T25&lt;0,0,IF(T25*参数输入表!$H$367&gt;=T27,T27,T25*参数输入表!$H$367)))</f>
        <v>159.91297168296961</v>
      </c>
      <c r="U26" s="104">
        <f ca="1">IF(T28&gt;=参数输入表!$H$366,0,IF(U25&lt;0,0,IF(U25*参数输入表!$H$367&gt;=U27,U27,U25*参数输入表!$H$367)))</f>
        <v>160.8515598673892</v>
      </c>
      <c r="V26" s="104">
        <f ca="1">IF(U28&gt;=参数输入表!$H$366,0,IF(V25&lt;0,0,IF(V25*参数输入表!$H$367&gt;=V27,V27,V25*参数输入表!$H$367)))</f>
        <v>161.78680391041576</v>
      </c>
      <c r="W26" s="104">
        <f ca="1">IF(V28&gt;=参数输入表!$H$366,0,IF(W25&lt;0,0,IF(W25*参数输入表!$H$367&gt;=W27,W27,W25*参数输入表!$H$367)))</f>
        <v>340.05524243564685</v>
      </c>
      <c r="X26" s="104">
        <f ca="1">IF(W28&gt;=参数输入表!$H$366,0,IF(X25&lt;0,0,IF(X25*参数输入表!$H$367&gt;=X27,X27,X25*参数输入表!$H$367)))</f>
        <v>340.98384327407734</v>
      </c>
      <c r="Y26" s="104">
        <f ca="1">IF(X28&gt;=参数输入表!$H$366,0,IF(Y25&lt;0,0,IF(Y25*参数输入表!$H$367&gt;=Y27,Y27,Y25*参数输入表!$H$367)))</f>
        <v>341.90914491417209</v>
      </c>
      <c r="Z26" s="104">
        <f ca="1">IF(Y28&gt;=参数输入表!$H$366,0,IF(Z25&lt;0,0,IF(Z25*参数输入表!$H$367&gt;=Z27,Z27,Z25*参数输入表!$H$367)))</f>
        <v>342.83116220232324</v>
      </c>
      <c r="AA26" s="104">
        <f ca="1">IF(Z28&gt;=参数输入表!$H$366,0,IF(AA25&lt;0,0,IF(AA25*参数输入表!$H$367&gt;=AA27,AA27,AA25*参数输入表!$H$367)))</f>
        <v>343.7499099181145</v>
      </c>
    </row>
    <row r="27" spans="2:27" x14ac:dyDescent="0.25">
      <c r="B27" s="112"/>
      <c r="C27" s="113" t="s">
        <v>482</v>
      </c>
      <c r="D27" s="114"/>
      <c r="E27" s="103" t="s">
        <v>120</v>
      </c>
      <c r="F27" s="104"/>
      <c r="G27" s="104"/>
      <c r="H27" s="104">
        <f ca="1">参数输入表!$H$366</f>
        <v>4037.551022839853</v>
      </c>
      <c r="I27" s="104">
        <f ca="1">参数输入表!$H$366-H28</f>
        <v>3383.7862936756087</v>
      </c>
      <c r="J27" s="104">
        <f ca="1">参数输入表!$H$366-I28</f>
        <v>3295.7245481480313</v>
      </c>
      <c r="K27" s="104">
        <f ca="1">参数输入表!$H$366-J28</f>
        <v>3207.3290084301889</v>
      </c>
      <c r="L27" s="104">
        <f ca="1">参数输入表!$H$366-K28</f>
        <v>3118.6006282331055</v>
      </c>
      <c r="M27" s="104">
        <f ca="1">参数输入表!$H$366-L28</f>
        <v>3029.5403569761056</v>
      </c>
      <c r="N27" s="104">
        <f ca="1">参数输入表!$H$366-M28</f>
        <v>3002.1842656944764</v>
      </c>
      <c r="O27" s="104">
        <f ca="1">参数输入表!$H$366-N28</f>
        <v>2903.0983568349538</v>
      </c>
      <c r="P27" s="104">
        <f ca="1">参数输入表!$H$366-O28</f>
        <v>2806.9484063158534</v>
      </c>
      <c r="Q27" s="104">
        <f ca="1">参数输入表!$H$366-P28</f>
        <v>2710.0207382225281</v>
      </c>
      <c r="R27" s="104">
        <f ca="1">参数输入表!$H$366-Q28</f>
        <v>2612.1409535277285</v>
      </c>
      <c r="S27" s="104">
        <f ca="1">参数输入表!$H$366-R28</f>
        <v>2451.4603839161168</v>
      </c>
      <c r="T27" s="104">
        <f ca="1">参数输入表!$H$366-S28</f>
        <v>2292.0579437464175</v>
      </c>
      <c r="U27" s="104">
        <f ca="1">参数输入表!$H$366-T28</f>
        <v>2132.1449720634478</v>
      </c>
      <c r="V27" s="104">
        <f ca="1">参数输入表!$H$366-U28</f>
        <v>1971.2934121960584</v>
      </c>
      <c r="W27" s="104">
        <f ca="1">参数输入表!$H$366-V28</f>
        <v>1809.5066082856424</v>
      </c>
      <c r="X27" s="104">
        <f ca="1">参数输入表!$H$366-W28</f>
        <v>1469.4513658499955</v>
      </c>
      <c r="Y27" s="104">
        <f ca="1">参数输入表!$H$366-X28</f>
        <v>1128.4675225759179</v>
      </c>
      <c r="Z27" s="104">
        <f ca="1">参数输入表!$H$366-Y28</f>
        <v>786.55837766174591</v>
      </c>
      <c r="AA27" s="104">
        <f ca="1">参数输入表!$H$366-Z28</f>
        <v>443.7272154594225</v>
      </c>
    </row>
    <row r="28" spans="2:27" x14ac:dyDescent="0.25">
      <c r="B28" s="112"/>
      <c r="C28" s="113" t="s">
        <v>483</v>
      </c>
      <c r="D28" s="114"/>
      <c r="E28" s="103" t="s">
        <v>120</v>
      </c>
      <c r="F28" s="104"/>
      <c r="G28" s="104"/>
      <c r="H28" s="104">
        <f ca="1">H26</f>
        <v>653.76472916424427</v>
      </c>
      <c r="I28" s="104">
        <f ca="1">I26+H28</f>
        <v>741.82647469182143</v>
      </c>
      <c r="J28" s="104">
        <f t="shared" ref="J28:AA28" ca="1" si="14">J26+I28</f>
        <v>830.22201440966387</v>
      </c>
      <c r="K28" s="104">
        <f t="shared" ca="1" si="14"/>
        <v>918.95039460674741</v>
      </c>
      <c r="L28" s="104">
        <f t="shared" ca="1" si="14"/>
        <v>1008.0106658637476</v>
      </c>
      <c r="M28" s="104">
        <f t="shared" ca="1" si="14"/>
        <v>1035.3667571453764</v>
      </c>
      <c r="N28" s="104">
        <f t="shared" ca="1" si="14"/>
        <v>1134.4526660048991</v>
      </c>
      <c r="O28" s="104">
        <f t="shared" ca="1" si="14"/>
        <v>1230.6026165239994</v>
      </c>
      <c r="P28" s="104">
        <f t="shared" ca="1" si="14"/>
        <v>1327.5302846173249</v>
      </c>
      <c r="Q28" s="104">
        <f t="shared" ca="1" si="14"/>
        <v>1425.4100693121245</v>
      </c>
      <c r="R28" s="104">
        <f t="shared" ca="1" si="14"/>
        <v>1586.0906389237362</v>
      </c>
      <c r="S28" s="104">
        <f t="shared" ca="1" si="14"/>
        <v>1745.4930790934357</v>
      </c>
      <c r="T28" s="104">
        <f t="shared" ca="1" si="14"/>
        <v>1905.4060507764052</v>
      </c>
      <c r="U28" s="104">
        <f t="shared" ca="1" si="14"/>
        <v>2066.2576106437946</v>
      </c>
      <c r="V28" s="104">
        <f t="shared" ca="1" si="14"/>
        <v>2228.0444145542106</v>
      </c>
      <c r="W28" s="104">
        <f t="shared" ca="1" si="14"/>
        <v>2568.0996569898575</v>
      </c>
      <c r="X28" s="104">
        <f t="shared" ca="1" si="14"/>
        <v>2909.0835002639351</v>
      </c>
      <c r="Y28" s="104">
        <f t="shared" ca="1" si="14"/>
        <v>3250.9926451781071</v>
      </c>
      <c r="Z28" s="104">
        <f t="shared" ca="1" si="14"/>
        <v>3593.8238073804305</v>
      </c>
      <c r="AA28" s="104">
        <f t="shared" ca="1" si="14"/>
        <v>3937.573717298545</v>
      </c>
    </row>
    <row r="29" spans="2:27" x14ac:dyDescent="0.25">
      <c r="B29" s="105">
        <v>14</v>
      </c>
      <c r="C29" s="117" t="s">
        <v>484</v>
      </c>
      <c r="D29" s="102">
        <f t="shared" ca="1" si="1"/>
        <v>35438.163455686896</v>
      </c>
      <c r="E29" s="103" t="s">
        <v>120</v>
      </c>
      <c r="F29" s="104"/>
      <c r="G29" s="104"/>
      <c r="H29" s="104">
        <f ca="1">H25-H26</f>
        <v>5883.8825624781975</v>
      </c>
      <c r="I29" s="104">
        <f t="shared" ref="I29:AA29" ca="1" si="15">I25-I26</f>
        <v>792.55570974819398</v>
      </c>
      <c r="J29" s="104">
        <f t="shared" ca="1" si="15"/>
        <v>795.55985746058195</v>
      </c>
      <c r="K29" s="104">
        <f t="shared" ca="1" si="15"/>
        <v>798.55542177375162</v>
      </c>
      <c r="L29" s="104">
        <f t="shared" ca="1" si="15"/>
        <v>801.54244131300106</v>
      </c>
      <c r="M29" s="104">
        <f t="shared" ca="1" si="15"/>
        <v>246.20482153465983</v>
      </c>
      <c r="N29" s="104">
        <f t="shared" ca="1" si="15"/>
        <v>891.77317973570439</v>
      </c>
      <c r="O29" s="104">
        <f t="shared" ca="1" si="15"/>
        <v>865.34955467190184</v>
      </c>
      <c r="P29" s="104">
        <f t="shared" ca="1" si="15"/>
        <v>872.34901283992895</v>
      </c>
      <c r="Q29" s="104">
        <f t="shared" ca="1" si="15"/>
        <v>880.91806225319624</v>
      </c>
      <c r="R29" s="104">
        <f t="shared" ca="1" si="15"/>
        <v>1446.1251265045044</v>
      </c>
      <c r="S29" s="104">
        <f t="shared" ca="1" si="15"/>
        <v>1434.6219615272955</v>
      </c>
      <c r="T29" s="104">
        <f t="shared" ca="1" si="15"/>
        <v>1439.2167451467265</v>
      </c>
      <c r="U29" s="104">
        <f t="shared" ca="1" si="15"/>
        <v>1447.6640388065027</v>
      </c>
      <c r="V29" s="104">
        <f t="shared" ca="1" si="15"/>
        <v>1456.0812351937418</v>
      </c>
      <c r="W29" s="104">
        <f t="shared" ca="1" si="15"/>
        <v>3060.4971819208213</v>
      </c>
      <c r="X29" s="104">
        <f t="shared" ca="1" si="15"/>
        <v>3068.8545894666959</v>
      </c>
      <c r="Y29" s="104">
        <f t="shared" ca="1" si="15"/>
        <v>3077.1823042275487</v>
      </c>
      <c r="Z29" s="104">
        <f t="shared" ca="1" si="15"/>
        <v>3085.4804598209089</v>
      </c>
      <c r="AA29" s="104">
        <f t="shared" ca="1" si="15"/>
        <v>3093.7491892630301</v>
      </c>
    </row>
    <row r="30" spans="2:27" x14ac:dyDescent="0.25">
      <c r="B30" s="105">
        <v>15</v>
      </c>
      <c r="C30" s="117" t="s">
        <v>485</v>
      </c>
      <c r="D30" s="102">
        <f t="shared" ca="1" si="1"/>
        <v>0</v>
      </c>
      <c r="E30" s="103" t="s">
        <v>120</v>
      </c>
      <c r="F30" s="104"/>
      <c r="G30" s="104"/>
      <c r="H30" s="104">
        <f ca="1">H29*参数输入表!$H$368</f>
        <v>0</v>
      </c>
      <c r="I30" s="104">
        <f ca="1">I29*参数输入表!$H$368</f>
        <v>0</v>
      </c>
      <c r="J30" s="104">
        <f ca="1">J29*参数输入表!$H$368</f>
        <v>0</v>
      </c>
      <c r="K30" s="104">
        <f ca="1">K29*参数输入表!$H$368</f>
        <v>0</v>
      </c>
      <c r="L30" s="104">
        <f ca="1">L29*参数输入表!$H$368</f>
        <v>0</v>
      </c>
      <c r="M30" s="104">
        <f ca="1">M29*参数输入表!$H$368</f>
        <v>0</v>
      </c>
      <c r="N30" s="104">
        <f ca="1">N29*参数输入表!$H$368</f>
        <v>0</v>
      </c>
      <c r="O30" s="104">
        <f ca="1">O29*参数输入表!$H$368</f>
        <v>0</v>
      </c>
      <c r="P30" s="104">
        <f ca="1">P29*参数输入表!$H$368</f>
        <v>0</v>
      </c>
      <c r="Q30" s="104">
        <f ca="1">Q29*参数输入表!$H$368</f>
        <v>0</v>
      </c>
      <c r="R30" s="104">
        <f ca="1">R29*参数输入表!$H$368</f>
        <v>0</v>
      </c>
      <c r="S30" s="104">
        <f ca="1">S29*参数输入表!$H$368</f>
        <v>0</v>
      </c>
      <c r="T30" s="104">
        <f ca="1">T29*参数输入表!$H$368</f>
        <v>0</v>
      </c>
      <c r="U30" s="104">
        <f ca="1">U29*参数输入表!$H$368</f>
        <v>0</v>
      </c>
      <c r="V30" s="104">
        <f ca="1">V29*参数输入表!$H$368</f>
        <v>0</v>
      </c>
      <c r="W30" s="104">
        <f ca="1">W29*参数输入表!$H$368</f>
        <v>0</v>
      </c>
      <c r="X30" s="104">
        <f ca="1">X29*参数输入表!$H$368</f>
        <v>0</v>
      </c>
      <c r="Y30" s="104">
        <f ca="1">Y29*参数输入表!$H$368</f>
        <v>0</v>
      </c>
      <c r="Z30" s="104">
        <f ca="1">Z29*参数输入表!$H$368</f>
        <v>0</v>
      </c>
      <c r="AA30" s="104">
        <f ca="1">AA29*参数输入表!$H$368</f>
        <v>0</v>
      </c>
    </row>
    <row r="31" spans="2:27" x14ac:dyDescent="0.25">
      <c r="B31" s="105">
        <v>16</v>
      </c>
      <c r="C31" s="117" t="s">
        <v>486</v>
      </c>
      <c r="D31" s="102">
        <f t="shared" ca="1" si="1"/>
        <v>35438.163455686896</v>
      </c>
      <c r="E31" s="103" t="s">
        <v>120</v>
      </c>
      <c r="F31" s="104"/>
      <c r="G31" s="104"/>
      <c r="H31" s="104">
        <f ca="1">H29-H30</f>
        <v>5883.8825624781975</v>
      </c>
      <c r="I31" s="104">
        <f t="shared" ref="I31:AA31" ca="1" si="16">I29-I30</f>
        <v>792.55570974819398</v>
      </c>
      <c r="J31" s="104">
        <f t="shared" ca="1" si="16"/>
        <v>795.55985746058195</v>
      </c>
      <c r="K31" s="104">
        <f t="shared" ca="1" si="16"/>
        <v>798.55542177375162</v>
      </c>
      <c r="L31" s="104">
        <f t="shared" ca="1" si="16"/>
        <v>801.54244131300106</v>
      </c>
      <c r="M31" s="104">
        <f t="shared" ca="1" si="16"/>
        <v>246.20482153465983</v>
      </c>
      <c r="N31" s="104">
        <f t="shared" ca="1" si="16"/>
        <v>891.77317973570439</v>
      </c>
      <c r="O31" s="104">
        <f t="shared" ca="1" si="16"/>
        <v>865.34955467190184</v>
      </c>
      <c r="P31" s="104">
        <f t="shared" ca="1" si="16"/>
        <v>872.34901283992895</v>
      </c>
      <c r="Q31" s="104">
        <f t="shared" ca="1" si="16"/>
        <v>880.91806225319624</v>
      </c>
      <c r="R31" s="104">
        <f t="shared" ca="1" si="16"/>
        <v>1446.1251265045044</v>
      </c>
      <c r="S31" s="104">
        <f t="shared" ca="1" si="16"/>
        <v>1434.6219615272955</v>
      </c>
      <c r="T31" s="104">
        <f t="shared" ca="1" si="16"/>
        <v>1439.2167451467265</v>
      </c>
      <c r="U31" s="104">
        <f t="shared" ca="1" si="16"/>
        <v>1447.6640388065027</v>
      </c>
      <c r="V31" s="104">
        <f t="shared" ca="1" si="16"/>
        <v>1456.0812351937418</v>
      </c>
      <c r="W31" s="104">
        <f t="shared" ca="1" si="16"/>
        <v>3060.4971819208213</v>
      </c>
      <c r="X31" s="104">
        <f t="shared" ca="1" si="16"/>
        <v>3068.8545894666959</v>
      </c>
      <c r="Y31" s="104">
        <f t="shared" ca="1" si="16"/>
        <v>3077.1823042275487</v>
      </c>
      <c r="Z31" s="104">
        <f t="shared" ca="1" si="16"/>
        <v>3085.4804598209089</v>
      </c>
      <c r="AA31" s="104">
        <f t="shared" ca="1" si="16"/>
        <v>3093.7491892630301</v>
      </c>
    </row>
    <row r="32" spans="2:27" x14ac:dyDescent="0.25">
      <c r="B32" s="105">
        <v>17</v>
      </c>
      <c r="C32" s="117" t="s">
        <v>487</v>
      </c>
      <c r="D32" s="102">
        <f t="shared" ca="1" si="1"/>
        <v>0</v>
      </c>
      <c r="E32" s="103" t="s">
        <v>120</v>
      </c>
      <c r="F32" s="104"/>
      <c r="G32" s="104"/>
      <c r="H32" s="104">
        <f ca="1">H29-H30-H31</f>
        <v>0</v>
      </c>
      <c r="I32" s="104">
        <f t="shared" ref="I32:AA32" ca="1" si="17">I29-I30-I31</f>
        <v>0</v>
      </c>
      <c r="J32" s="104">
        <f t="shared" ca="1" si="17"/>
        <v>0</v>
      </c>
      <c r="K32" s="104">
        <f t="shared" ca="1" si="17"/>
        <v>0</v>
      </c>
      <c r="L32" s="104">
        <f t="shared" ca="1" si="17"/>
        <v>0</v>
      </c>
      <c r="M32" s="104">
        <f t="shared" ca="1" si="17"/>
        <v>0</v>
      </c>
      <c r="N32" s="104">
        <f t="shared" ca="1" si="17"/>
        <v>0</v>
      </c>
      <c r="O32" s="104">
        <f t="shared" ca="1" si="17"/>
        <v>0</v>
      </c>
      <c r="P32" s="104">
        <f t="shared" ca="1" si="17"/>
        <v>0</v>
      </c>
      <c r="Q32" s="104">
        <f t="shared" ca="1" si="17"/>
        <v>0</v>
      </c>
      <c r="R32" s="104">
        <f t="shared" ca="1" si="17"/>
        <v>0</v>
      </c>
      <c r="S32" s="104">
        <f t="shared" ca="1" si="17"/>
        <v>0</v>
      </c>
      <c r="T32" s="104">
        <f t="shared" ca="1" si="17"/>
        <v>0</v>
      </c>
      <c r="U32" s="104">
        <f t="shared" ca="1" si="17"/>
        <v>0</v>
      </c>
      <c r="V32" s="104">
        <f t="shared" ca="1" si="17"/>
        <v>0</v>
      </c>
      <c r="W32" s="104">
        <f t="shared" ca="1" si="17"/>
        <v>0</v>
      </c>
      <c r="X32" s="104">
        <f t="shared" ca="1" si="17"/>
        <v>0</v>
      </c>
      <c r="Y32" s="104">
        <f t="shared" ca="1" si="17"/>
        <v>0</v>
      </c>
      <c r="Z32" s="104">
        <f t="shared" ca="1" si="17"/>
        <v>0</v>
      </c>
      <c r="AA32" s="104">
        <f t="shared" ca="1" si="17"/>
        <v>0</v>
      </c>
    </row>
    <row r="33" spans="2:27" x14ac:dyDescent="0.25">
      <c r="B33" s="105">
        <v>18</v>
      </c>
      <c r="C33" s="117" t="s">
        <v>488</v>
      </c>
      <c r="D33" s="102">
        <f t="shared" ca="1" si="1"/>
        <v>67696.799163223346</v>
      </c>
      <c r="E33" s="103" t="s">
        <v>120</v>
      </c>
      <c r="F33" s="104"/>
      <c r="G33" s="104"/>
      <c r="H33" s="104">
        <f ca="1">H14+'表1-资金筹措及还本付息表'!H93</f>
        <v>10604.338588761933</v>
      </c>
      <c r="I33" s="104">
        <f ca="1">I14+'表1-资金筹措及还本付息表'!I93</f>
        <v>2936.3338380571277</v>
      </c>
      <c r="J33" s="104">
        <f ca="1">J14+'表1-资金筹措及还本付息表'!J93</f>
        <v>2815.4861250447534</v>
      </c>
      <c r="K33" s="104">
        <f ca="1">K14+'表1-资金筹措及还本付息表'!K93</f>
        <v>2694.6256958853892</v>
      </c>
      <c r="L33" s="104">
        <f ca="1">L14+'表1-资金筹措及还本付息表'!L93</f>
        <v>2573.7526078016981</v>
      </c>
      <c r="M33" s="104">
        <f ca="1">M14+'表1-资金筹措及还本付息表'!M93</f>
        <v>1625.7319059141698</v>
      </c>
      <c r="N33" s="104">
        <f ca="1">N14+'表1-资金筹措及还本付息表'!N93</f>
        <v>2456.831171403509</v>
      </c>
      <c r="O33" s="104">
        <f ca="1">O14+'表1-资金筹措及还本付息表'!O93</f>
        <v>2292.3867579819639</v>
      </c>
      <c r="P33" s="104">
        <f ca="1">P14+'表1-资金筹措及还本付息表'!P93</f>
        <v>2177.4580234223886</v>
      </c>
      <c r="Q33" s="104">
        <f ca="1">Q14+'表1-资金筹措及还本付息表'!Q93</f>
        <v>2064.8546092261322</v>
      </c>
      <c r="R33" s="104">
        <f ca="1">R14+'表1-资金筹措及还本付息表'!R93</f>
        <v>2776.900105901047</v>
      </c>
      <c r="S33" s="104">
        <f ca="1">S14+'表1-资金筹措及还本付息表'!S93</f>
        <v>2634.5600777929735</v>
      </c>
      <c r="T33" s="104">
        <f ca="1">T14+'表1-资金筹措及还本付息表'!T93</f>
        <v>2516.0688624206632</v>
      </c>
      <c r="U33" s="104">
        <f ca="1">U14+'表1-资金筹措及还本付息表'!U93</f>
        <v>2403.2850693303462</v>
      </c>
      <c r="V33" s="104">
        <f ca="1">V14+'表1-资金筹措及还本付息表'!V93</f>
        <v>2290.4566876881217</v>
      </c>
      <c r="W33" s="104">
        <f ca="1">W14+'表1-资金筹措及还本付息表'!W93</f>
        <v>4542.0708991419579</v>
      </c>
      <c r="X33" s="104">
        <f ca="1">X14+'表1-资金筹措及还本付息表'!X93</f>
        <v>4554.4522436543648</v>
      </c>
      <c r="Y33" s="104">
        <f ca="1">Y14+'表1-资金筹措及还本付息表'!Y93</f>
        <v>4566.7895988556274</v>
      </c>
      <c r="Z33" s="104">
        <f ca="1">Z14+'表1-资金筹措及还本付息表'!Z93</f>
        <v>4579.0831626976433</v>
      </c>
      <c r="AA33" s="104">
        <f ca="1">AA14+'表1-资金筹措及还本付息表'!AA93</f>
        <v>4591.3331322415261</v>
      </c>
    </row>
    <row r="34" spans="2:27" x14ac:dyDescent="0.25">
      <c r="B34" s="105">
        <v>19</v>
      </c>
      <c r="C34" s="117" t="s">
        <v>489</v>
      </c>
      <c r="D34" s="102">
        <f t="shared" ca="1" si="1"/>
        <v>123098.99812518974</v>
      </c>
      <c r="E34" s="103" t="s">
        <v>120</v>
      </c>
      <c r="F34" s="104"/>
      <c r="G34" s="104"/>
      <c r="H34" s="104">
        <f ca="1">H33+'表2-折旧摊销表'!H52</f>
        <v>14375.34980271842</v>
      </c>
      <c r="I34" s="104">
        <f ca="1">I33+'表2-折旧摊销表'!I52</f>
        <v>6707.3450520136139</v>
      </c>
      <c r="J34" s="104">
        <f ca="1">J33+'表2-折旧摊销表'!J52</f>
        <v>6586.4973390012401</v>
      </c>
      <c r="K34" s="104">
        <f ca="1">K33+'表2-折旧摊销表'!K52</f>
        <v>6465.6369098418754</v>
      </c>
      <c r="L34" s="104">
        <f ca="1">L33+'表2-折旧摊销表'!L52</f>
        <v>6344.7638217581843</v>
      </c>
      <c r="M34" s="104">
        <f ca="1">M33+'表2-折旧摊销表'!M52</f>
        <v>5396.7431198706563</v>
      </c>
      <c r="N34" s="104">
        <f ca="1">N33+'表2-折旧摊销表'!N52</f>
        <v>6227.8423853599952</v>
      </c>
      <c r="O34" s="104">
        <f ca="1">O33+'表2-折旧摊销表'!O52</f>
        <v>6063.3979719384497</v>
      </c>
      <c r="P34" s="104">
        <f ca="1">P33+'表2-折旧摊销表'!P52</f>
        <v>5948.4692373788748</v>
      </c>
      <c r="Q34" s="104">
        <f ca="1">Q33+'表2-折旧摊销表'!Q52</f>
        <v>5835.8658231826184</v>
      </c>
      <c r="R34" s="104">
        <f ca="1">R33+'表2-折旧摊销表'!R52</f>
        <v>5690.5204202338618</v>
      </c>
      <c r="S34" s="104">
        <f ca="1">S33+'表2-折旧摊销表'!S52</f>
        <v>5590.2157903558764</v>
      </c>
      <c r="T34" s="104">
        <f ca="1">T33+'表2-折旧摊销表'!T52</f>
        <v>5471.7245749835665</v>
      </c>
      <c r="U34" s="104">
        <f ca="1">U33+'表2-折旧摊销表'!U52</f>
        <v>5358.9407818932496</v>
      </c>
      <c r="V34" s="104">
        <f ca="1">V33+'表2-折旧摊销表'!V52</f>
        <v>5246.1124002510251</v>
      </c>
      <c r="W34" s="104">
        <f ca="1">W33+'表2-折旧摊销表'!W52</f>
        <v>5133.2396307053796</v>
      </c>
      <c r="X34" s="104">
        <f ca="1">X33+'表2-折旧摊销表'!X52</f>
        <v>5145.6209752177865</v>
      </c>
      <c r="Y34" s="104">
        <f ca="1">Y33+'表2-折旧摊销表'!Y52</f>
        <v>5157.9583304190492</v>
      </c>
      <c r="Z34" s="104">
        <f ca="1">Z33+'表2-折旧摊销表'!Z52</f>
        <v>5170.251894261065</v>
      </c>
      <c r="AA34" s="104">
        <f ca="1">AA33+'表2-折旧摊销表'!AA52</f>
        <v>5182.5018638049478</v>
      </c>
    </row>
    <row r="38" spans="2:27" ht="21.5" x14ac:dyDescent="0.25">
      <c r="C38" s="118" t="s">
        <v>419</v>
      </c>
    </row>
    <row r="39" spans="2:27" ht="21.5" x14ac:dyDescent="0.25">
      <c r="C39" s="118" t="s">
        <v>455</v>
      </c>
    </row>
    <row r="40" spans="2:27" x14ac:dyDescent="0.25">
      <c r="C40" s="119"/>
    </row>
  </sheetData>
  <mergeCells count="6">
    <mergeCell ref="F3:G3"/>
    <mergeCell ref="H3:AA3"/>
    <mergeCell ref="B3:B4"/>
    <mergeCell ref="C3:C4"/>
    <mergeCell ref="D3:D4"/>
    <mergeCell ref="E3:E4"/>
  </mergeCells>
  <phoneticPr fontId="65" type="noConversion"/>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AA48"/>
  <sheetViews>
    <sheetView showGridLines="0" zoomScale="70" zoomScaleNormal="70" workbookViewId="0">
      <pane xSplit="1" ySplit="4" topLeftCell="B16" activePane="bottomRight" state="frozen"/>
      <selection pane="topRight"/>
      <selection pane="bottomLeft"/>
      <selection pane="bottomRight" activeCell="D28" sqref="D28"/>
    </sheetView>
  </sheetViews>
  <sheetFormatPr defaultColWidth="8.81640625" defaultRowHeight="16.5" x14ac:dyDescent="0.25"/>
  <cols>
    <col min="1" max="1" width="2.36328125" style="66" customWidth="1"/>
    <col min="2" max="2" width="8.81640625" style="66"/>
    <col min="3" max="3" width="29.54296875" style="66" customWidth="1"/>
    <col min="4" max="4" width="15.36328125" style="66" customWidth="1"/>
    <col min="5" max="5" width="13" style="66" customWidth="1"/>
    <col min="6" max="6" width="15.90625" style="67" customWidth="1"/>
    <col min="7" max="7" width="15.36328125" style="67" customWidth="1"/>
    <col min="8" max="9" width="16.36328125" style="66" customWidth="1"/>
    <col min="10" max="15" width="14.6328125" style="66" customWidth="1"/>
    <col min="16" max="16" width="13.54296875" style="66" customWidth="1"/>
    <col min="17" max="17" width="14.6328125" style="66" customWidth="1"/>
    <col min="18" max="26" width="13.54296875" style="66" customWidth="1"/>
    <col min="27" max="27" width="15.36328125" style="66" customWidth="1"/>
    <col min="28" max="16384" width="8.81640625" style="66"/>
  </cols>
  <sheetData>
    <row r="1" spans="2:27" ht="4.5" customHeight="1" x14ac:dyDescent="0.25"/>
    <row r="2" spans="2:27" ht="21.65" customHeight="1" x14ac:dyDescent="0.25">
      <c r="B2" s="68" t="s">
        <v>529</v>
      </c>
    </row>
    <row r="3" spans="2:27" x14ac:dyDescent="0.25">
      <c r="B3" s="440" t="s">
        <v>14</v>
      </c>
      <c r="C3" s="440" t="s">
        <v>318</v>
      </c>
      <c r="D3" s="440" t="s">
        <v>306</v>
      </c>
      <c r="E3" s="440" t="s">
        <v>38</v>
      </c>
      <c r="F3" s="438" t="s">
        <v>93</v>
      </c>
      <c r="G3" s="438"/>
      <c r="H3" s="438" t="s">
        <v>103</v>
      </c>
      <c r="I3" s="438"/>
      <c r="J3" s="438"/>
      <c r="K3" s="438"/>
      <c r="L3" s="438"/>
      <c r="M3" s="438"/>
      <c r="N3" s="438"/>
      <c r="O3" s="438"/>
      <c r="P3" s="438"/>
      <c r="Q3" s="438"/>
      <c r="R3" s="438"/>
      <c r="S3" s="438"/>
      <c r="T3" s="438"/>
      <c r="U3" s="438"/>
      <c r="V3" s="438"/>
      <c r="W3" s="438"/>
      <c r="X3" s="438"/>
      <c r="Y3" s="438"/>
      <c r="Z3" s="438"/>
      <c r="AA3" s="438"/>
    </row>
    <row r="4" spans="2:27" x14ac:dyDescent="0.25">
      <c r="B4" s="441"/>
      <c r="C4" s="441"/>
      <c r="D4" s="441"/>
      <c r="E4" s="441"/>
      <c r="F4" s="47">
        <v>1</v>
      </c>
      <c r="G4" s="47">
        <v>2</v>
      </c>
      <c r="H4" s="47">
        <v>1</v>
      </c>
      <c r="I4" s="47">
        <v>2</v>
      </c>
      <c r="J4" s="47">
        <v>3</v>
      </c>
      <c r="K4" s="47">
        <v>4</v>
      </c>
      <c r="L4" s="47">
        <v>5</v>
      </c>
      <c r="M4" s="47">
        <v>6</v>
      </c>
      <c r="N4" s="47">
        <v>7</v>
      </c>
      <c r="O4" s="47">
        <v>8</v>
      </c>
      <c r="P4" s="47">
        <v>9</v>
      </c>
      <c r="Q4" s="47">
        <v>10</v>
      </c>
      <c r="R4" s="47">
        <v>11</v>
      </c>
      <c r="S4" s="47">
        <v>12</v>
      </c>
      <c r="T4" s="47">
        <v>13</v>
      </c>
      <c r="U4" s="47">
        <v>14</v>
      </c>
      <c r="V4" s="47">
        <v>15</v>
      </c>
      <c r="W4" s="47">
        <v>16</v>
      </c>
      <c r="X4" s="47">
        <v>17</v>
      </c>
      <c r="Y4" s="47">
        <v>18</v>
      </c>
      <c r="Z4" s="47">
        <v>19</v>
      </c>
      <c r="AA4" s="47">
        <v>20</v>
      </c>
    </row>
    <row r="5" spans="2:27" x14ac:dyDescent="0.25">
      <c r="B5" s="69">
        <v>1</v>
      </c>
      <c r="C5" s="70" t="s">
        <v>494</v>
      </c>
      <c r="D5" s="71">
        <f ca="1">SUM(F5:AA5)</f>
        <v>404022.13124174927</v>
      </c>
      <c r="E5" s="51" t="s">
        <v>120</v>
      </c>
      <c r="F5" s="72">
        <f t="shared" ref="F5:AA5" si="0">SUM(F6:F11)</f>
        <v>0</v>
      </c>
      <c r="G5" s="72">
        <f t="shared" si="0"/>
        <v>0</v>
      </c>
      <c r="H5" s="50">
        <f t="shared" ca="1" si="0"/>
        <v>26688.384000000002</v>
      </c>
      <c r="I5" s="50">
        <f t="shared" ca="1" si="0"/>
        <v>18688.384000000002</v>
      </c>
      <c r="J5" s="50">
        <f t="shared" ca="1" si="0"/>
        <v>18688.384000000002</v>
      </c>
      <c r="K5" s="50">
        <f t="shared" ca="1" si="0"/>
        <v>18688.384000000002</v>
      </c>
      <c r="L5" s="50">
        <f t="shared" ca="1" si="0"/>
        <v>18688.384000000002</v>
      </c>
      <c r="M5" s="50">
        <f t="shared" ca="1" si="0"/>
        <v>18688.384000000002</v>
      </c>
      <c r="N5" s="50">
        <f t="shared" ca="1" si="0"/>
        <v>19688.384000000002</v>
      </c>
      <c r="O5" s="50">
        <f t="shared" ca="1" si="0"/>
        <v>19688.384000000002</v>
      </c>
      <c r="P5" s="50">
        <f t="shared" ca="1" si="0"/>
        <v>19688.384000000002</v>
      </c>
      <c r="Q5" s="50">
        <f t="shared" ca="1" si="0"/>
        <v>19688.384000000002</v>
      </c>
      <c r="R5" s="50">
        <f t="shared" ca="1" si="0"/>
        <v>19688.384000000002</v>
      </c>
      <c r="S5" s="50">
        <f t="shared" ca="1" si="0"/>
        <v>19688.384000000002</v>
      </c>
      <c r="T5" s="50">
        <f t="shared" ca="1" si="0"/>
        <v>19688.384000000002</v>
      </c>
      <c r="U5" s="50">
        <f t="shared" ca="1" si="0"/>
        <v>19688.384000000002</v>
      </c>
      <c r="V5" s="50">
        <f t="shared" ca="1" si="0"/>
        <v>19688.384000000002</v>
      </c>
      <c r="W5" s="50">
        <f t="shared" ca="1" si="0"/>
        <v>19688.384000000002</v>
      </c>
      <c r="X5" s="50">
        <f t="shared" ca="1" si="0"/>
        <v>19688.384000000002</v>
      </c>
      <c r="Y5" s="50">
        <f t="shared" ca="1" si="0"/>
        <v>19688.384000000002</v>
      </c>
      <c r="Z5" s="50">
        <f t="shared" ca="1" si="0"/>
        <v>19688.384000000002</v>
      </c>
      <c r="AA5" s="50">
        <f t="shared" ca="1" si="0"/>
        <v>27942.835241749206</v>
      </c>
    </row>
    <row r="6" spans="2:27" x14ac:dyDescent="0.25">
      <c r="B6" s="73">
        <v>1.1000000000000001</v>
      </c>
      <c r="C6" s="74" t="s">
        <v>495</v>
      </c>
      <c r="D6" s="75">
        <f>SUM(F6:AA6)</f>
        <v>395767.68000000011</v>
      </c>
      <c r="E6" s="51" t="s">
        <v>120</v>
      </c>
      <c r="F6" s="76"/>
      <c r="G6" s="76"/>
      <c r="H6" s="55">
        <f>('表4-收入税金表'!H6+'表4-收入税金表'!H18)</f>
        <v>26688.384000000002</v>
      </c>
      <c r="I6" s="55">
        <f>('表4-收入税金表'!I6+'表4-收入税金表'!I18)</f>
        <v>18688.384000000002</v>
      </c>
      <c r="J6" s="55">
        <f>('表4-收入税金表'!J6+'表4-收入税金表'!J18)</f>
        <v>18688.384000000002</v>
      </c>
      <c r="K6" s="55">
        <f>('表4-收入税金表'!K6+'表4-收入税金表'!K18)</f>
        <v>18688.384000000002</v>
      </c>
      <c r="L6" s="55">
        <f>('表4-收入税金表'!L6+'表4-收入税金表'!L18)</f>
        <v>18688.384000000002</v>
      </c>
      <c r="M6" s="55">
        <f>('表4-收入税金表'!M6+'表4-收入税金表'!M18)</f>
        <v>18688.384000000002</v>
      </c>
      <c r="N6" s="55">
        <f>('表4-收入税金表'!N6+'表4-收入税金表'!N18)</f>
        <v>19688.384000000002</v>
      </c>
      <c r="O6" s="55">
        <f>('表4-收入税金表'!O6+'表4-收入税金表'!O18)</f>
        <v>19688.384000000002</v>
      </c>
      <c r="P6" s="55">
        <f>('表4-收入税金表'!P6+'表4-收入税金表'!P18)</f>
        <v>19688.384000000002</v>
      </c>
      <c r="Q6" s="55">
        <f>('表4-收入税金表'!Q6+'表4-收入税金表'!Q18)</f>
        <v>19688.384000000002</v>
      </c>
      <c r="R6" s="55">
        <f>('表4-收入税金表'!R6+'表4-收入税金表'!R18)</f>
        <v>19688.384000000002</v>
      </c>
      <c r="S6" s="55">
        <f>('表4-收入税金表'!S6+'表4-收入税金表'!S18)</f>
        <v>19688.384000000002</v>
      </c>
      <c r="T6" s="55">
        <f>('表4-收入税金表'!T6+'表4-收入税金表'!T18)</f>
        <v>19688.384000000002</v>
      </c>
      <c r="U6" s="55">
        <f>('表4-收入税金表'!U6+'表4-收入税金表'!U18)</f>
        <v>19688.384000000002</v>
      </c>
      <c r="V6" s="55">
        <f>('表4-收入税金表'!V6+'表4-收入税金表'!V18)</f>
        <v>19688.384000000002</v>
      </c>
      <c r="W6" s="55">
        <f>('表4-收入税金表'!W6+'表4-收入税金表'!W18)</f>
        <v>19688.384000000002</v>
      </c>
      <c r="X6" s="55">
        <f>('表4-收入税金表'!X6+'表4-收入税金表'!X18)</f>
        <v>19688.384000000002</v>
      </c>
      <c r="Y6" s="55">
        <f>('表4-收入税金表'!Y6+'表4-收入税金表'!Y18)</f>
        <v>19688.384000000002</v>
      </c>
      <c r="Z6" s="55">
        <f>('表4-收入税金表'!Z6+'表4-收入税金表'!Z18)</f>
        <v>19688.384000000002</v>
      </c>
      <c r="AA6" s="55">
        <f>('表4-收入税金表'!AA6+'表4-收入税金表'!AA18)</f>
        <v>19688.384000000002</v>
      </c>
    </row>
    <row r="7" spans="2:27" x14ac:dyDescent="0.25">
      <c r="B7" s="73">
        <v>1.2</v>
      </c>
      <c r="C7" s="74" t="s">
        <v>122</v>
      </c>
      <c r="D7" s="75">
        <f t="shared" ref="D7:D20" si="1">SUM(F7:AA7)</f>
        <v>0</v>
      </c>
      <c r="E7" s="51" t="s">
        <v>120</v>
      </c>
      <c r="F7" s="76"/>
      <c r="G7" s="76"/>
      <c r="H7" s="55">
        <f>('表4-收入税金表'!H10+'表4-收入税金表'!H19)</f>
        <v>0</v>
      </c>
      <c r="I7" s="55">
        <f>('表4-收入税金表'!I10+'表4-收入税金表'!I19)</f>
        <v>0</v>
      </c>
      <c r="J7" s="55">
        <f>('表4-收入税金表'!J10+'表4-收入税金表'!J19)</f>
        <v>0</v>
      </c>
      <c r="K7" s="55">
        <f>('表4-收入税金表'!K10+'表4-收入税金表'!K19)</f>
        <v>0</v>
      </c>
      <c r="L7" s="55">
        <f>('表4-收入税金表'!L10+'表4-收入税金表'!L19)</f>
        <v>0</v>
      </c>
      <c r="M7" s="55">
        <f>('表4-收入税金表'!M10+'表4-收入税金表'!M19)</f>
        <v>0</v>
      </c>
      <c r="N7" s="55">
        <f>('表4-收入税金表'!N10+'表4-收入税金表'!N19)</f>
        <v>0</v>
      </c>
      <c r="O7" s="55">
        <f>('表4-收入税金表'!O10+'表4-收入税金表'!O19)</f>
        <v>0</v>
      </c>
      <c r="P7" s="55">
        <f>('表4-收入税金表'!P10+'表4-收入税金表'!P19)</f>
        <v>0</v>
      </c>
      <c r="Q7" s="55">
        <f>('表4-收入税金表'!Q10+'表4-收入税金表'!Q19)</f>
        <v>0</v>
      </c>
      <c r="R7" s="55">
        <f>('表4-收入税金表'!R10+'表4-收入税金表'!R19)</f>
        <v>0</v>
      </c>
      <c r="S7" s="55">
        <f>('表4-收入税金表'!S10+'表4-收入税金表'!S19)</f>
        <v>0</v>
      </c>
      <c r="T7" s="55">
        <f>('表4-收入税金表'!T10+'表4-收入税金表'!T19)</f>
        <v>0</v>
      </c>
      <c r="U7" s="55">
        <f>('表4-收入税金表'!U10+'表4-收入税金表'!U19)</f>
        <v>0</v>
      </c>
      <c r="V7" s="55">
        <f>('表4-收入税金表'!V10+'表4-收入税金表'!V19)</f>
        <v>0</v>
      </c>
      <c r="W7" s="55">
        <f>('表4-收入税金表'!W10+'表4-收入税金表'!W19)</f>
        <v>0</v>
      </c>
      <c r="X7" s="55">
        <f>('表4-收入税金表'!X10+'表4-收入税金表'!X19)</f>
        <v>0</v>
      </c>
      <c r="Y7" s="55">
        <f>('表4-收入税金表'!Y10+'表4-收入税金表'!Y19)</f>
        <v>0</v>
      </c>
      <c r="Z7" s="55">
        <f>('表4-收入税金表'!Z10+'表4-收入税金表'!Z19)</f>
        <v>0</v>
      </c>
      <c r="AA7" s="55">
        <f>('表4-收入税金表'!AA10+'表4-收入税金表'!AA19)</f>
        <v>0</v>
      </c>
    </row>
    <row r="8" spans="2:27" x14ac:dyDescent="0.25">
      <c r="B8" s="73">
        <v>1.3</v>
      </c>
      <c r="C8" s="74" t="s">
        <v>426</v>
      </c>
      <c r="D8" s="75">
        <f t="shared" si="1"/>
        <v>0</v>
      </c>
      <c r="E8" s="51" t="s">
        <v>120</v>
      </c>
      <c r="F8" s="76"/>
      <c r="G8" s="76"/>
      <c r="H8" s="55">
        <f>参数输入表!H318</f>
        <v>0</v>
      </c>
      <c r="I8" s="55"/>
      <c r="J8" s="55"/>
      <c r="K8" s="55"/>
      <c r="L8" s="55"/>
      <c r="M8" s="55"/>
      <c r="N8" s="55"/>
      <c r="O8" s="55"/>
      <c r="P8" s="55"/>
      <c r="Q8" s="55"/>
      <c r="R8" s="55"/>
      <c r="S8" s="55"/>
      <c r="T8" s="55"/>
      <c r="U8" s="55"/>
      <c r="V8" s="55"/>
      <c r="W8" s="55"/>
      <c r="X8" s="55"/>
      <c r="Y8" s="55"/>
      <c r="Z8" s="55"/>
      <c r="AA8" s="55"/>
    </row>
    <row r="9" spans="2:27" x14ac:dyDescent="0.25">
      <c r="B9" s="73">
        <v>1.4</v>
      </c>
      <c r="C9" s="74" t="s">
        <v>496</v>
      </c>
      <c r="D9" s="75">
        <f t="shared" ca="1" si="1"/>
        <v>7873.4512417492024</v>
      </c>
      <c r="E9" s="51" t="s">
        <v>120</v>
      </c>
      <c r="F9" s="76"/>
      <c r="G9" s="76"/>
      <c r="H9" s="55">
        <v>0</v>
      </c>
      <c r="I9" s="55">
        <v>0</v>
      </c>
      <c r="J9" s="55">
        <v>0</v>
      </c>
      <c r="K9" s="55">
        <v>0</v>
      </c>
      <c r="L9" s="55">
        <v>0</v>
      </c>
      <c r="M9" s="55">
        <v>0</v>
      </c>
      <c r="N9" s="55">
        <v>0</v>
      </c>
      <c r="O9" s="55">
        <v>0</v>
      </c>
      <c r="P9" s="55">
        <v>0</v>
      </c>
      <c r="Q9" s="55">
        <v>0</v>
      </c>
      <c r="R9" s="55">
        <v>0</v>
      </c>
      <c r="S9" s="55">
        <v>0</v>
      </c>
      <c r="T9" s="55">
        <v>0</v>
      </c>
      <c r="U9" s="55">
        <v>0</v>
      </c>
      <c r="V9" s="55">
        <v>0</v>
      </c>
      <c r="W9" s="55">
        <v>0</v>
      </c>
      <c r="X9" s="55">
        <v>0</v>
      </c>
      <c r="Y9" s="55">
        <v>0</v>
      </c>
      <c r="Z9" s="55">
        <v>0</v>
      </c>
      <c r="AA9" s="55">
        <f ca="1">'表6-现金流量表-资本金'!AA10</f>
        <v>7873.4512417492024</v>
      </c>
    </row>
    <row r="10" spans="2:27" x14ac:dyDescent="0.25">
      <c r="B10" s="73">
        <v>1.5</v>
      </c>
      <c r="C10" s="74" t="s">
        <v>497</v>
      </c>
      <c r="D10" s="75">
        <f t="shared" si="1"/>
        <v>381</v>
      </c>
      <c r="E10" s="51" t="s">
        <v>120</v>
      </c>
      <c r="F10" s="76"/>
      <c r="G10" s="76"/>
      <c r="H10" s="55"/>
      <c r="I10" s="55"/>
      <c r="J10" s="55"/>
      <c r="K10" s="55"/>
      <c r="L10" s="55"/>
      <c r="M10" s="55"/>
      <c r="N10" s="55"/>
      <c r="O10" s="55"/>
      <c r="P10" s="55"/>
      <c r="Q10" s="55"/>
      <c r="R10" s="55"/>
      <c r="S10" s="55"/>
      <c r="T10" s="55"/>
      <c r="U10" s="55"/>
      <c r="V10" s="55"/>
      <c r="W10" s="55"/>
      <c r="X10" s="55"/>
      <c r="Y10" s="55"/>
      <c r="Z10" s="55"/>
      <c r="AA10" s="55">
        <f>参数输入表!H351</f>
        <v>381</v>
      </c>
    </row>
    <row r="11" spans="2:27" x14ac:dyDescent="0.25">
      <c r="B11" s="73">
        <v>1.6</v>
      </c>
      <c r="C11" s="74" t="s">
        <v>427</v>
      </c>
      <c r="D11" s="75">
        <f t="shared" ca="1" si="1"/>
        <v>0</v>
      </c>
      <c r="E11" s="51" t="s">
        <v>120</v>
      </c>
      <c r="F11" s="76"/>
      <c r="G11" s="76"/>
      <c r="H11" s="55">
        <f ca="1">'表4-收入税金表'!H13</f>
        <v>0</v>
      </c>
      <c r="I11" s="55">
        <f ca="1">'表4-收入税金表'!I13</f>
        <v>0</v>
      </c>
      <c r="J11" s="55">
        <f ca="1">'表4-收入税金表'!J13</f>
        <v>0</v>
      </c>
      <c r="K11" s="55">
        <f ca="1">'表4-收入税金表'!K13</f>
        <v>0</v>
      </c>
      <c r="L11" s="55">
        <f ca="1">'表4-收入税金表'!L13</f>
        <v>0</v>
      </c>
      <c r="M11" s="55">
        <f ca="1">'表4-收入税金表'!M13</f>
        <v>0</v>
      </c>
      <c r="N11" s="55">
        <f ca="1">'表4-收入税金表'!N13</f>
        <v>0</v>
      </c>
      <c r="O11" s="55">
        <f ca="1">'表4-收入税金表'!O13</f>
        <v>0</v>
      </c>
      <c r="P11" s="55">
        <f ca="1">'表4-收入税金表'!P13</f>
        <v>0</v>
      </c>
      <c r="Q11" s="55">
        <f ca="1">'表4-收入税金表'!Q13</f>
        <v>0</v>
      </c>
      <c r="R11" s="55">
        <f ca="1">'表4-收入税金表'!R13</f>
        <v>0</v>
      </c>
      <c r="S11" s="55">
        <f ca="1">'表4-收入税金表'!S13</f>
        <v>0</v>
      </c>
      <c r="T11" s="55">
        <f ca="1">'表4-收入税金表'!T13</f>
        <v>0</v>
      </c>
      <c r="U11" s="55">
        <f ca="1">'表4-收入税金表'!U13</f>
        <v>0</v>
      </c>
      <c r="V11" s="55">
        <f ca="1">'表4-收入税金表'!V13</f>
        <v>0</v>
      </c>
      <c r="W11" s="55">
        <f ca="1">'表4-收入税金表'!W13</f>
        <v>0</v>
      </c>
      <c r="X11" s="55">
        <f ca="1">'表4-收入税金表'!X13</f>
        <v>0</v>
      </c>
      <c r="Y11" s="55">
        <f ca="1">'表4-收入税金表'!Y13</f>
        <v>0</v>
      </c>
      <c r="Z11" s="55">
        <f ca="1">'表4-收入税金表'!Z13</f>
        <v>0</v>
      </c>
      <c r="AA11" s="55">
        <f ca="1">'表4-收入税金表'!AA13</f>
        <v>0</v>
      </c>
    </row>
    <row r="12" spans="2:27" x14ac:dyDescent="0.25">
      <c r="B12" s="69">
        <v>2</v>
      </c>
      <c r="C12" s="70" t="s">
        <v>498</v>
      </c>
      <c r="D12" s="71">
        <f t="shared" ca="1" si="1"/>
        <v>349509.35601682594</v>
      </c>
      <c r="E12" s="51" t="s">
        <v>120</v>
      </c>
      <c r="F12" s="72">
        <f>SUM(F13:F19)</f>
        <v>39167.034</v>
      </c>
      <c r="G12" s="72">
        <f t="shared" ref="G12:AA12" si="2">SUM(G13:G19)</f>
        <v>26111.356</v>
      </c>
      <c r="H12" s="50">
        <f t="shared" ca="1" si="2"/>
        <v>13539.297171077944</v>
      </c>
      <c r="I12" s="50">
        <f t="shared" ca="1" si="2"/>
        <v>13153.253571077943</v>
      </c>
      <c r="J12" s="50">
        <f t="shared" ca="1" si="2"/>
        <v>13148.224405277946</v>
      </c>
      <c r="K12" s="50">
        <f t="shared" ca="1" si="2"/>
        <v>13143.209608724046</v>
      </c>
      <c r="L12" s="50">
        <f t="shared" ca="1" si="2"/>
        <v>13138.209116754637</v>
      </c>
      <c r="M12" s="50">
        <f t="shared" ca="1" si="2"/>
        <v>14067.885428383564</v>
      </c>
      <c r="N12" s="50">
        <f t="shared" ca="1" si="2"/>
        <v>14053.193912725688</v>
      </c>
      <c r="O12" s="50">
        <f t="shared" ca="1" si="2"/>
        <v>14611.664187339673</v>
      </c>
      <c r="P12" s="50">
        <f t="shared" ca="1" si="2"/>
        <v>14625.003878132507</v>
      </c>
      <c r="Q12" s="50">
        <f t="shared" ca="1" si="2"/>
        <v>14612.308990112851</v>
      </c>
      <c r="R12" s="50">
        <f t="shared" ca="1" si="2"/>
        <v>14632.356090845698</v>
      </c>
      <c r="S12" s="50">
        <f t="shared" ca="1" si="2"/>
        <v>15049.840294613965</v>
      </c>
      <c r="T12" s="50">
        <f t="shared" ca="1" si="2"/>
        <v>14600.555331664167</v>
      </c>
      <c r="U12" s="50">
        <f t="shared" ca="1" si="2"/>
        <v>14588.040822538576</v>
      </c>
      <c r="V12" s="50">
        <f t="shared" ca="1" si="2"/>
        <v>14575.570901964888</v>
      </c>
      <c r="W12" s="50">
        <f t="shared" ca="1" si="2"/>
        <v>14563.145369294622</v>
      </c>
      <c r="X12" s="50">
        <f t="shared" ca="1" si="2"/>
        <v>14550.764024782215</v>
      </c>
      <c r="Y12" s="50">
        <f t="shared" ca="1" si="2"/>
        <v>14538.426669580951</v>
      </c>
      <c r="Z12" s="50">
        <f t="shared" ca="1" si="2"/>
        <v>14526.133105738936</v>
      </c>
      <c r="AA12" s="50">
        <f t="shared" ca="1" si="2"/>
        <v>14513.883136195052</v>
      </c>
    </row>
    <row r="13" spans="2:27" x14ac:dyDescent="0.25">
      <c r="B13" s="73">
        <v>2.1</v>
      </c>
      <c r="C13" s="74" t="s">
        <v>530</v>
      </c>
      <c r="D13" s="75">
        <f t="shared" si="1"/>
        <v>65278.39</v>
      </c>
      <c r="E13" s="51" t="s">
        <v>120</v>
      </c>
      <c r="F13" s="76">
        <f>'表1-资金筹措及还本付息表'!F7</f>
        <v>39167.034</v>
      </c>
      <c r="G13" s="76">
        <f>'表1-资金筹措及还本付息表'!G7</f>
        <v>26111.356</v>
      </c>
      <c r="H13" s="55"/>
      <c r="I13" s="55"/>
      <c r="J13" s="55"/>
      <c r="K13" s="55"/>
      <c r="L13" s="55"/>
      <c r="M13" s="55"/>
      <c r="N13" s="55"/>
      <c r="O13" s="55"/>
      <c r="P13" s="55"/>
      <c r="Q13" s="55"/>
      <c r="R13" s="55"/>
      <c r="S13" s="55"/>
      <c r="T13" s="55"/>
      <c r="U13" s="55"/>
      <c r="V13" s="55"/>
      <c r="W13" s="55"/>
      <c r="X13" s="55"/>
      <c r="Y13" s="55"/>
      <c r="Z13" s="55"/>
      <c r="AA13" s="55"/>
    </row>
    <row r="14" spans="2:27" x14ac:dyDescent="0.25">
      <c r="B14" s="73">
        <v>2.2000000000000002</v>
      </c>
      <c r="C14" s="74" t="s">
        <v>28</v>
      </c>
      <c r="D14" s="75">
        <f t="shared" si="1"/>
        <v>381</v>
      </c>
      <c r="E14" s="51" t="s">
        <v>120</v>
      </c>
      <c r="F14" s="76"/>
      <c r="G14" s="76"/>
      <c r="H14" s="55">
        <f>参数输入表!H351</f>
        <v>381</v>
      </c>
      <c r="I14" s="55"/>
      <c r="J14" s="55"/>
      <c r="K14" s="55"/>
      <c r="L14" s="55"/>
      <c r="M14" s="55"/>
      <c r="N14" s="55"/>
      <c r="O14" s="55"/>
      <c r="P14" s="55"/>
      <c r="Q14" s="55"/>
      <c r="R14" s="55"/>
      <c r="S14" s="55"/>
      <c r="T14" s="55"/>
      <c r="U14" s="55"/>
      <c r="V14" s="55"/>
      <c r="W14" s="55"/>
      <c r="X14" s="55"/>
      <c r="Y14" s="55"/>
      <c r="Z14" s="55"/>
      <c r="AA14" s="55"/>
    </row>
    <row r="15" spans="2:27" x14ac:dyDescent="0.25">
      <c r="B15" s="73">
        <v>2.2999999999999998</v>
      </c>
      <c r="C15" s="74" t="s">
        <v>507</v>
      </c>
      <c r="D15" s="75">
        <f t="shared" ca="1" si="1"/>
        <v>275545.50504059112</v>
      </c>
      <c r="E15" s="51" t="s">
        <v>120</v>
      </c>
      <c r="F15" s="76"/>
      <c r="G15" s="76"/>
      <c r="H15" s="55">
        <f ca="1">'表3-成本费用表'!H48+'表4-收入税金表'!H22</f>
        <v>13158.297171077944</v>
      </c>
      <c r="I15" s="55">
        <f ca="1">'表3-成本费用表'!I48+'表4-收入税金表'!I22</f>
        <v>13153.253571077943</v>
      </c>
      <c r="J15" s="55">
        <f ca="1">'表3-成本费用表'!J48+'表4-收入税金表'!J22</f>
        <v>13148.224405277946</v>
      </c>
      <c r="K15" s="55">
        <f ca="1">'表3-成本费用表'!K48+'表4-收入税金表'!K22</f>
        <v>13143.209608724046</v>
      </c>
      <c r="L15" s="55">
        <f ca="1">'表3-成本费用表'!L48+'表4-收入税金表'!L22</f>
        <v>13138.209116754637</v>
      </c>
      <c r="M15" s="55">
        <f ca="1">'表3-成本费用表'!M48+'表4-收入税金表'!M22</f>
        <v>14067.885428383564</v>
      </c>
      <c r="N15" s="55">
        <f ca="1">'表3-成本费用表'!N48+'表4-收入税金表'!N22</f>
        <v>14053.193912725688</v>
      </c>
      <c r="O15" s="55">
        <f ca="1">'表3-成本费用表'!O48+'表4-收入税金表'!O22</f>
        <v>14038.555083138272</v>
      </c>
      <c r="P15" s="55">
        <f ca="1">'表3-成本费用表'!P48+'表4-收入税金表'!P22</f>
        <v>14023.968702534001</v>
      </c>
      <c r="Q15" s="55">
        <f ca="1">'表3-成本费用表'!Q48+'表4-收入税金表'!Q22</f>
        <v>14009.434534892449</v>
      </c>
      <c r="R15" s="55">
        <f ca="1">'表3-成本费用表'!R48+'表4-收入税金表'!R22</f>
        <v>14031.424513396876</v>
      </c>
      <c r="S15" s="55">
        <f ca="1">'表3-成本费用表'!S48+'表4-收入税金表'!S22</f>
        <v>14010.356899721484</v>
      </c>
      <c r="T15" s="55">
        <f ca="1">'表3-成本费用表'!T48+'表4-收入税金表'!T22</f>
        <v>13995.977965442589</v>
      </c>
      <c r="U15" s="55">
        <f ca="1">'表3-成本费用表'!U48+'表4-收入税金表'!U22</f>
        <v>13981.65031061795</v>
      </c>
      <c r="V15" s="55">
        <f ca="1">'表3-成本费用表'!V48+'表4-收入税金表'!V22</f>
        <v>13967.373704490019</v>
      </c>
      <c r="W15" s="55">
        <f ca="1">'表3-成本费用表'!W48+'表4-收入税金表'!W22</f>
        <v>13953.147917339664</v>
      </c>
      <c r="X15" s="55">
        <f ca="1">'表3-成本费用表'!X48+'表4-收入税金表'!X22</f>
        <v>13938.972720481488</v>
      </c>
      <c r="Y15" s="55">
        <f ca="1">'表3-成本费用表'!Y48+'表4-收入税金表'!Y22</f>
        <v>13924.847886259171</v>
      </c>
      <c r="Z15" s="55">
        <f ca="1">'表3-成本费用表'!Z48+'表4-收入税金表'!Z22</f>
        <v>13910.773188040856</v>
      </c>
      <c r="AA15" s="55">
        <f ca="1">'表3-成本费用表'!AA48+'表4-收入税金表'!AA22</f>
        <v>13896.748400214525</v>
      </c>
    </row>
    <row r="16" spans="2:27" x14ac:dyDescent="0.25">
      <c r="B16" s="73">
        <v>2.4</v>
      </c>
      <c r="C16" s="74" t="s">
        <v>264</v>
      </c>
      <c r="D16" s="75">
        <f t="shared" si="1"/>
        <v>0</v>
      </c>
      <c r="E16" s="51" t="s">
        <v>120</v>
      </c>
      <c r="F16" s="76"/>
      <c r="G16" s="76"/>
      <c r="H16" s="55">
        <f>'表3-成本费用表'!H62</f>
        <v>0</v>
      </c>
      <c r="I16" s="55">
        <f>'表3-成本费用表'!I62</f>
        <v>0</v>
      </c>
      <c r="J16" s="55">
        <f>'表3-成本费用表'!J62</f>
        <v>0</v>
      </c>
      <c r="K16" s="55">
        <f>'表3-成本费用表'!K62</f>
        <v>0</v>
      </c>
      <c r="L16" s="55">
        <f>'表3-成本费用表'!L62</f>
        <v>0</v>
      </c>
      <c r="M16" s="55">
        <f>'表3-成本费用表'!M62</f>
        <v>0</v>
      </c>
      <c r="N16" s="55">
        <f>'表3-成本费用表'!N62</f>
        <v>0</v>
      </c>
      <c r="O16" s="55">
        <f>'表3-成本费用表'!O62</f>
        <v>0</v>
      </c>
      <c r="P16" s="55">
        <f>'表3-成本费用表'!P62</f>
        <v>0</v>
      </c>
      <c r="Q16" s="55">
        <f>'表3-成本费用表'!Q62</f>
        <v>0</v>
      </c>
      <c r="R16" s="55">
        <f>'表3-成本费用表'!R62</f>
        <v>0</v>
      </c>
      <c r="S16" s="55">
        <f>'表3-成本费用表'!S62</f>
        <v>0</v>
      </c>
      <c r="T16" s="55">
        <f>'表3-成本费用表'!T62</f>
        <v>0</v>
      </c>
      <c r="U16" s="55">
        <f>'表3-成本费用表'!U62</f>
        <v>0</v>
      </c>
      <c r="V16" s="55">
        <f>'表3-成本费用表'!V62</f>
        <v>0</v>
      </c>
      <c r="W16" s="55">
        <f>'表3-成本费用表'!W62</f>
        <v>0</v>
      </c>
      <c r="X16" s="55">
        <f>'表3-成本费用表'!X62</f>
        <v>0</v>
      </c>
      <c r="Y16" s="55">
        <f>'表3-成本费用表'!Y62</f>
        <v>0</v>
      </c>
      <c r="Z16" s="55">
        <f>'表3-成本费用表'!Z62</f>
        <v>0</v>
      </c>
      <c r="AA16" s="55">
        <f>'表3-成本费用表'!AA62</f>
        <v>0</v>
      </c>
    </row>
    <row r="17" spans="2:27" x14ac:dyDescent="0.25">
      <c r="B17" s="73">
        <v>2.5</v>
      </c>
      <c r="C17" s="74" t="s">
        <v>508</v>
      </c>
      <c r="D17" s="75">
        <f t="shared" ca="1" si="1"/>
        <v>7094.9645238497851</v>
      </c>
      <c r="E17" s="51" t="s">
        <v>120</v>
      </c>
      <c r="F17" s="76"/>
      <c r="G17" s="76"/>
      <c r="H17" s="55">
        <f ca="1">'表4-收入税金表'!H16</f>
        <v>0</v>
      </c>
      <c r="I17" s="55">
        <f ca="1">'表4-收入税金表'!I16</f>
        <v>0</v>
      </c>
      <c r="J17" s="55">
        <f ca="1">'表4-收入税金表'!J16</f>
        <v>0</v>
      </c>
      <c r="K17" s="55">
        <f ca="1">'表4-收入税金表'!K16</f>
        <v>0</v>
      </c>
      <c r="L17" s="55">
        <f ca="1">'表4-收入税金表'!L16</f>
        <v>0</v>
      </c>
      <c r="M17" s="55">
        <f ca="1">'表4-收入税金表'!M16</f>
        <v>0</v>
      </c>
      <c r="N17" s="55">
        <f ca="1">'表4-收入税金表'!N16</f>
        <v>0</v>
      </c>
      <c r="O17" s="55">
        <f ca="1">'表4-收入税金表'!O16</f>
        <v>521.00827654672946</v>
      </c>
      <c r="P17" s="55">
        <f ca="1">'表4-收入税金表'!P16</f>
        <v>546.39561418046037</v>
      </c>
      <c r="Q17" s="55">
        <f ca="1">'表4-收入税金表'!Q16</f>
        <v>548.06768656400186</v>
      </c>
      <c r="R17" s="55">
        <f ca="1">'表4-收入税金表'!R16</f>
        <v>546.30143404438365</v>
      </c>
      <c r="S17" s="55">
        <f ca="1">'表4-收入税金表'!S16</f>
        <v>490.43944990225418</v>
      </c>
      <c r="T17" s="55">
        <f ca="1">'表4-收入税金表'!T16</f>
        <v>549.61578747416263</v>
      </c>
      <c r="U17" s="55">
        <f ca="1">'表4-收入税金表'!U16</f>
        <v>551.26410174602404</v>
      </c>
      <c r="V17" s="55">
        <f ca="1">'表4-收入税金表'!V16</f>
        <v>552.90654315897154</v>
      </c>
      <c r="W17" s="55">
        <f ca="1">'表4-收入税金表'!W16</f>
        <v>554.54313814087072</v>
      </c>
      <c r="X17" s="55">
        <f ca="1">'表4-收入税金表'!X16</f>
        <v>556.17391300066095</v>
      </c>
      <c r="Y17" s="55">
        <f ca="1">'表4-收入税金表'!Y16</f>
        <v>557.7988939288922</v>
      </c>
      <c r="Z17" s="55">
        <f ca="1">'表4-收入税金表'!Z16</f>
        <v>559.41810699825589</v>
      </c>
      <c r="AA17" s="55">
        <f ca="1">'表4-收入税金表'!AA16</f>
        <v>561.03157816411704</v>
      </c>
    </row>
    <row r="18" spans="2:27" x14ac:dyDescent="0.25">
      <c r="B18" s="73">
        <v>2.6</v>
      </c>
      <c r="C18" s="74" t="s">
        <v>466</v>
      </c>
      <c r="D18" s="75">
        <f t="shared" ca="1" si="1"/>
        <v>709.49645238497851</v>
      </c>
      <c r="E18" s="51" t="s">
        <v>120</v>
      </c>
      <c r="F18" s="76"/>
      <c r="G18" s="76"/>
      <c r="H18" s="55">
        <f ca="1">'表4-收入税金表'!H40+'表4-收入税金表'!H44</f>
        <v>0</v>
      </c>
      <c r="I18" s="55">
        <f ca="1">'表4-收入税金表'!I40+'表4-收入税金表'!I44</f>
        <v>0</v>
      </c>
      <c r="J18" s="55">
        <f ca="1">'表4-收入税金表'!J40+'表4-收入税金表'!J44</f>
        <v>0</v>
      </c>
      <c r="K18" s="55">
        <f ca="1">'表4-收入税金表'!K40+'表4-收入税金表'!K44</f>
        <v>0</v>
      </c>
      <c r="L18" s="55">
        <f ca="1">'表4-收入税金表'!L40+'表4-收入税金表'!L44</f>
        <v>0</v>
      </c>
      <c r="M18" s="55">
        <f ca="1">'表4-收入税金表'!M40+'表4-收入税金表'!M44</f>
        <v>0</v>
      </c>
      <c r="N18" s="55">
        <f ca="1">'表4-收入税金表'!N40+'表4-收入税金表'!N44</f>
        <v>0</v>
      </c>
      <c r="O18" s="55">
        <f ca="1">'表4-收入税金表'!O40+'表4-收入税金表'!O44</f>
        <v>52.100827654672948</v>
      </c>
      <c r="P18" s="55">
        <f ca="1">'表4-收入税金表'!P40+'表4-收入税金表'!P44</f>
        <v>54.639561418046043</v>
      </c>
      <c r="Q18" s="55">
        <f ca="1">'表4-收入税金表'!Q40+'表4-收入税金表'!Q44</f>
        <v>54.806768656400195</v>
      </c>
      <c r="R18" s="55">
        <f ca="1">'表4-收入税金表'!R40+'表4-收入税金表'!R44</f>
        <v>54.630143404438371</v>
      </c>
      <c r="S18" s="55">
        <f ca="1">'表4-收入税金表'!S40+'表4-收入税金表'!S44</f>
        <v>49.043944990225427</v>
      </c>
      <c r="T18" s="55">
        <f ca="1">'表4-收入税金表'!T40+'表4-收入税金表'!T44</f>
        <v>54.961578747416269</v>
      </c>
      <c r="U18" s="55">
        <f ca="1">'表4-收入税金表'!U40+'表4-收入税金表'!U44</f>
        <v>55.126410174602398</v>
      </c>
      <c r="V18" s="55">
        <f ca="1">'表4-收入税金表'!V40+'表4-收入税金表'!V44</f>
        <v>55.290654315897157</v>
      </c>
      <c r="W18" s="55">
        <f ca="1">'表4-收入税金表'!W40+'表4-收入税金表'!W44</f>
        <v>55.454313814087072</v>
      </c>
      <c r="X18" s="55">
        <f ca="1">'表4-收入税金表'!X40+'表4-收入税金表'!X44</f>
        <v>55.617391300066089</v>
      </c>
      <c r="Y18" s="55">
        <f ca="1">'表4-收入税金表'!Y40+'表4-收入税金表'!Y44</f>
        <v>55.779889392889217</v>
      </c>
      <c r="Z18" s="55">
        <f ca="1">'表4-收入税金表'!Z40+'表4-收入税金表'!Z44</f>
        <v>55.941810699825595</v>
      </c>
      <c r="AA18" s="55">
        <f ca="1">'表4-收入税金表'!AA40+'表4-收入税金表'!AA44</f>
        <v>56.103157816411709</v>
      </c>
    </row>
    <row r="19" spans="2:27" x14ac:dyDescent="0.25">
      <c r="B19" s="73">
        <v>2.7</v>
      </c>
      <c r="C19" s="74" t="s">
        <v>509</v>
      </c>
      <c r="D19" s="75">
        <f t="shared" si="1"/>
        <v>500</v>
      </c>
      <c r="E19" s="51" t="s">
        <v>120</v>
      </c>
      <c r="F19" s="76"/>
      <c r="G19" s="76"/>
      <c r="H19" s="55">
        <f>参数输入表!H656</f>
        <v>0</v>
      </c>
      <c r="I19" s="55">
        <f>参数输入表!H657</f>
        <v>0</v>
      </c>
      <c r="J19" s="55">
        <f>参数输入表!H658</f>
        <v>0</v>
      </c>
      <c r="K19" s="55">
        <f>参数输入表!H659</f>
        <v>0</v>
      </c>
      <c r="L19" s="55">
        <f>参数输入表!H660</f>
        <v>0</v>
      </c>
      <c r="M19" s="55">
        <f>参数输入表!H661</f>
        <v>0</v>
      </c>
      <c r="N19" s="55">
        <f>参数输入表!H662</f>
        <v>0</v>
      </c>
      <c r="O19" s="55">
        <f>参数输入表!H663</f>
        <v>0</v>
      </c>
      <c r="P19" s="55">
        <f>参数输入表!H664</f>
        <v>0</v>
      </c>
      <c r="Q19" s="55">
        <f>参数输入表!H665</f>
        <v>0</v>
      </c>
      <c r="R19" s="55">
        <f>参数输入表!H666</f>
        <v>0</v>
      </c>
      <c r="S19" s="55">
        <f>参数输入表!H667</f>
        <v>500</v>
      </c>
      <c r="T19" s="55">
        <f>参数输入表!H668</f>
        <v>0</v>
      </c>
      <c r="U19" s="55">
        <f>参数输入表!H669</f>
        <v>0</v>
      </c>
      <c r="V19" s="55">
        <f>参数输入表!H670</f>
        <v>0</v>
      </c>
      <c r="W19" s="55">
        <f>参数输入表!H671</f>
        <v>0</v>
      </c>
      <c r="X19" s="55">
        <f>参数输入表!H672</f>
        <v>0</v>
      </c>
      <c r="Y19" s="55">
        <f>参数输入表!H673</f>
        <v>0</v>
      </c>
      <c r="Z19" s="55">
        <f>参数输入表!H674</f>
        <v>0</v>
      </c>
      <c r="AA19" s="55">
        <f>参数输入表!H675</f>
        <v>0</v>
      </c>
    </row>
    <row r="20" spans="2:27" x14ac:dyDescent="0.25">
      <c r="B20" s="69">
        <v>3</v>
      </c>
      <c r="C20" s="70" t="s">
        <v>510</v>
      </c>
      <c r="D20" s="71">
        <f t="shared" ca="1" si="1"/>
        <v>54512.775224923374</v>
      </c>
      <c r="E20" s="51" t="s">
        <v>120</v>
      </c>
      <c r="F20" s="72">
        <f t="shared" ref="F20:AA20" si="3">F5-F12</f>
        <v>-39167.034</v>
      </c>
      <c r="G20" s="77">
        <f t="shared" si="3"/>
        <v>-26111.356</v>
      </c>
      <c r="H20" s="50">
        <f t="shared" ca="1" si="3"/>
        <v>13149.086828922058</v>
      </c>
      <c r="I20" s="50">
        <f t="shared" ca="1" si="3"/>
        <v>5535.1304289220589</v>
      </c>
      <c r="J20" s="50">
        <f t="shared" ca="1" si="3"/>
        <v>5540.1595947220558</v>
      </c>
      <c r="K20" s="50">
        <f t="shared" ca="1" si="3"/>
        <v>5545.1743912759557</v>
      </c>
      <c r="L20" s="50">
        <f t="shared" ca="1" si="3"/>
        <v>5550.174883245365</v>
      </c>
      <c r="M20" s="50">
        <f t="shared" ca="1" si="3"/>
        <v>4620.4985716164374</v>
      </c>
      <c r="N20" s="50">
        <f t="shared" ca="1" si="3"/>
        <v>5635.1900872743136</v>
      </c>
      <c r="O20" s="50">
        <f t="shared" ca="1" si="3"/>
        <v>5076.7198126603289</v>
      </c>
      <c r="P20" s="50">
        <f t="shared" ca="1" si="3"/>
        <v>5063.3801218674944</v>
      </c>
      <c r="Q20" s="50">
        <f t="shared" ca="1" si="3"/>
        <v>5076.0750098871504</v>
      </c>
      <c r="R20" s="50">
        <f t="shared" ca="1" si="3"/>
        <v>5056.0279091543034</v>
      </c>
      <c r="S20" s="50">
        <f t="shared" ca="1" si="3"/>
        <v>4638.5437053860369</v>
      </c>
      <c r="T20" s="50">
        <f t="shared" ca="1" si="3"/>
        <v>5087.8286683358347</v>
      </c>
      <c r="U20" s="50">
        <f t="shared" ca="1" si="3"/>
        <v>5100.3431774614255</v>
      </c>
      <c r="V20" s="50">
        <f t="shared" ca="1" si="3"/>
        <v>5112.8130980351143</v>
      </c>
      <c r="W20" s="50">
        <f t="shared" ca="1" si="3"/>
        <v>5125.2386307053803</v>
      </c>
      <c r="X20" s="50">
        <f t="shared" ca="1" si="3"/>
        <v>5137.6199752177872</v>
      </c>
      <c r="Y20" s="50">
        <f t="shared" ca="1" si="3"/>
        <v>5149.9573304190508</v>
      </c>
      <c r="Z20" s="50">
        <f t="shared" ca="1" si="3"/>
        <v>5162.2508942610657</v>
      </c>
      <c r="AA20" s="50">
        <f t="shared" ca="1" si="3"/>
        <v>13428.952105554154</v>
      </c>
    </row>
    <row r="21" spans="2:27" x14ac:dyDescent="0.25">
      <c r="B21" s="69">
        <v>4</v>
      </c>
      <c r="C21" s="49" t="s">
        <v>511</v>
      </c>
      <c r="D21" s="71"/>
      <c r="E21" s="51" t="s">
        <v>120</v>
      </c>
      <c r="F21" s="72">
        <f>F20</f>
        <v>-39167.034</v>
      </c>
      <c r="G21" s="77">
        <f>IF('表1-资金筹措及还本付息表'!G5&gt;0,F21+G20,0)</f>
        <v>-65278.39</v>
      </c>
      <c r="H21" s="50">
        <f ca="1">IF('表1-资金筹措及还本付息表'!G5&gt;0,G21+H20,H20+F21)</f>
        <v>-52129.30317107794</v>
      </c>
      <c r="I21" s="50">
        <f t="shared" ref="I21" ca="1" si="4">H21+I20</f>
        <v>-46594.172742155883</v>
      </c>
      <c r="J21" s="50">
        <f t="shared" ref="J21" ca="1" si="5">I21+J20</f>
        <v>-41054.013147433827</v>
      </c>
      <c r="K21" s="50">
        <f t="shared" ref="K21" ca="1" si="6">J21+K20</f>
        <v>-35508.838756157871</v>
      </c>
      <c r="L21" s="50">
        <f t="shared" ref="L21" ca="1" si="7">K21+L20</f>
        <v>-29958.663872912504</v>
      </c>
      <c r="M21" s="50">
        <f t="shared" ref="M21" ca="1" si="8">L21+M20</f>
        <v>-25338.165301296067</v>
      </c>
      <c r="N21" s="50">
        <f t="shared" ref="N21" ca="1" si="9">M21+N20</f>
        <v>-19702.975214021753</v>
      </c>
      <c r="O21" s="50">
        <f t="shared" ref="O21" ca="1" si="10">N21+O20</f>
        <v>-14626.255401361424</v>
      </c>
      <c r="P21" s="50">
        <f t="shared" ref="P21" ca="1" si="11">O21+P20</f>
        <v>-9562.8752794939301</v>
      </c>
      <c r="Q21" s="50">
        <f t="shared" ref="Q21" ca="1" si="12">P21+Q20</f>
        <v>-4486.8002696067797</v>
      </c>
      <c r="R21" s="50">
        <f t="shared" ref="R21" ca="1" si="13">Q21+R20</f>
        <v>569.22763954752372</v>
      </c>
      <c r="S21" s="50">
        <f t="shared" ref="S21" ca="1" si="14">R21+S20</f>
        <v>5207.7713449335606</v>
      </c>
      <c r="T21" s="50">
        <f t="shared" ref="T21" ca="1" si="15">S21+T20</f>
        <v>10295.600013269395</v>
      </c>
      <c r="U21" s="50">
        <f t="shared" ref="U21" ca="1" si="16">T21+U20</f>
        <v>15395.943190730821</v>
      </c>
      <c r="V21" s="50">
        <f t="shared" ref="V21" ca="1" si="17">U21+V20</f>
        <v>20508.756288765937</v>
      </c>
      <c r="W21" s="50">
        <f t="shared" ref="W21" ca="1" si="18">V21+W20</f>
        <v>25633.994919471319</v>
      </c>
      <c r="X21" s="50">
        <f t="shared" ref="X21" ca="1" si="19">W21+X20</f>
        <v>30771.614894689104</v>
      </c>
      <c r="Y21" s="50">
        <f t="shared" ref="Y21" ca="1" si="20">X21+Y20</f>
        <v>35921.572225108153</v>
      </c>
      <c r="Z21" s="50">
        <f t="shared" ref="Z21" ca="1" si="21">Y21+Z20</f>
        <v>41083.823119369219</v>
      </c>
      <c r="AA21" s="50">
        <f t="shared" ref="AA21" ca="1" si="22">Z21+AA20</f>
        <v>54512.775224923374</v>
      </c>
    </row>
    <row r="22" spans="2:27" x14ac:dyDescent="0.25">
      <c r="B22" s="69">
        <v>5</v>
      </c>
      <c r="C22" s="49" t="s">
        <v>526</v>
      </c>
      <c r="D22" s="71">
        <f ca="1">SUM(F22:AA22)</f>
        <v>13125.245724328481</v>
      </c>
      <c r="E22" s="51" t="s">
        <v>120</v>
      </c>
      <c r="F22" s="72"/>
      <c r="G22" s="77"/>
      <c r="H22" s="50">
        <f ca="1">'表7-利润表-全投资'!H22</f>
        <v>2179.2157638808139</v>
      </c>
      <c r="I22" s="50">
        <f ca="1">'表7-利润表-全投资'!I22</f>
        <v>293.53915175859038</v>
      </c>
      <c r="J22" s="50">
        <f ca="1">'表7-利润表-全投资'!J22</f>
        <v>294.6517990594748</v>
      </c>
      <c r="K22" s="50">
        <f ca="1">'表7-利润表-全投资'!K22</f>
        <v>295.76126732361172</v>
      </c>
      <c r="L22" s="50">
        <f ca="1">'表7-利润表-全投资'!L22</f>
        <v>296.86757085666704</v>
      </c>
      <c r="M22" s="50">
        <f ca="1">'表7-利润表-全投资'!M22</f>
        <v>91.186970938762897</v>
      </c>
      <c r="N22" s="50">
        <f ca="1">'表7-利润表-全投资'!N22</f>
        <v>330.28636286507572</v>
      </c>
      <c r="O22" s="50">
        <f ca="1">'表7-利润表-全投资'!O22</f>
        <v>320.49983506366738</v>
      </c>
      <c r="P22" s="50">
        <f ca="1">'表7-利润表-全投资'!P22</f>
        <v>323.09222697775147</v>
      </c>
      <c r="Q22" s="50">
        <f ca="1">'表7-利润表-全投资'!Q22</f>
        <v>326.26594898266529</v>
      </c>
      <c r="R22" s="50">
        <f ca="1">'表7-利润表-全投资'!R22</f>
        <v>535.60189870537204</v>
      </c>
      <c r="S22" s="50">
        <f ca="1">'表7-利润表-全投资'!S22</f>
        <v>531.34146723233164</v>
      </c>
      <c r="T22" s="50">
        <f ca="1">'表7-利润表-全投资'!T22</f>
        <v>533.04323894323204</v>
      </c>
      <c r="U22" s="50">
        <f ca="1">'表7-利润表-全投资'!U22</f>
        <v>536.17186622463066</v>
      </c>
      <c r="V22" s="50">
        <f ca="1">'表7-利润表-全投资'!V22</f>
        <v>539.28934636805252</v>
      </c>
      <c r="W22" s="50">
        <f ca="1">'表7-利润表-全投资'!W22</f>
        <v>1133.5174747854894</v>
      </c>
      <c r="X22" s="50">
        <f ca="1">'表7-利润表-全投资'!X22</f>
        <v>1136.6128109135911</v>
      </c>
      <c r="Y22" s="50">
        <f ca="1">'表7-利润表-全投资'!Y22</f>
        <v>1139.6971497139068</v>
      </c>
      <c r="Z22" s="50">
        <f ca="1">'表7-利润表-全投资'!Z22</f>
        <v>1142.7705406744108</v>
      </c>
      <c r="AA22" s="50">
        <f ca="1">'表7-利润表-全投资'!AA22</f>
        <v>1145.8330330603815</v>
      </c>
    </row>
    <row r="23" spans="2:27" x14ac:dyDescent="0.25">
      <c r="B23" s="47">
        <v>6</v>
      </c>
      <c r="C23" s="70" t="s">
        <v>512</v>
      </c>
      <c r="D23" s="71">
        <f ca="1">SUM(F23:AA23)</f>
        <v>41387.529500594894</v>
      </c>
      <c r="E23" s="51" t="s">
        <v>120</v>
      </c>
      <c r="F23" s="72">
        <f>F20-F22</f>
        <v>-39167.034</v>
      </c>
      <c r="G23" s="77">
        <f t="shared" ref="G23:AA23" si="23">G20-G22</f>
        <v>-26111.356</v>
      </c>
      <c r="H23" s="50">
        <f t="shared" ca="1" si="23"/>
        <v>10969.871065041243</v>
      </c>
      <c r="I23" s="50">
        <f t="shared" ca="1" si="23"/>
        <v>5241.5912771634685</v>
      </c>
      <c r="J23" s="50">
        <f t="shared" ca="1" si="23"/>
        <v>5245.507795662581</v>
      </c>
      <c r="K23" s="50">
        <f t="shared" ca="1" si="23"/>
        <v>5249.413123952344</v>
      </c>
      <c r="L23" s="50">
        <f t="shared" ca="1" si="23"/>
        <v>5253.3073123886979</v>
      </c>
      <c r="M23" s="50">
        <f t="shared" ca="1" si="23"/>
        <v>4529.3116006776745</v>
      </c>
      <c r="N23" s="50">
        <f t="shared" ca="1" si="23"/>
        <v>5304.9037244092378</v>
      </c>
      <c r="O23" s="50">
        <f t="shared" ca="1" si="23"/>
        <v>4756.2199775966619</v>
      </c>
      <c r="P23" s="50">
        <f t="shared" ca="1" si="23"/>
        <v>4740.2878948897433</v>
      </c>
      <c r="Q23" s="50">
        <f t="shared" ca="1" si="23"/>
        <v>4749.8090609044848</v>
      </c>
      <c r="R23" s="50">
        <f t="shared" ca="1" si="23"/>
        <v>4520.4260104489313</v>
      </c>
      <c r="S23" s="50">
        <f t="shared" ca="1" si="23"/>
        <v>4107.2022381537054</v>
      </c>
      <c r="T23" s="50">
        <f t="shared" ca="1" si="23"/>
        <v>4554.785429392603</v>
      </c>
      <c r="U23" s="50">
        <f t="shared" ca="1" si="23"/>
        <v>4564.1713112367952</v>
      </c>
      <c r="V23" s="50">
        <f t="shared" ca="1" si="23"/>
        <v>4573.5237516670622</v>
      </c>
      <c r="W23" s="50">
        <f t="shared" ca="1" si="23"/>
        <v>3991.7211559198909</v>
      </c>
      <c r="X23" s="50">
        <f t="shared" ca="1" si="23"/>
        <v>4001.0071643041961</v>
      </c>
      <c r="Y23" s="50">
        <f t="shared" ca="1" si="23"/>
        <v>4010.2601807051442</v>
      </c>
      <c r="Z23" s="50">
        <f t="shared" ca="1" si="23"/>
        <v>4019.4803535866549</v>
      </c>
      <c r="AA23" s="50">
        <f t="shared" ca="1" si="23"/>
        <v>12283.119072493771</v>
      </c>
    </row>
    <row r="24" spans="2:27" x14ac:dyDescent="0.25">
      <c r="B24" s="47">
        <v>7</v>
      </c>
      <c r="C24" s="49" t="s">
        <v>513</v>
      </c>
      <c r="D24" s="49"/>
      <c r="E24" s="51" t="s">
        <v>120</v>
      </c>
      <c r="F24" s="72">
        <f>F23</f>
        <v>-39167.034</v>
      </c>
      <c r="G24" s="77">
        <f>IF('表1-资金筹措及还本付息表'!G5&gt;0,F24+G23,0)</f>
        <v>-65278.39</v>
      </c>
      <c r="H24" s="50">
        <f ca="1">IF('表1-资金筹措及还本付息表'!G5&gt;0,G24+H23,F24+H23)</f>
        <v>-54308.51893495876</v>
      </c>
      <c r="I24" s="50">
        <f t="shared" ref="I24:AA24" ca="1" si="24">H24+I23</f>
        <v>-49066.927657795291</v>
      </c>
      <c r="J24" s="50">
        <f t="shared" ca="1" si="24"/>
        <v>-43821.419862132709</v>
      </c>
      <c r="K24" s="50">
        <f t="shared" ca="1" si="24"/>
        <v>-38572.006738180367</v>
      </c>
      <c r="L24" s="50">
        <f t="shared" ca="1" si="24"/>
        <v>-33318.699425791667</v>
      </c>
      <c r="M24" s="50">
        <f t="shared" ca="1" si="24"/>
        <v>-28789.38782511399</v>
      </c>
      <c r="N24" s="50">
        <f t="shared" ca="1" si="24"/>
        <v>-23484.484100704751</v>
      </c>
      <c r="O24" s="50">
        <f t="shared" ca="1" si="24"/>
        <v>-18728.264123108089</v>
      </c>
      <c r="P24" s="50">
        <f t="shared" ca="1" si="24"/>
        <v>-13987.976228218346</v>
      </c>
      <c r="Q24" s="50">
        <f t="shared" ca="1" si="24"/>
        <v>-9238.1671673138608</v>
      </c>
      <c r="R24" s="50">
        <f t="shared" ca="1" si="24"/>
        <v>-4717.7411568649295</v>
      </c>
      <c r="S24" s="50">
        <f t="shared" ca="1" si="24"/>
        <v>-610.53891871122414</v>
      </c>
      <c r="T24" s="50">
        <f t="shared" ca="1" si="24"/>
        <v>3944.2465106813788</v>
      </c>
      <c r="U24" s="50">
        <f t="shared" ca="1" si="24"/>
        <v>8508.417821918174</v>
      </c>
      <c r="V24" s="50">
        <f t="shared" ca="1" si="24"/>
        <v>13081.941573585236</v>
      </c>
      <c r="W24" s="50">
        <f t="shared" ca="1" si="24"/>
        <v>17073.662729505126</v>
      </c>
      <c r="X24" s="50">
        <f t="shared" ca="1" si="24"/>
        <v>21074.669893809321</v>
      </c>
      <c r="Y24" s="50">
        <f t="shared" ca="1" si="24"/>
        <v>25084.930074514465</v>
      </c>
      <c r="Z24" s="50">
        <f t="shared" ca="1" si="24"/>
        <v>29104.41042810112</v>
      </c>
      <c r="AA24" s="50">
        <f t="shared" ca="1" si="24"/>
        <v>41387.529500594894</v>
      </c>
    </row>
    <row r="26" spans="2:27" x14ac:dyDescent="0.25">
      <c r="C26" s="78" t="s">
        <v>531</v>
      </c>
      <c r="D26" s="79">
        <f ca="1">IF('表1-资金筹措及还本付息表'!G5=0,IRR(E44:Y44),IRR(F20:AA20))</f>
        <v>6.4079985917060656E-2</v>
      </c>
      <c r="E26" s="80"/>
      <c r="F26" s="81"/>
      <c r="G26" s="81"/>
      <c r="H26" s="80"/>
      <c r="I26" s="80"/>
      <c r="J26" s="80"/>
      <c r="K26" s="80"/>
      <c r="L26" s="80"/>
      <c r="M26" s="80"/>
      <c r="N26" s="80"/>
      <c r="O26" s="80"/>
      <c r="P26" s="80"/>
      <c r="Q26" s="80"/>
      <c r="R26" s="80"/>
      <c r="S26" s="80"/>
      <c r="T26" s="80"/>
      <c r="U26" s="80"/>
      <c r="V26" s="80"/>
      <c r="W26" s="80"/>
      <c r="X26" s="80"/>
      <c r="Y26" s="80"/>
      <c r="Z26" s="80"/>
      <c r="AA26" s="80"/>
    </row>
    <row r="27" spans="2:27" x14ac:dyDescent="0.25">
      <c r="C27" s="78" t="s">
        <v>532</v>
      </c>
      <c r="D27" s="79">
        <f ca="1">IF('表1-资金筹措及还本付息表'!G5=0,IRR(E47:Y47),IRR(F23:AA23))</f>
        <v>5.1015871817074565E-2</v>
      </c>
      <c r="E27" s="80"/>
      <c r="F27" s="81"/>
      <c r="G27" s="81"/>
      <c r="H27" s="80"/>
      <c r="I27" s="80"/>
      <c r="J27" s="80"/>
      <c r="K27" s="80"/>
      <c r="L27" s="80"/>
      <c r="M27" s="80"/>
      <c r="N27" s="80"/>
      <c r="O27" s="80"/>
      <c r="P27" s="80"/>
      <c r="Q27" s="80"/>
      <c r="R27" s="80"/>
      <c r="S27" s="80"/>
      <c r="T27" s="80"/>
      <c r="U27" s="80"/>
      <c r="V27" s="80"/>
      <c r="W27" s="80"/>
      <c r="X27" s="80"/>
      <c r="Y27" s="80"/>
      <c r="Z27" s="80"/>
      <c r="AA27" s="80"/>
    </row>
    <row r="28" spans="2:27" x14ac:dyDescent="0.25">
      <c r="C28" s="78" t="s">
        <v>533</v>
      </c>
      <c r="D28" s="82">
        <f ca="1">SUM(F28:AA28)+2</f>
        <v>14.134043398569633</v>
      </c>
      <c r="E28" s="51" t="s">
        <v>94</v>
      </c>
      <c r="F28" s="76">
        <v>0</v>
      </c>
      <c r="G28" s="76">
        <v>0</v>
      </c>
      <c r="H28" s="55">
        <v>0</v>
      </c>
      <c r="I28" s="55">
        <f ca="1">IF(I24/H24&lt;0,H4+ABS(H24/I23),0)</f>
        <v>0</v>
      </c>
      <c r="J28" s="55">
        <f t="shared" ref="J28:AA28" ca="1" si="25">IF(J24/I24&lt;0,I4+ABS(I24/J23),0)</f>
        <v>0</v>
      </c>
      <c r="K28" s="55">
        <f t="shared" ca="1" si="25"/>
        <v>0</v>
      </c>
      <c r="L28" s="55">
        <f t="shared" ca="1" si="25"/>
        <v>0</v>
      </c>
      <c r="M28" s="55">
        <f t="shared" ca="1" si="25"/>
        <v>0</v>
      </c>
      <c r="N28" s="55">
        <f t="shared" ca="1" si="25"/>
        <v>0</v>
      </c>
      <c r="O28" s="55">
        <f t="shared" ca="1" si="25"/>
        <v>0</v>
      </c>
      <c r="P28" s="55">
        <f t="shared" ca="1" si="25"/>
        <v>0</v>
      </c>
      <c r="Q28" s="55">
        <f t="shared" ca="1" si="25"/>
        <v>0</v>
      </c>
      <c r="R28" s="55">
        <f t="shared" ca="1" si="25"/>
        <v>0</v>
      </c>
      <c r="S28" s="55">
        <f t="shared" ca="1" si="25"/>
        <v>0</v>
      </c>
      <c r="T28" s="55">
        <f t="shared" ca="1" si="25"/>
        <v>12.134043398569633</v>
      </c>
      <c r="U28" s="55">
        <f t="shared" ca="1" si="25"/>
        <v>0</v>
      </c>
      <c r="V28" s="55">
        <f t="shared" ca="1" si="25"/>
        <v>0</v>
      </c>
      <c r="W28" s="55">
        <f t="shared" ca="1" si="25"/>
        <v>0</v>
      </c>
      <c r="X28" s="55">
        <f t="shared" ca="1" si="25"/>
        <v>0</v>
      </c>
      <c r="Y28" s="55">
        <f t="shared" ca="1" si="25"/>
        <v>0</v>
      </c>
      <c r="Z28" s="55">
        <f t="shared" ca="1" si="25"/>
        <v>0</v>
      </c>
      <c r="AA28" s="55">
        <f t="shared" ca="1" si="25"/>
        <v>0</v>
      </c>
    </row>
    <row r="29" spans="2:27" x14ac:dyDescent="0.25">
      <c r="C29" s="78" t="s">
        <v>534</v>
      </c>
      <c r="D29" s="82">
        <f ca="1">SUM(F29:AA29)+2</f>
        <v>12.887416040857509</v>
      </c>
      <c r="E29" s="81" t="s">
        <v>94</v>
      </c>
      <c r="F29" s="76">
        <v>0</v>
      </c>
      <c r="G29" s="76">
        <v>0</v>
      </c>
      <c r="H29" s="55">
        <v>0</v>
      </c>
      <c r="I29" s="55">
        <f ca="1">IF(I21/H21&lt;0,H4+ABS(H21/I20),0)</f>
        <v>0</v>
      </c>
      <c r="J29" s="55">
        <f t="shared" ref="J29:AA29" ca="1" si="26">IF(J21/I21&lt;0,I4+ABS(I21/J20),0)</f>
        <v>0</v>
      </c>
      <c r="K29" s="55">
        <f t="shared" ca="1" si="26"/>
        <v>0</v>
      </c>
      <c r="L29" s="55">
        <f t="shared" ca="1" si="26"/>
        <v>0</v>
      </c>
      <c r="M29" s="55">
        <f t="shared" ca="1" si="26"/>
        <v>0</v>
      </c>
      <c r="N29" s="55">
        <f t="shared" ca="1" si="26"/>
        <v>0</v>
      </c>
      <c r="O29" s="55">
        <f t="shared" ca="1" si="26"/>
        <v>0</v>
      </c>
      <c r="P29" s="55">
        <f t="shared" ca="1" si="26"/>
        <v>0</v>
      </c>
      <c r="Q29" s="55">
        <f t="shared" ca="1" si="26"/>
        <v>0</v>
      </c>
      <c r="R29" s="55">
        <f t="shared" ca="1" si="26"/>
        <v>10.887416040857509</v>
      </c>
      <c r="S29" s="55">
        <f t="shared" ca="1" si="26"/>
        <v>0</v>
      </c>
      <c r="T29" s="55">
        <f t="shared" ca="1" si="26"/>
        <v>0</v>
      </c>
      <c r="U29" s="55">
        <f t="shared" ca="1" si="26"/>
        <v>0</v>
      </c>
      <c r="V29" s="55">
        <f t="shared" ca="1" si="26"/>
        <v>0</v>
      </c>
      <c r="W29" s="55">
        <f t="shared" ca="1" si="26"/>
        <v>0</v>
      </c>
      <c r="X29" s="55">
        <f t="shared" ca="1" si="26"/>
        <v>0</v>
      </c>
      <c r="Y29" s="55">
        <f t="shared" ca="1" si="26"/>
        <v>0</v>
      </c>
      <c r="Z29" s="55">
        <f t="shared" ca="1" si="26"/>
        <v>0</v>
      </c>
      <c r="AA29" s="55">
        <f t="shared" ca="1" si="26"/>
        <v>0</v>
      </c>
    </row>
    <row r="30" spans="2:27" ht="21.5" x14ac:dyDescent="0.25">
      <c r="C30" s="65" t="s">
        <v>419</v>
      </c>
    </row>
    <row r="31" spans="2:27" ht="21.5" x14ac:dyDescent="0.25">
      <c r="C31" s="65" t="s">
        <v>535</v>
      </c>
    </row>
    <row r="32" spans="2:27" ht="21.5" x14ac:dyDescent="0.25">
      <c r="C32" s="65" t="s">
        <v>518</v>
      </c>
    </row>
    <row r="33" spans="2:26" x14ac:dyDescent="0.25">
      <c r="I33" s="83"/>
    </row>
    <row r="34" spans="2:26" x14ac:dyDescent="0.25">
      <c r="H34" s="83"/>
    </row>
    <row r="35" spans="2:26" x14ac:dyDescent="0.25">
      <c r="C35" s="84" t="s">
        <v>521</v>
      </c>
      <c r="D35" s="85">
        <f ca="1">D23-'表7-利润表-全投资'!D23</f>
        <v>2011.7923276094516</v>
      </c>
      <c r="F35" s="86"/>
    </row>
    <row r="36" spans="2:26" x14ac:dyDescent="0.25">
      <c r="C36" s="84"/>
      <c r="D36" s="85"/>
    </row>
    <row r="37" spans="2:26" x14ac:dyDescent="0.25">
      <c r="C37" s="84"/>
      <c r="D37" s="85"/>
    </row>
    <row r="38" spans="2:26" x14ac:dyDescent="0.25">
      <c r="B38" s="442" t="s">
        <v>522</v>
      </c>
      <c r="C38" s="442"/>
      <c r="D38" s="442"/>
    </row>
    <row r="39" spans="2:26" x14ac:dyDescent="0.25">
      <c r="B39" s="442"/>
      <c r="C39" s="442"/>
      <c r="D39" s="442"/>
    </row>
    <row r="40" spans="2:26" x14ac:dyDescent="0.25">
      <c r="B40" s="442"/>
      <c r="C40" s="442"/>
      <c r="D40" s="442"/>
    </row>
    <row r="41" spans="2:26" x14ac:dyDescent="0.25">
      <c r="B41" s="87"/>
      <c r="C41" s="87"/>
      <c r="D41" s="87"/>
    </row>
    <row r="42" spans="2:26" x14ac:dyDescent="0.25">
      <c r="B42" s="440" t="s">
        <v>14</v>
      </c>
      <c r="C42" s="440" t="s">
        <v>318</v>
      </c>
      <c r="D42" s="440" t="s">
        <v>38</v>
      </c>
      <c r="E42" s="88" t="s">
        <v>93</v>
      </c>
      <c r="F42" s="443" t="s">
        <v>103</v>
      </c>
      <c r="G42" s="444"/>
      <c r="H42" s="444"/>
      <c r="I42" s="444"/>
      <c r="J42" s="444"/>
      <c r="K42" s="444"/>
      <c r="L42" s="444"/>
      <c r="M42" s="444"/>
      <c r="N42" s="444"/>
      <c r="O42" s="444"/>
      <c r="P42" s="444"/>
      <c r="Q42" s="444"/>
      <c r="R42" s="444"/>
      <c r="S42" s="444"/>
      <c r="T42" s="444"/>
      <c r="U42" s="444"/>
      <c r="V42" s="444"/>
      <c r="W42" s="444"/>
      <c r="X42" s="444"/>
      <c r="Y42" s="444"/>
      <c r="Z42" s="445"/>
    </row>
    <row r="43" spans="2:26" x14ac:dyDescent="0.25">
      <c r="B43" s="441"/>
      <c r="C43" s="441"/>
      <c r="D43" s="441"/>
      <c r="E43" s="47">
        <v>1</v>
      </c>
      <c r="F43" s="47">
        <v>1</v>
      </c>
      <c r="G43" s="47">
        <v>2</v>
      </c>
      <c r="H43" s="47">
        <v>3</v>
      </c>
      <c r="I43" s="47">
        <v>4</v>
      </c>
      <c r="J43" s="47">
        <v>5</v>
      </c>
      <c r="K43" s="47">
        <v>6</v>
      </c>
      <c r="L43" s="47">
        <v>7</v>
      </c>
      <c r="M43" s="47">
        <v>8</v>
      </c>
      <c r="N43" s="47">
        <v>9</v>
      </c>
      <c r="O43" s="47">
        <v>10</v>
      </c>
      <c r="P43" s="47">
        <v>11</v>
      </c>
      <c r="Q43" s="47">
        <v>12</v>
      </c>
      <c r="R43" s="47">
        <v>13</v>
      </c>
      <c r="S43" s="47">
        <v>14</v>
      </c>
      <c r="T43" s="47">
        <v>15</v>
      </c>
      <c r="U43" s="47">
        <v>16</v>
      </c>
      <c r="V43" s="47">
        <v>17</v>
      </c>
      <c r="W43" s="47">
        <v>18</v>
      </c>
      <c r="X43" s="47">
        <v>19</v>
      </c>
      <c r="Y43" s="47">
        <v>20</v>
      </c>
    </row>
    <row r="44" spans="2:26" x14ac:dyDescent="0.25">
      <c r="B44" s="69">
        <v>3</v>
      </c>
      <c r="C44" s="70" t="s">
        <v>510</v>
      </c>
      <c r="D44" s="51" t="s">
        <v>120</v>
      </c>
      <c r="E44" s="89">
        <f>F20</f>
        <v>-39167.034</v>
      </c>
      <c r="F44" s="72">
        <f ca="1">H20</f>
        <v>13149.086828922058</v>
      </c>
      <c r="G44" s="72">
        <f t="shared" ref="G44:Y44" ca="1" si="27">I20</f>
        <v>5535.1304289220589</v>
      </c>
      <c r="H44" s="50">
        <f t="shared" ca="1" si="27"/>
        <v>5540.1595947220558</v>
      </c>
      <c r="I44" s="50">
        <f t="shared" ca="1" si="27"/>
        <v>5545.1743912759557</v>
      </c>
      <c r="J44" s="50">
        <f t="shared" ca="1" si="27"/>
        <v>5550.174883245365</v>
      </c>
      <c r="K44" s="50">
        <f t="shared" ca="1" si="27"/>
        <v>4620.4985716164374</v>
      </c>
      <c r="L44" s="50">
        <f t="shared" ca="1" si="27"/>
        <v>5635.1900872743136</v>
      </c>
      <c r="M44" s="50">
        <f t="shared" ca="1" si="27"/>
        <v>5076.7198126603289</v>
      </c>
      <c r="N44" s="50">
        <f t="shared" ca="1" si="27"/>
        <v>5063.3801218674944</v>
      </c>
      <c r="O44" s="50">
        <f t="shared" ca="1" si="27"/>
        <v>5076.0750098871504</v>
      </c>
      <c r="P44" s="50">
        <f t="shared" ca="1" si="27"/>
        <v>5056.0279091543034</v>
      </c>
      <c r="Q44" s="50">
        <f t="shared" ca="1" si="27"/>
        <v>4638.5437053860369</v>
      </c>
      <c r="R44" s="50">
        <f t="shared" ca="1" si="27"/>
        <v>5087.8286683358347</v>
      </c>
      <c r="S44" s="50">
        <f t="shared" ca="1" si="27"/>
        <v>5100.3431774614255</v>
      </c>
      <c r="T44" s="50">
        <f t="shared" ca="1" si="27"/>
        <v>5112.8130980351143</v>
      </c>
      <c r="U44" s="50">
        <f t="shared" ca="1" si="27"/>
        <v>5125.2386307053803</v>
      </c>
      <c r="V44" s="50">
        <f t="shared" ca="1" si="27"/>
        <v>5137.6199752177872</v>
      </c>
      <c r="W44" s="50">
        <f t="shared" ca="1" si="27"/>
        <v>5149.9573304190508</v>
      </c>
      <c r="X44" s="50">
        <f t="shared" ca="1" si="27"/>
        <v>5162.2508942610657</v>
      </c>
      <c r="Y44" s="50">
        <f t="shared" ca="1" si="27"/>
        <v>13428.952105554154</v>
      </c>
    </row>
    <row r="45" spans="2:26" x14ac:dyDescent="0.25">
      <c r="B45" s="69">
        <v>4</v>
      </c>
      <c r="C45" s="49" t="s">
        <v>511</v>
      </c>
      <c r="D45" s="51" t="s">
        <v>120</v>
      </c>
      <c r="E45" s="89">
        <f>F21</f>
        <v>-39167.034</v>
      </c>
      <c r="F45" s="72">
        <f ca="1">H21</f>
        <v>-52129.30317107794</v>
      </c>
      <c r="G45" s="72">
        <f t="shared" ref="G45:Y45" ca="1" si="28">F45+G44</f>
        <v>-46594.172742155883</v>
      </c>
      <c r="H45" s="50">
        <f t="shared" ca="1" si="28"/>
        <v>-41054.013147433827</v>
      </c>
      <c r="I45" s="50">
        <f t="shared" ca="1" si="28"/>
        <v>-35508.838756157871</v>
      </c>
      <c r="J45" s="50">
        <f t="shared" ca="1" si="28"/>
        <v>-29958.663872912504</v>
      </c>
      <c r="K45" s="50">
        <f t="shared" ca="1" si="28"/>
        <v>-25338.165301296067</v>
      </c>
      <c r="L45" s="50">
        <f t="shared" ca="1" si="28"/>
        <v>-19702.975214021753</v>
      </c>
      <c r="M45" s="50">
        <f t="shared" ca="1" si="28"/>
        <v>-14626.255401361424</v>
      </c>
      <c r="N45" s="50">
        <f t="shared" ca="1" si="28"/>
        <v>-9562.8752794939301</v>
      </c>
      <c r="O45" s="50">
        <f t="shared" ca="1" si="28"/>
        <v>-4486.8002696067797</v>
      </c>
      <c r="P45" s="50">
        <f t="shared" ca="1" si="28"/>
        <v>569.22763954752372</v>
      </c>
      <c r="Q45" s="50">
        <f t="shared" ca="1" si="28"/>
        <v>5207.7713449335606</v>
      </c>
      <c r="R45" s="50">
        <f t="shared" ca="1" si="28"/>
        <v>10295.600013269395</v>
      </c>
      <c r="S45" s="50">
        <f t="shared" ca="1" si="28"/>
        <v>15395.943190730821</v>
      </c>
      <c r="T45" s="50">
        <f t="shared" ca="1" si="28"/>
        <v>20508.756288765937</v>
      </c>
      <c r="U45" s="50">
        <f t="shared" ca="1" si="28"/>
        <v>25633.994919471319</v>
      </c>
      <c r="V45" s="50">
        <f t="shared" ca="1" si="28"/>
        <v>30771.614894689104</v>
      </c>
      <c r="W45" s="50">
        <f t="shared" ca="1" si="28"/>
        <v>35921.572225108153</v>
      </c>
      <c r="X45" s="50">
        <f t="shared" ca="1" si="28"/>
        <v>41083.823119369219</v>
      </c>
      <c r="Y45" s="50">
        <f t="shared" ca="1" si="28"/>
        <v>54512.775224923374</v>
      </c>
    </row>
    <row r="46" spans="2:26" x14ac:dyDescent="0.25">
      <c r="B46" s="69">
        <v>5</v>
      </c>
      <c r="C46" s="49" t="s">
        <v>526</v>
      </c>
      <c r="D46" s="51" t="s">
        <v>120</v>
      </c>
      <c r="E46" s="89">
        <f>F22</f>
        <v>0</v>
      </c>
      <c r="F46" s="72">
        <f ca="1">H22</f>
        <v>2179.2157638808139</v>
      </c>
      <c r="G46" s="72">
        <f t="shared" ref="G46:Y46" ca="1" si="29">I22</f>
        <v>293.53915175859038</v>
      </c>
      <c r="H46" s="50">
        <f t="shared" ca="1" si="29"/>
        <v>294.6517990594748</v>
      </c>
      <c r="I46" s="50">
        <f t="shared" ca="1" si="29"/>
        <v>295.76126732361172</v>
      </c>
      <c r="J46" s="50">
        <f t="shared" ca="1" si="29"/>
        <v>296.86757085666704</v>
      </c>
      <c r="K46" s="50">
        <f t="shared" ca="1" si="29"/>
        <v>91.186970938762897</v>
      </c>
      <c r="L46" s="50">
        <f t="shared" ca="1" si="29"/>
        <v>330.28636286507572</v>
      </c>
      <c r="M46" s="50">
        <f t="shared" ca="1" si="29"/>
        <v>320.49983506366738</v>
      </c>
      <c r="N46" s="50">
        <f t="shared" ca="1" si="29"/>
        <v>323.09222697775147</v>
      </c>
      <c r="O46" s="50">
        <f t="shared" ca="1" si="29"/>
        <v>326.26594898266529</v>
      </c>
      <c r="P46" s="50">
        <f t="shared" ca="1" si="29"/>
        <v>535.60189870537204</v>
      </c>
      <c r="Q46" s="50">
        <f t="shared" ca="1" si="29"/>
        <v>531.34146723233164</v>
      </c>
      <c r="R46" s="50">
        <f t="shared" ca="1" si="29"/>
        <v>533.04323894323204</v>
      </c>
      <c r="S46" s="50">
        <f t="shared" ca="1" si="29"/>
        <v>536.17186622463066</v>
      </c>
      <c r="T46" s="50">
        <f t="shared" ca="1" si="29"/>
        <v>539.28934636805252</v>
      </c>
      <c r="U46" s="50">
        <f t="shared" ca="1" si="29"/>
        <v>1133.5174747854894</v>
      </c>
      <c r="V46" s="50">
        <f t="shared" ca="1" si="29"/>
        <v>1136.6128109135911</v>
      </c>
      <c r="W46" s="50">
        <f t="shared" ca="1" si="29"/>
        <v>1139.6971497139068</v>
      </c>
      <c r="X46" s="50">
        <f t="shared" ca="1" si="29"/>
        <v>1142.7705406744108</v>
      </c>
      <c r="Y46" s="50">
        <f t="shared" ca="1" si="29"/>
        <v>1145.8330330603815</v>
      </c>
    </row>
    <row r="47" spans="2:26" x14ac:dyDescent="0.25">
      <c r="B47" s="47">
        <v>6</v>
      </c>
      <c r="C47" s="70" t="s">
        <v>512</v>
      </c>
      <c r="D47" s="51" t="s">
        <v>120</v>
      </c>
      <c r="E47" s="89">
        <f>F23</f>
        <v>-39167.034</v>
      </c>
      <c r="F47" s="72">
        <f ca="1">H23</f>
        <v>10969.871065041243</v>
      </c>
      <c r="G47" s="72">
        <f t="shared" ref="G47:Y47" ca="1" si="30">I23</f>
        <v>5241.5912771634685</v>
      </c>
      <c r="H47" s="50">
        <f t="shared" ca="1" si="30"/>
        <v>5245.507795662581</v>
      </c>
      <c r="I47" s="50">
        <f t="shared" ca="1" si="30"/>
        <v>5249.413123952344</v>
      </c>
      <c r="J47" s="50">
        <f t="shared" ca="1" si="30"/>
        <v>5253.3073123886979</v>
      </c>
      <c r="K47" s="50">
        <f t="shared" ca="1" si="30"/>
        <v>4529.3116006776745</v>
      </c>
      <c r="L47" s="50">
        <f t="shared" ca="1" si="30"/>
        <v>5304.9037244092378</v>
      </c>
      <c r="M47" s="50">
        <f t="shared" ca="1" si="30"/>
        <v>4756.2199775966619</v>
      </c>
      <c r="N47" s="50">
        <f t="shared" ca="1" si="30"/>
        <v>4740.2878948897433</v>
      </c>
      <c r="O47" s="50">
        <f t="shared" ca="1" si="30"/>
        <v>4749.8090609044848</v>
      </c>
      <c r="P47" s="50">
        <f t="shared" ca="1" si="30"/>
        <v>4520.4260104489313</v>
      </c>
      <c r="Q47" s="50">
        <f t="shared" ca="1" si="30"/>
        <v>4107.2022381537054</v>
      </c>
      <c r="R47" s="50">
        <f t="shared" ca="1" si="30"/>
        <v>4554.785429392603</v>
      </c>
      <c r="S47" s="50">
        <f t="shared" ca="1" si="30"/>
        <v>4564.1713112367952</v>
      </c>
      <c r="T47" s="50">
        <f t="shared" ca="1" si="30"/>
        <v>4573.5237516670622</v>
      </c>
      <c r="U47" s="50">
        <f t="shared" ca="1" si="30"/>
        <v>3991.7211559198909</v>
      </c>
      <c r="V47" s="50">
        <f t="shared" ca="1" si="30"/>
        <v>4001.0071643041961</v>
      </c>
      <c r="W47" s="50">
        <f t="shared" ca="1" si="30"/>
        <v>4010.2601807051442</v>
      </c>
      <c r="X47" s="50">
        <f t="shared" ca="1" si="30"/>
        <v>4019.4803535866549</v>
      </c>
      <c r="Y47" s="50">
        <f t="shared" ca="1" si="30"/>
        <v>12283.119072493771</v>
      </c>
    </row>
    <row r="48" spans="2:26" x14ac:dyDescent="0.25">
      <c r="B48" s="47">
        <v>7</v>
      </c>
      <c r="C48" s="49" t="s">
        <v>513</v>
      </c>
      <c r="D48" s="51" t="s">
        <v>120</v>
      </c>
      <c r="E48" s="89">
        <f>F24</f>
        <v>-39167.034</v>
      </c>
      <c r="F48" s="72">
        <f ca="1">H24</f>
        <v>-54308.51893495876</v>
      </c>
      <c r="G48" s="72">
        <f t="shared" ref="G48:Y48" ca="1" si="31">I24</f>
        <v>-49066.927657795291</v>
      </c>
      <c r="H48" s="50">
        <f t="shared" ca="1" si="31"/>
        <v>-43821.419862132709</v>
      </c>
      <c r="I48" s="50">
        <f t="shared" ca="1" si="31"/>
        <v>-38572.006738180367</v>
      </c>
      <c r="J48" s="50">
        <f t="shared" ca="1" si="31"/>
        <v>-33318.699425791667</v>
      </c>
      <c r="K48" s="50">
        <f t="shared" ca="1" si="31"/>
        <v>-28789.38782511399</v>
      </c>
      <c r="L48" s="50">
        <f t="shared" ca="1" si="31"/>
        <v>-23484.484100704751</v>
      </c>
      <c r="M48" s="50">
        <f t="shared" ca="1" si="31"/>
        <v>-18728.264123108089</v>
      </c>
      <c r="N48" s="50">
        <f t="shared" ca="1" si="31"/>
        <v>-13987.976228218346</v>
      </c>
      <c r="O48" s="50">
        <f t="shared" ca="1" si="31"/>
        <v>-9238.1671673138608</v>
      </c>
      <c r="P48" s="50">
        <f t="shared" ca="1" si="31"/>
        <v>-4717.7411568649295</v>
      </c>
      <c r="Q48" s="50">
        <f t="shared" ca="1" si="31"/>
        <v>-610.53891871122414</v>
      </c>
      <c r="R48" s="50">
        <f t="shared" ca="1" si="31"/>
        <v>3944.2465106813788</v>
      </c>
      <c r="S48" s="50">
        <f t="shared" ca="1" si="31"/>
        <v>8508.417821918174</v>
      </c>
      <c r="T48" s="50">
        <f t="shared" ca="1" si="31"/>
        <v>13081.941573585236</v>
      </c>
      <c r="U48" s="50">
        <f t="shared" ca="1" si="31"/>
        <v>17073.662729505126</v>
      </c>
      <c r="V48" s="50">
        <f t="shared" ca="1" si="31"/>
        <v>21074.669893809321</v>
      </c>
      <c r="W48" s="50">
        <f t="shared" ca="1" si="31"/>
        <v>25084.930074514465</v>
      </c>
      <c r="X48" s="50">
        <f t="shared" ca="1" si="31"/>
        <v>29104.41042810112</v>
      </c>
      <c r="Y48" s="50">
        <f t="shared" ca="1" si="31"/>
        <v>41387.529500594894</v>
      </c>
    </row>
  </sheetData>
  <mergeCells count="11">
    <mergeCell ref="F3:G3"/>
    <mergeCell ref="H3:AA3"/>
    <mergeCell ref="F42:Z42"/>
    <mergeCell ref="B3:B4"/>
    <mergeCell ref="B42:B43"/>
    <mergeCell ref="C3:C4"/>
    <mergeCell ref="C42:C43"/>
    <mergeCell ref="D3:D4"/>
    <mergeCell ref="D42:D43"/>
    <mergeCell ref="E3:E4"/>
    <mergeCell ref="B38:D40"/>
  </mergeCells>
  <phoneticPr fontId="65" type="noConversion"/>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AB42"/>
  <sheetViews>
    <sheetView showGridLines="0" topLeftCell="A26" zoomScale="70" zoomScaleNormal="70" workbookViewId="0">
      <selection sqref="A1:XFD1048576"/>
    </sheetView>
  </sheetViews>
  <sheetFormatPr defaultColWidth="8.81640625" defaultRowHeight="16.5" x14ac:dyDescent="0.25"/>
  <cols>
    <col min="1" max="1" width="4.6328125" style="44" customWidth="1"/>
    <col min="2" max="2" width="5.6328125" style="44" customWidth="1"/>
    <col min="3" max="3" width="36.36328125" style="44" customWidth="1"/>
    <col min="4" max="4" width="16.54296875" style="44" customWidth="1"/>
    <col min="5" max="5" width="8.81640625" style="44"/>
    <col min="6" max="6" width="14.6328125" style="44" customWidth="1"/>
    <col min="7" max="7" width="16.36328125" style="44" customWidth="1"/>
    <col min="8" max="17" width="14.6328125" style="44" customWidth="1"/>
    <col min="18" max="18" width="14.6328125" style="45" customWidth="1"/>
    <col min="19" max="22" width="14.6328125" style="44" customWidth="1"/>
    <col min="23" max="25" width="13.54296875" style="44" customWidth="1"/>
    <col min="26" max="27" width="13.08984375" style="44" customWidth="1"/>
    <col min="28" max="16384" width="8.81640625" style="44"/>
  </cols>
  <sheetData>
    <row r="1" spans="2:28" ht="9" customHeight="1" x14ac:dyDescent="0.25"/>
    <row r="2" spans="2:28" ht="23.5" customHeight="1" x14ac:dyDescent="0.25">
      <c r="B2" s="46" t="s">
        <v>536</v>
      </c>
    </row>
    <row r="3" spans="2:28" x14ac:dyDescent="0.25">
      <c r="B3" s="440" t="s">
        <v>14</v>
      </c>
      <c r="C3" s="440" t="s">
        <v>318</v>
      </c>
      <c r="D3" s="440" t="s">
        <v>306</v>
      </c>
      <c r="E3" s="440" t="s">
        <v>38</v>
      </c>
      <c r="F3" s="438" t="s">
        <v>93</v>
      </c>
      <c r="G3" s="438"/>
      <c r="H3" s="438" t="s">
        <v>103</v>
      </c>
      <c r="I3" s="438"/>
      <c r="J3" s="438"/>
      <c r="K3" s="438"/>
      <c r="L3" s="438"/>
      <c r="M3" s="438"/>
      <c r="N3" s="438"/>
      <c r="O3" s="438"/>
      <c r="P3" s="438"/>
      <c r="Q3" s="438"/>
      <c r="R3" s="446"/>
      <c r="S3" s="438"/>
      <c r="T3" s="438"/>
      <c r="U3" s="438"/>
      <c r="V3" s="438"/>
      <c r="W3" s="438"/>
      <c r="X3" s="438"/>
      <c r="Y3" s="438"/>
      <c r="Z3" s="438"/>
      <c r="AA3" s="438"/>
    </row>
    <row r="4" spans="2:28" x14ac:dyDescent="0.25">
      <c r="B4" s="441"/>
      <c r="C4" s="441"/>
      <c r="D4" s="441"/>
      <c r="E4" s="441"/>
      <c r="F4" s="47">
        <v>1</v>
      </c>
      <c r="G4" s="47">
        <v>2</v>
      </c>
      <c r="H4" s="47">
        <v>1</v>
      </c>
      <c r="I4" s="47">
        <v>2</v>
      </c>
      <c r="J4" s="47">
        <v>3</v>
      </c>
      <c r="K4" s="47">
        <v>4</v>
      </c>
      <c r="L4" s="47">
        <v>5</v>
      </c>
      <c r="M4" s="47">
        <v>6</v>
      </c>
      <c r="N4" s="47">
        <v>7</v>
      </c>
      <c r="O4" s="47">
        <v>8</v>
      </c>
      <c r="P4" s="47">
        <v>9</v>
      </c>
      <c r="Q4" s="47">
        <v>10</v>
      </c>
      <c r="R4" s="48">
        <v>11</v>
      </c>
      <c r="S4" s="47">
        <v>12</v>
      </c>
      <c r="T4" s="47">
        <v>13</v>
      </c>
      <c r="U4" s="47">
        <v>14</v>
      </c>
      <c r="V4" s="47">
        <v>15</v>
      </c>
      <c r="W4" s="47">
        <v>16</v>
      </c>
      <c r="X4" s="47">
        <v>17</v>
      </c>
      <c r="Y4" s="47">
        <v>18</v>
      </c>
      <c r="Z4" s="47">
        <v>19</v>
      </c>
      <c r="AA4" s="47">
        <v>20</v>
      </c>
    </row>
    <row r="5" spans="2:28" x14ac:dyDescent="0.25">
      <c r="B5" s="47">
        <v>1</v>
      </c>
      <c r="C5" s="49" t="s">
        <v>537</v>
      </c>
      <c r="D5" s="50">
        <f ca="1">SUM(F5:AA5)</f>
        <v>102944.11714969482</v>
      </c>
      <c r="E5" s="51" t="s">
        <v>120</v>
      </c>
      <c r="F5" s="52">
        <f t="shared" ref="F5:AA5" si="0">F6-F12</f>
        <v>0</v>
      </c>
      <c r="G5" s="52">
        <f t="shared" si="0"/>
        <v>0</v>
      </c>
      <c r="H5" s="52">
        <f t="shared" ca="1" si="0"/>
        <v>11822.739948350914</v>
      </c>
      <c r="I5" s="52">
        <f t="shared" ca="1" si="0"/>
        <v>5535.1304289220589</v>
      </c>
      <c r="J5" s="52">
        <f t="shared" ca="1" si="0"/>
        <v>5540.1595947220558</v>
      </c>
      <c r="K5" s="52">
        <f t="shared" ca="1" si="0"/>
        <v>5545.1743912759557</v>
      </c>
      <c r="L5" s="52">
        <f t="shared" ca="1" si="0"/>
        <v>5550.174883245365</v>
      </c>
      <c r="M5" s="52">
        <f t="shared" ca="1" si="0"/>
        <v>4620.4985716164374</v>
      </c>
      <c r="N5" s="52">
        <f t="shared" ca="1" si="0"/>
        <v>5635.1900872743136</v>
      </c>
      <c r="O5" s="52">
        <f t="shared" ca="1" si="0"/>
        <v>5076.7198126603289</v>
      </c>
      <c r="P5" s="52">
        <f t="shared" ca="1" si="0"/>
        <v>5063.3801218674944</v>
      </c>
      <c r="Q5" s="52">
        <f t="shared" ca="1" si="0"/>
        <v>5076.0750098871504</v>
      </c>
      <c r="R5" s="53">
        <f t="shared" ca="1" si="0"/>
        <v>4796.8068786223448</v>
      </c>
      <c r="S5" s="52">
        <f t="shared" ca="1" si="0"/>
        <v>4734.5007903696169</v>
      </c>
      <c r="T5" s="52">
        <f t="shared" ca="1" si="0"/>
        <v>4650.7594060545362</v>
      </c>
      <c r="U5" s="52">
        <f t="shared" ca="1" si="0"/>
        <v>4628.8207123447501</v>
      </c>
      <c r="V5" s="52">
        <f t="shared" ca="1" si="0"/>
        <v>4606.8485772210406</v>
      </c>
      <c r="W5" s="52">
        <f t="shared" ca="1" si="0"/>
        <v>3993.7214059198905</v>
      </c>
      <c r="X5" s="52">
        <f t="shared" ca="1" si="0"/>
        <v>4003.0074143041966</v>
      </c>
      <c r="Y5" s="52">
        <f t="shared" ca="1" si="0"/>
        <v>4012.2604307051442</v>
      </c>
      <c r="Z5" s="52">
        <f t="shared" ca="1" si="0"/>
        <v>4021.480603586655</v>
      </c>
      <c r="AA5" s="52">
        <f t="shared" ca="1" si="0"/>
        <v>4030.6680807445682</v>
      </c>
    </row>
    <row r="6" spans="2:28" x14ac:dyDescent="0.25">
      <c r="B6" s="51">
        <v>1.1000000000000001</v>
      </c>
      <c r="C6" s="54" t="s">
        <v>494</v>
      </c>
      <c r="D6" s="55">
        <f ca="1">SUM(F6:AA6)</f>
        <v>395767.68000000011</v>
      </c>
      <c r="E6" s="51" t="s">
        <v>120</v>
      </c>
      <c r="F6" s="56">
        <f t="shared" ref="F6:AA6" si="1">SUM(F7:F11)</f>
        <v>0</v>
      </c>
      <c r="G6" s="55">
        <f t="shared" si="1"/>
        <v>0</v>
      </c>
      <c r="H6" s="55">
        <f t="shared" ca="1" si="1"/>
        <v>26688.384000000002</v>
      </c>
      <c r="I6" s="55">
        <f t="shared" ca="1" si="1"/>
        <v>18688.384000000002</v>
      </c>
      <c r="J6" s="55">
        <f t="shared" ca="1" si="1"/>
        <v>18688.384000000002</v>
      </c>
      <c r="K6" s="55">
        <f t="shared" ca="1" si="1"/>
        <v>18688.384000000002</v>
      </c>
      <c r="L6" s="55">
        <f t="shared" ca="1" si="1"/>
        <v>18688.384000000002</v>
      </c>
      <c r="M6" s="55">
        <f t="shared" ca="1" si="1"/>
        <v>18688.384000000002</v>
      </c>
      <c r="N6" s="55">
        <f t="shared" ca="1" si="1"/>
        <v>19688.384000000002</v>
      </c>
      <c r="O6" s="55">
        <f t="shared" ca="1" si="1"/>
        <v>19688.384000000002</v>
      </c>
      <c r="P6" s="55">
        <f t="shared" ca="1" si="1"/>
        <v>19688.384000000002</v>
      </c>
      <c r="Q6" s="55">
        <f t="shared" ca="1" si="1"/>
        <v>19688.384000000002</v>
      </c>
      <c r="R6" s="57">
        <f t="shared" ca="1" si="1"/>
        <v>19688.384000000002</v>
      </c>
      <c r="S6" s="55">
        <f t="shared" ca="1" si="1"/>
        <v>19688.384000000002</v>
      </c>
      <c r="T6" s="55">
        <f t="shared" ca="1" si="1"/>
        <v>19688.384000000002</v>
      </c>
      <c r="U6" s="55">
        <f t="shared" ca="1" si="1"/>
        <v>19688.384000000002</v>
      </c>
      <c r="V6" s="55">
        <f t="shared" ca="1" si="1"/>
        <v>19688.384000000002</v>
      </c>
      <c r="W6" s="55">
        <f t="shared" ca="1" si="1"/>
        <v>19688.384000000002</v>
      </c>
      <c r="X6" s="55">
        <f t="shared" ca="1" si="1"/>
        <v>19688.384000000002</v>
      </c>
      <c r="Y6" s="55">
        <f t="shared" ca="1" si="1"/>
        <v>19688.384000000002</v>
      </c>
      <c r="Z6" s="55">
        <f t="shared" ca="1" si="1"/>
        <v>19688.384000000002</v>
      </c>
      <c r="AA6" s="55">
        <f t="shared" ca="1" si="1"/>
        <v>19688.384000000002</v>
      </c>
    </row>
    <row r="7" spans="2:28" x14ac:dyDescent="0.25">
      <c r="B7" s="51"/>
      <c r="C7" s="58" t="s">
        <v>538</v>
      </c>
      <c r="D7" s="55">
        <f t="shared" ref="D7:D33" si="2">SUM(F7:AA7)</f>
        <v>395767.68000000011</v>
      </c>
      <c r="E7" s="51" t="s">
        <v>120</v>
      </c>
      <c r="F7" s="56"/>
      <c r="G7" s="55"/>
      <c r="H7" s="55">
        <f>'表6-现金流量表-资本金'!H7</f>
        <v>26688.384000000002</v>
      </c>
      <c r="I7" s="55">
        <f>'表6-现金流量表-资本金'!I7</f>
        <v>18688.384000000002</v>
      </c>
      <c r="J7" s="55">
        <f>'表6-现金流量表-资本金'!J7</f>
        <v>18688.384000000002</v>
      </c>
      <c r="K7" s="55">
        <f>'表6-现金流量表-资本金'!K7</f>
        <v>18688.384000000002</v>
      </c>
      <c r="L7" s="55">
        <f>'表6-现金流量表-资本金'!L7</f>
        <v>18688.384000000002</v>
      </c>
      <c r="M7" s="55">
        <f>'表6-现金流量表-资本金'!M7</f>
        <v>18688.384000000002</v>
      </c>
      <c r="N7" s="55">
        <f>'表6-现金流量表-资本金'!N7</f>
        <v>19688.384000000002</v>
      </c>
      <c r="O7" s="55">
        <f>'表6-现金流量表-资本金'!O7</f>
        <v>19688.384000000002</v>
      </c>
      <c r="P7" s="55">
        <f>'表6-现金流量表-资本金'!P7</f>
        <v>19688.384000000002</v>
      </c>
      <c r="Q7" s="55">
        <f>'表6-现金流量表-资本金'!Q7</f>
        <v>19688.384000000002</v>
      </c>
      <c r="R7" s="57">
        <f>'表6-现金流量表-资本金'!R7</f>
        <v>19688.384000000002</v>
      </c>
      <c r="S7" s="55">
        <f>'表6-现金流量表-资本金'!S7</f>
        <v>19688.384000000002</v>
      </c>
      <c r="T7" s="55">
        <f>'表6-现金流量表-资本金'!T7</f>
        <v>19688.384000000002</v>
      </c>
      <c r="U7" s="55">
        <f>'表6-现金流量表-资本金'!U7</f>
        <v>19688.384000000002</v>
      </c>
      <c r="V7" s="55">
        <f>'表6-现金流量表-资本金'!V7</f>
        <v>19688.384000000002</v>
      </c>
      <c r="W7" s="55">
        <f>'表6-现金流量表-资本金'!W7</f>
        <v>19688.384000000002</v>
      </c>
      <c r="X7" s="55">
        <f>'表6-现金流量表-资本金'!X7</f>
        <v>19688.384000000002</v>
      </c>
      <c r="Y7" s="55">
        <f>'表6-现金流量表-资本金'!Y7</f>
        <v>19688.384000000002</v>
      </c>
      <c r="Z7" s="55">
        <f>'表6-现金流量表-资本金'!Z7</f>
        <v>19688.384000000002</v>
      </c>
      <c r="AA7" s="55">
        <f>'表6-现金流量表-资本金'!AA7</f>
        <v>19688.384000000002</v>
      </c>
    </row>
    <row r="8" spans="2:28" x14ac:dyDescent="0.25">
      <c r="B8" s="51"/>
      <c r="C8" s="58" t="s">
        <v>122</v>
      </c>
      <c r="D8" s="55">
        <f t="shared" si="2"/>
        <v>0</v>
      </c>
      <c r="E8" s="51" t="s">
        <v>120</v>
      </c>
      <c r="F8" s="56"/>
      <c r="G8" s="55"/>
      <c r="H8" s="55">
        <f>'表6-现金流量表-资本金'!H8</f>
        <v>0</v>
      </c>
      <c r="I8" s="55">
        <f>'表6-现金流量表-资本金'!I8</f>
        <v>0</v>
      </c>
      <c r="J8" s="55">
        <f>'表6-现金流量表-资本金'!J8</f>
        <v>0</v>
      </c>
      <c r="K8" s="55">
        <f>'表6-现金流量表-资本金'!K8</f>
        <v>0</v>
      </c>
      <c r="L8" s="55">
        <f>'表6-现金流量表-资本金'!L8</f>
        <v>0</v>
      </c>
      <c r="M8" s="55">
        <f>'表6-现金流量表-资本金'!M8</f>
        <v>0</v>
      </c>
      <c r="N8" s="55">
        <f>'表6-现金流量表-资本金'!N8</f>
        <v>0</v>
      </c>
      <c r="O8" s="55">
        <f>'表6-现金流量表-资本金'!O8</f>
        <v>0</v>
      </c>
      <c r="P8" s="55">
        <f>'表6-现金流量表-资本金'!P8</f>
        <v>0</v>
      </c>
      <c r="Q8" s="55">
        <f>'表6-现金流量表-资本金'!Q8</f>
        <v>0</v>
      </c>
      <c r="R8" s="57">
        <f>'表6-现金流量表-资本金'!R8</f>
        <v>0</v>
      </c>
      <c r="S8" s="55">
        <f>'表6-现金流量表-资本金'!S8</f>
        <v>0</v>
      </c>
      <c r="T8" s="55">
        <f>'表6-现金流量表-资本金'!T8</f>
        <v>0</v>
      </c>
      <c r="U8" s="55">
        <f>'表6-现金流量表-资本金'!U8</f>
        <v>0</v>
      </c>
      <c r="V8" s="55">
        <f>'表6-现金流量表-资本金'!V8</f>
        <v>0</v>
      </c>
      <c r="W8" s="55">
        <f>'表6-现金流量表-资本金'!W8</f>
        <v>0</v>
      </c>
      <c r="X8" s="55">
        <f>'表6-现金流量表-资本金'!X8</f>
        <v>0</v>
      </c>
      <c r="Y8" s="55">
        <f>'表6-现金流量表-资本金'!Y8</f>
        <v>0</v>
      </c>
      <c r="Z8" s="55">
        <f>'表6-现金流量表-资本金'!Z8</f>
        <v>0</v>
      </c>
      <c r="AA8" s="55">
        <f>'表6-现金流量表-资本金'!AA8</f>
        <v>0</v>
      </c>
    </row>
    <row r="9" spans="2:28" s="43" customFormat="1" x14ac:dyDescent="0.25">
      <c r="B9" s="59"/>
      <c r="C9" s="60" t="s">
        <v>497</v>
      </c>
      <c r="D9" s="61">
        <f t="shared" si="2"/>
        <v>0</v>
      </c>
      <c r="E9" s="59" t="s">
        <v>120</v>
      </c>
      <c r="F9" s="62"/>
      <c r="G9" s="61"/>
      <c r="H9" s="61"/>
      <c r="I9" s="61"/>
      <c r="J9" s="61"/>
      <c r="K9" s="61"/>
      <c r="L9" s="61"/>
      <c r="M9" s="61"/>
      <c r="N9" s="61"/>
      <c r="O9" s="61"/>
      <c r="P9" s="61"/>
      <c r="Q9" s="61"/>
      <c r="R9" s="57"/>
      <c r="S9" s="61"/>
      <c r="T9" s="61"/>
      <c r="U9" s="61"/>
      <c r="V9" s="61"/>
      <c r="W9" s="61"/>
      <c r="X9" s="61"/>
      <c r="Y9" s="61"/>
      <c r="Z9" s="61"/>
      <c r="AA9" s="61"/>
      <c r="AB9" s="43" t="s">
        <v>539</v>
      </c>
    </row>
    <row r="10" spans="2:28" x14ac:dyDescent="0.25">
      <c r="B10" s="51"/>
      <c r="C10" s="58" t="s">
        <v>426</v>
      </c>
      <c r="D10" s="55">
        <f t="shared" si="2"/>
        <v>0</v>
      </c>
      <c r="E10" s="51" t="s">
        <v>120</v>
      </c>
      <c r="F10" s="56"/>
      <c r="G10" s="55"/>
      <c r="H10" s="55">
        <f>参数输入表!H318</f>
        <v>0</v>
      </c>
      <c r="I10" s="55"/>
      <c r="J10" s="55"/>
      <c r="K10" s="55"/>
      <c r="L10" s="55"/>
      <c r="M10" s="55"/>
      <c r="N10" s="55"/>
      <c r="O10" s="55"/>
      <c r="P10" s="55"/>
      <c r="Q10" s="55"/>
      <c r="R10" s="57"/>
      <c r="S10" s="55"/>
      <c r="T10" s="55"/>
      <c r="U10" s="55"/>
      <c r="V10" s="55"/>
      <c r="W10" s="55"/>
      <c r="X10" s="55"/>
      <c r="Y10" s="55"/>
      <c r="Z10" s="55"/>
      <c r="AA10" s="55"/>
    </row>
    <row r="11" spans="2:28" x14ac:dyDescent="0.25">
      <c r="B11" s="51"/>
      <c r="C11" s="58" t="s">
        <v>427</v>
      </c>
      <c r="D11" s="55">
        <f t="shared" ca="1" si="2"/>
        <v>0</v>
      </c>
      <c r="E11" s="51" t="s">
        <v>120</v>
      </c>
      <c r="F11" s="56"/>
      <c r="G11" s="55"/>
      <c r="H11" s="55">
        <f ca="1">'表4-收入税金表'!H13</f>
        <v>0</v>
      </c>
      <c r="I11" s="55">
        <f ca="1">'表4-收入税金表'!I13</f>
        <v>0</v>
      </c>
      <c r="J11" s="55">
        <f ca="1">'表4-收入税金表'!J13</f>
        <v>0</v>
      </c>
      <c r="K11" s="55">
        <f ca="1">'表4-收入税金表'!K13</f>
        <v>0</v>
      </c>
      <c r="L11" s="55">
        <f ca="1">'表4-收入税金表'!L13</f>
        <v>0</v>
      </c>
      <c r="M11" s="55">
        <f ca="1">'表4-收入税金表'!M13</f>
        <v>0</v>
      </c>
      <c r="N11" s="55">
        <f ca="1">'表4-收入税金表'!N13</f>
        <v>0</v>
      </c>
      <c r="O11" s="55">
        <f ca="1">'表4-收入税金表'!O13</f>
        <v>0</v>
      </c>
      <c r="P11" s="55">
        <f ca="1">'表4-收入税金表'!P13</f>
        <v>0</v>
      </c>
      <c r="Q11" s="55">
        <f ca="1">'表4-收入税金表'!Q13</f>
        <v>0</v>
      </c>
      <c r="R11" s="57">
        <f ca="1">'表4-收入税金表'!R13</f>
        <v>0</v>
      </c>
      <c r="S11" s="55">
        <f ca="1">'表4-收入税金表'!S13</f>
        <v>0</v>
      </c>
      <c r="T11" s="55">
        <f ca="1">'表4-收入税金表'!T13</f>
        <v>0</v>
      </c>
      <c r="U11" s="55">
        <f ca="1">'表4-收入税金表'!U13</f>
        <v>0</v>
      </c>
      <c r="V11" s="55">
        <f ca="1">'表4-收入税金表'!V13</f>
        <v>0</v>
      </c>
      <c r="W11" s="55">
        <f ca="1">'表4-收入税金表'!W13</f>
        <v>0</v>
      </c>
      <c r="X11" s="55">
        <f ca="1">'表4-收入税金表'!X13</f>
        <v>0</v>
      </c>
      <c r="Y11" s="55">
        <f ca="1">'表4-收入税金表'!Y13</f>
        <v>0</v>
      </c>
      <c r="Z11" s="55">
        <f ca="1">'表4-收入税金表'!Z13</f>
        <v>0</v>
      </c>
      <c r="AA11" s="55">
        <f ca="1">'表4-收入税金表'!AA13</f>
        <v>0</v>
      </c>
    </row>
    <row r="12" spans="2:28" x14ac:dyDescent="0.25">
      <c r="B12" s="51">
        <v>1.2</v>
      </c>
      <c r="C12" s="54" t="s">
        <v>498</v>
      </c>
      <c r="D12" s="55">
        <f t="shared" ca="1" si="2"/>
        <v>292823.56285030523</v>
      </c>
      <c r="E12" s="51" t="s">
        <v>120</v>
      </c>
      <c r="F12" s="56">
        <f>SUM(F13:F16)</f>
        <v>0</v>
      </c>
      <c r="G12" s="56">
        <f t="shared" ref="G12:AA12" si="3">SUM(G13:G16)</f>
        <v>0</v>
      </c>
      <c r="H12" s="56">
        <f t="shared" ca="1" si="3"/>
        <v>14865.644051649087</v>
      </c>
      <c r="I12" s="56">
        <f t="shared" ca="1" si="3"/>
        <v>13153.253571077943</v>
      </c>
      <c r="J12" s="56">
        <f t="shared" ca="1" si="3"/>
        <v>13148.224405277946</v>
      </c>
      <c r="K12" s="56">
        <f t="shared" ca="1" si="3"/>
        <v>13143.209608724046</v>
      </c>
      <c r="L12" s="56">
        <f t="shared" ca="1" si="3"/>
        <v>13138.209116754637</v>
      </c>
      <c r="M12" s="56">
        <f t="shared" ca="1" si="3"/>
        <v>14067.885428383564</v>
      </c>
      <c r="N12" s="56">
        <f t="shared" ca="1" si="3"/>
        <v>14053.193912725688</v>
      </c>
      <c r="O12" s="56">
        <f t="shared" ca="1" si="3"/>
        <v>14611.664187339673</v>
      </c>
      <c r="P12" s="56">
        <f t="shared" ca="1" si="3"/>
        <v>14625.003878132507</v>
      </c>
      <c r="Q12" s="56">
        <f t="shared" ca="1" si="3"/>
        <v>14612.308990112851</v>
      </c>
      <c r="R12" s="63">
        <f t="shared" ca="1" si="3"/>
        <v>14891.577121377657</v>
      </c>
      <c r="S12" s="56">
        <f t="shared" ca="1" si="3"/>
        <v>14953.883209630385</v>
      </c>
      <c r="T12" s="56">
        <f t="shared" ca="1" si="3"/>
        <v>15037.624593945466</v>
      </c>
      <c r="U12" s="56">
        <f t="shared" ca="1" si="3"/>
        <v>15059.563287655252</v>
      </c>
      <c r="V12" s="56">
        <f t="shared" ca="1" si="3"/>
        <v>15081.535422778961</v>
      </c>
      <c r="W12" s="56">
        <f t="shared" ca="1" si="3"/>
        <v>15694.662594080111</v>
      </c>
      <c r="X12" s="56">
        <f t="shared" ca="1" si="3"/>
        <v>15685.376585695805</v>
      </c>
      <c r="Y12" s="56">
        <f t="shared" ca="1" si="3"/>
        <v>15676.123569294858</v>
      </c>
      <c r="Z12" s="56">
        <f t="shared" ca="1" si="3"/>
        <v>15666.903396413347</v>
      </c>
      <c r="AA12" s="56">
        <f t="shared" ca="1" si="3"/>
        <v>15657.715919255434</v>
      </c>
    </row>
    <row r="13" spans="2:28" x14ac:dyDescent="0.25">
      <c r="B13" s="51"/>
      <c r="C13" s="58" t="s">
        <v>540</v>
      </c>
      <c r="D13" s="55">
        <f t="shared" ca="1" si="2"/>
        <v>275545.50504059112</v>
      </c>
      <c r="E13" s="51" t="s">
        <v>120</v>
      </c>
      <c r="F13" s="56"/>
      <c r="G13" s="55"/>
      <c r="H13" s="55">
        <f ca="1">'表3-成本费用表'!H48+'表4-收入税金表'!H28</f>
        <v>13158.297171077944</v>
      </c>
      <c r="I13" s="55">
        <f ca="1">'表3-成本费用表'!I48+'表4-收入税金表'!I28</f>
        <v>13153.253571077943</v>
      </c>
      <c r="J13" s="55">
        <f ca="1">'表3-成本费用表'!J48+'表4-收入税金表'!J28</f>
        <v>13148.224405277946</v>
      </c>
      <c r="K13" s="55">
        <f ca="1">'表3-成本费用表'!K48+'表4-收入税金表'!K28</f>
        <v>13143.209608724046</v>
      </c>
      <c r="L13" s="55">
        <f ca="1">'表3-成本费用表'!L48+'表4-收入税金表'!L28</f>
        <v>13138.209116754637</v>
      </c>
      <c r="M13" s="55">
        <f ca="1">'表3-成本费用表'!M48+'表4-收入税金表'!M28</f>
        <v>14067.885428383564</v>
      </c>
      <c r="N13" s="55">
        <f ca="1">'表3-成本费用表'!N48+'表4-收入税金表'!N28</f>
        <v>14053.193912725688</v>
      </c>
      <c r="O13" s="55">
        <f ca="1">'表3-成本费用表'!O48+'表4-收入税金表'!O28</f>
        <v>14038.555083138272</v>
      </c>
      <c r="P13" s="55">
        <f ca="1">'表3-成本费用表'!P48+'表4-收入税金表'!P28</f>
        <v>14023.968702534001</v>
      </c>
      <c r="Q13" s="55">
        <f ca="1">'表3-成本费用表'!Q48+'表4-收入税金表'!Q28</f>
        <v>14009.434534892449</v>
      </c>
      <c r="R13" s="57">
        <f ca="1">'表3-成本费用表'!R48+'表4-收入税金表'!R28</f>
        <v>14031.424513396876</v>
      </c>
      <c r="S13" s="55">
        <f ca="1">'表3-成本费用表'!S48+'表4-收入税金表'!S28</f>
        <v>14010.356899721484</v>
      </c>
      <c r="T13" s="55">
        <f ca="1">'表3-成本费用表'!T48+'表4-收入税金表'!T28</f>
        <v>13995.977965442589</v>
      </c>
      <c r="U13" s="55">
        <f ca="1">'表3-成本费用表'!U48+'表4-收入税金表'!U28</f>
        <v>13981.65031061795</v>
      </c>
      <c r="V13" s="55">
        <f ca="1">'表3-成本费用表'!V48+'表4-收入税金表'!V28</f>
        <v>13967.373704490019</v>
      </c>
      <c r="W13" s="55">
        <f ca="1">'表3-成本费用表'!W48+'表4-收入税金表'!W28</f>
        <v>13953.147917339664</v>
      </c>
      <c r="X13" s="55">
        <f ca="1">'表3-成本费用表'!X48+'表4-收入税金表'!X28</f>
        <v>13938.972720481488</v>
      </c>
      <c r="Y13" s="55">
        <f ca="1">'表3-成本费用表'!Y48+'表4-收入税金表'!Y28</f>
        <v>13924.847886259171</v>
      </c>
      <c r="Z13" s="55">
        <f ca="1">'表3-成本费用表'!Z48+'表4-收入税金表'!Z28</f>
        <v>13910.773188040856</v>
      </c>
      <c r="AA13" s="55">
        <f ca="1">'表3-成本费用表'!AA48+'表4-收入税金表'!AA28</f>
        <v>13896.748400214525</v>
      </c>
    </row>
    <row r="14" spans="2:28" x14ac:dyDescent="0.25">
      <c r="B14" s="51"/>
      <c r="C14" s="58" t="s">
        <v>541</v>
      </c>
      <c r="D14" s="55">
        <f t="shared" ca="1" si="2"/>
        <v>7094.9645238497851</v>
      </c>
      <c r="E14" s="51" t="s">
        <v>120</v>
      </c>
      <c r="F14" s="56"/>
      <c r="G14" s="55"/>
      <c r="H14" s="55">
        <f ca="1">'表4-收入税金表'!H16</f>
        <v>0</v>
      </c>
      <c r="I14" s="55">
        <f ca="1">'表4-收入税金表'!I16</f>
        <v>0</v>
      </c>
      <c r="J14" s="55">
        <f ca="1">'表4-收入税金表'!J16</f>
        <v>0</v>
      </c>
      <c r="K14" s="55">
        <f ca="1">'表4-收入税金表'!K16</f>
        <v>0</v>
      </c>
      <c r="L14" s="55">
        <f ca="1">'表4-收入税金表'!L16</f>
        <v>0</v>
      </c>
      <c r="M14" s="55">
        <f ca="1">'表4-收入税金表'!M16</f>
        <v>0</v>
      </c>
      <c r="N14" s="55">
        <f ca="1">'表4-收入税金表'!N16</f>
        <v>0</v>
      </c>
      <c r="O14" s="55">
        <f ca="1">'表4-收入税金表'!O16</f>
        <v>521.00827654672946</v>
      </c>
      <c r="P14" s="55">
        <f ca="1">'表4-收入税金表'!P16</f>
        <v>546.39561418046037</v>
      </c>
      <c r="Q14" s="55">
        <f ca="1">'表4-收入税金表'!Q16</f>
        <v>548.06768656400186</v>
      </c>
      <c r="R14" s="57">
        <f ca="1">'表4-收入税金表'!R16</f>
        <v>546.30143404438365</v>
      </c>
      <c r="S14" s="55">
        <f ca="1">'表4-收入税金表'!S16</f>
        <v>490.43944990225418</v>
      </c>
      <c r="T14" s="55">
        <f ca="1">'表4-收入税金表'!T16</f>
        <v>549.61578747416263</v>
      </c>
      <c r="U14" s="55">
        <f ca="1">'表4-收入税金表'!U16</f>
        <v>551.26410174602404</v>
      </c>
      <c r="V14" s="55">
        <f ca="1">'表4-收入税金表'!V16</f>
        <v>552.90654315897154</v>
      </c>
      <c r="W14" s="55">
        <f ca="1">'表4-收入税金表'!W16</f>
        <v>554.54313814087072</v>
      </c>
      <c r="X14" s="55">
        <f ca="1">'表4-收入税金表'!X16</f>
        <v>556.17391300066095</v>
      </c>
      <c r="Y14" s="55">
        <f ca="1">'表4-收入税金表'!Y16</f>
        <v>557.7988939288922</v>
      </c>
      <c r="Z14" s="55">
        <f ca="1">'表4-收入税金表'!Z16</f>
        <v>559.41810699825589</v>
      </c>
      <c r="AA14" s="55">
        <f ca="1">'表4-收入税金表'!AA16</f>
        <v>561.03157816411704</v>
      </c>
    </row>
    <row r="15" spans="2:28" x14ac:dyDescent="0.25">
      <c r="B15" s="51"/>
      <c r="C15" s="58" t="s">
        <v>542</v>
      </c>
      <c r="D15" s="55">
        <f t="shared" ca="1" si="2"/>
        <v>709.49645238497851</v>
      </c>
      <c r="E15" s="51" t="s">
        <v>120</v>
      </c>
      <c r="F15" s="56"/>
      <c r="G15" s="55"/>
      <c r="H15" s="55">
        <f ca="1">'表4-收入税金表'!H40+'表4-收入税金表'!H44</f>
        <v>0</v>
      </c>
      <c r="I15" s="55">
        <f ca="1">'表4-收入税金表'!I40+'表4-收入税金表'!I44</f>
        <v>0</v>
      </c>
      <c r="J15" s="55">
        <f ca="1">'表4-收入税金表'!J40+'表4-收入税金表'!J44</f>
        <v>0</v>
      </c>
      <c r="K15" s="55">
        <f ca="1">'表4-收入税金表'!K40+'表4-收入税金表'!K44</f>
        <v>0</v>
      </c>
      <c r="L15" s="55">
        <f ca="1">'表4-收入税金表'!L40+'表4-收入税金表'!L44</f>
        <v>0</v>
      </c>
      <c r="M15" s="55">
        <f ca="1">'表4-收入税金表'!M40+'表4-收入税金表'!M44</f>
        <v>0</v>
      </c>
      <c r="N15" s="55">
        <f ca="1">'表4-收入税金表'!N40+'表4-收入税金表'!N44</f>
        <v>0</v>
      </c>
      <c r="O15" s="55">
        <f ca="1">'表4-收入税金表'!O40+'表4-收入税金表'!O44</f>
        <v>52.100827654672948</v>
      </c>
      <c r="P15" s="55">
        <f ca="1">'表4-收入税金表'!P40+'表4-收入税金表'!P44</f>
        <v>54.639561418046043</v>
      </c>
      <c r="Q15" s="55">
        <f ca="1">'表4-收入税金表'!Q40+'表4-收入税金表'!Q44</f>
        <v>54.806768656400195</v>
      </c>
      <c r="R15" s="57">
        <f ca="1">'表4-收入税金表'!R40+'表4-收入税金表'!R44</f>
        <v>54.630143404438371</v>
      </c>
      <c r="S15" s="55">
        <f ca="1">'表4-收入税金表'!S40+'表4-收入税金表'!S44</f>
        <v>49.043944990225427</v>
      </c>
      <c r="T15" s="55">
        <f ca="1">'表4-收入税金表'!T40+'表4-收入税金表'!T44</f>
        <v>54.961578747416269</v>
      </c>
      <c r="U15" s="55">
        <f ca="1">'表4-收入税金表'!U40+'表4-收入税金表'!U44</f>
        <v>55.126410174602398</v>
      </c>
      <c r="V15" s="55">
        <f ca="1">'表4-收入税金表'!V40+'表4-收入税金表'!V44</f>
        <v>55.290654315897157</v>
      </c>
      <c r="W15" s="55">
        <f ca="1">'表4-收入税金表'!W40+'表4-收入税金表'!W44</f>
        <v>55.454313814087072</v>
      </c>
      <c r="X15" s="55">
        <f ca="1">'表4-收入税金表'!X40+'表4-收入税金表'!X44</f>
        <v>55.617391300066089</v>
      </c>
      <c r="Y15" s="55">
        <f ca="1">'表4-收入税金表'!Y40+'表4-收入税金表'!Y44</f>
        <v>55.779889392889217</v>
      </c>
      <c r="Z15" s="55">
        <f ca="1">'表4-收入税金表'!Z40+'表4-收入税金表'!Z44</f>
        <v>55.941810699825595</v>
      </c>
      <c r="AA15" s="55">
        <f ca="1">'表4-收入税金表'!AA40+'表4-收入税金表'!AA44</f>
        <v>56.103157816411709</v>
      </c>
    </row>
    <row r="16" spans="2:28" x14ac:dyDescent="0.25">
      <c r="B16" s="51"/>
      <c r="C16" s="58" t="s">
        <v>477</v>
      </c>
      <c r="D16" s="57">
        <f t="shared" ca="1" si="2"/>
        <v>9473.5968334793506</v>
      </c>
      <c r="E16" s="51" t="s">
        <v>120</v>
      </c>
      <c r="F16" s="56"/>
      <c r="G16" s="55"/>
      <c r="H16" s="55">
        <f ca="1">'表5-利润表-资本金'!H22</f>
        <v>1707.3468805711445</v>
      </c>
      <c r="I16" s="55">
        <f ca="1">'表5-利润表-资本金'!I22</f>
        <v>0</v>
      </c>
      <c r="J16" s="55">
        <f ca="1">'表5-利润表-资本金'!J22</f>
        <v>0</v>
      </c>
      <c r="K16" s="55">
        <f ca="1">'表5-利润表-资本金'!K22</f>
        <v>0</v>
      </c>
      <c r="L16" s="55">
        <f ca="1">'表5-利润表-资本金'!L22</f>
        <v>0</v>
      </c>
      <c r="M16" s="55">
        <f ca="1">'表5-利润表-资本金'!M22</f>
        <v>0</v>
      </c>
      <c r="N16" s="55">
        <f ca="1">'表5-利润表-资本金'!N22</f>
        <v>0</v>
      </c>
      <c r="O16" s="55">
        <f ca="1">'表5-利润表-资本金'!O22</f>
        <v>0</v>
      </c>
      <c r="P16" s="55">
        <f ca="1">'表5-利润表-资本金'!P22</f>
        <v>0</v>
      </c>
      <c r="Q16" s="55">
        <f ca="1">'表5-利润表-资本金'!Q22</f>
        <v>0</v>
      </c>
      <c r="R16" s="57">
        <f ca="1">'表5-利润表-资本金'!R22</f>
        <v>259.22103053195906</v>
      </c>
      <c r="S16" s="55">
        <f ca="1">'表5-利润表-资本金'!S22</f>
        <v>404.04291501642018</v>
      </c>
      <c r="T16" s="55">
        <f ca="1">'表5-利润表-资本金'!T22</f>
        <v>437.06926228129885</v>
      </c>
      <c r="U16" s="55">
        <f ca="1">'表5-利润表-资本金'!U22</f>
        <v>471.52246511667533</v>
      </c>
      <c r="V16" s="55">
        <f ca="1">'表5-利润表-资本金'!V22</f>
        <v>505.96452081407455</v>
      </c>
      <c r="W16" s="55">
        <f ca="1">'表5-利润表-资本金'!W22</f>
        <v>1131.5172247854894</v>
      </c>
      <c r="X16" s="55">
        <f ca="1">'表5-利润表-资本金'!X22</f>
        <v>1134.6125609135911</v>
      </c>
      <c r="Y16" s="55">
        <f ca="1">'表5-利润表-资本金'!Y22</f>
        <v>1137.6968997139068</v>
      </c>
      <c r="Z16" s="55">
        <f ca="1">'表5-利润表-资本金'!Z22</f>
        <v>1140.7702906744107</v>
      </c>
      <c r="AA16" s="55">
        <f ca="1">'表5-利润表-资本金'!AA22</f>
        <v>1143.8327830603814</v>
      </c>
    </row>
    <row r="17" spans="2:27" x14ac:dyDescent="0.25">
      <c r="B17" s="47">
        <v>2</v>
      </c>
      <c r="C17" s="49" t="s">
        <v>543</v>
      </c>
      <c r="D17" s="50">
        <f t="shared" si="2"/>
        <v>-66159.39</v>
      </c>
      <c r="E17" s="51" t="s">
        <v>120</v>
      </c>
      <c r="F17" s="52">
        <f>F18-F19</f>
        <v>-39167.034</v>
      </c>
      <c r="G17" s="52">
        <f t="shared" ref="G17:AA17" si="4">G18-G19</f>
        <v>-26111.356</v>
      </c>
      <c r="H17" s="52">
        <f t="shared" si="4"/>
        <v>-381</v>
      </c>
      <c r="I17" s="52">
        <f t="shared" si="4"/>
        <v>0</v>
      </c>
      <c r="J17" s="52">
        <f t="shared" si="4"/>
        <v>0</v>
      </c>
      <c r="K17" s="52">
        <f t="shared" si="4"/>
        <v>0</v>
      </c>
      <c r="L17" s="52">
        <f t="shared" si="4"/>
        <v>0</v>
      </c>
      <c r="M17" s="52">
        <f t="shared" si="4"/>
        <v>0</v>
      </c>
      <c r="N17" s="52">
        <f t="shared" si="4"/>
        <v>0</v>
      </c>
      <c r="O17" s="52">
        <f t="shared" si="4"/>
        <v>0</v>
      </c>
      <c r="P17" s="52">
        <f t="shared" si="4"/>
        <v>0</v>
      </c>
      <c r="Q17" s="52">
        <f t="shared" si="4"/>
        <v>0</v>
      </c>
      <c r="R17" s="53">
        <f t="shared" si="4"/>
        <v>0</v>
      </c>
      <c r="S17" s="52">
        <f t="shared" si="4"/>
        <v>-500</v>
      </c>
      <c r="T17" s="52">
        <f t="shared" si="4"/>
        <v>0</v>
      </c>
      <c r="U17" s="52">
        <f t="shared" si="4"/>
        <v>0</v>
      </c>
      <c r="V17" s="52">
        <f t="shared" si="4"/>
        <v>0</v>
      </c>
      <c r="W17" s="52">
        <f t="shared" si="4"/>
        <v>0</v>
      </c>
      <c r="X17" s="52">
        <f t="shared" si="4"/>
        <v>0</v>
      </c>
      <c r="Y17" s="52">
        <f t="shared" si="4"/>
        <v>0</v>
      </c>
      <c r="Z17" s="52">
        <f t="shared" si="4"/>
        <v>0</v>
      </c>
      <c r="AA17" s="52">
        <f t="shared" si="4"/>
        <v>0</v>
      </c>
    </row>
    <row r="18" spans="2:27" x14ac:dyDescent="0.25">
      <c r="B18" s="51">
        <v>2.1</v>
      </c>
      <c r="C18" s="54" t="s">
        <v>494</v>
      </c>
      <c r="D18" s="55">
        <f t="shared" si="2"/>
        <v>0</v>
      </c>
      <c r="E18" s="51" t="s">
        <v>120</v>
      </c>
      <c r="F18" s="56">
        <v>0</v>
      </c>
      <c r="G18" s="56">
        <v>0</v>
      </c>
      <c r="H18" s="56">
        <v>0</v>
      </c>
      <c r="I18" s="56">
        <v>0</v>
      </c>
      <c r="J18" s="56">
        <v>0</v>
      </c>
      <c r="K18" s="56">
        <v>0</v>
      </c>
      <c r="L18" s="56">
        <v>0</v>
      </c>
      <c r="M18" s="56">
        <v>0</v>
      </c>
      <c r="N18" s="56">
        <v>0</v>
      </c>
      <c r="O18" s="56">
        <v>0</v>
      </c>
      <c r="P18" s="56">
        <v>0</v>
      </c>
      <c r="Q18" s="56">
        <v>0</v>
      </c>
      <c r="R18" s="63">
        <v>0</v>
      </c>
      <c r="S18" s="56">
        <v>0</v>
      </c>
      <c r="T18" s="56">
        <v>0</v>
      </c>
      <c r="U18" s="56">
        <v>0</v>
      </c>
      <c r="V18" s="56">
        <v>0</v>
      </c>
      <c r="W18" s="56">
        <v>0</v>
      </c>
      <c r="X18" s="56">
        <v>0</v>
      </c>
      <c r="Y18" s="56">
        <v>0</v>
      </c>
      <c r="Z18" s="56">
        <v>0</v>
      </c>
      <c r="AA18" s="56">
        <v>0</v>
      </c>
    </row>
    <row r="19" spans="2:27" x14ac:dyDescent="0.25">
      <c r="B19" s="51">
        <v>2.2000000000000002</v>
      </c>
      <c r="C19" s="54" t="s">
        <v>498</v>
      </c>
      <c r="D19" s="55">
        <f t="shared" si="2"/>
        <v>66159.39</v>
      </c>
      <c r="E19" s="51" t="s">
        <v>120</v>
      </c>
      <c r="F19" s="56">
        <f>SUM(F20:F22)</f>
        <v>39167.034</v>
      </c>
      <c r="G19" s="56">
        <f t="shared" ref="G19:AA19" si="5">SUM(G20:G22)</f>
        <v>26111.356</v>
      </c>
      <c r="H19" s="56">
        <f t="shared" si="5"/>
        <v>381</v>
      </c>
      <c r="I19" s="56">
        <f t="shared" si="5"/>
        <v>0</v>
      </c>
      <c r="J19" s="56">
        <f t="shared" si="5"/>
        <v>0</v>
      </c>
      <c r="K19" s="56">
        <f t="shared" si="5"/>
        <v>0</v>
      </c>
      <c r="L19" s="56">
        <f t="shared" si="5"/>
        <v>0</v>
      </c>
      <c r="M19" s="56">
        <f t="shared" si="5"/>
        <v>0</v>
      </c>
      <c r="N19" s="56">
        <f t="shared" si="5"/>
        <v>0</v>
      </c>
      <c r="O19" s="56">
        <f t="shared" si="5"/>
        <v>0</v>
      </c>
      <c r="P19" s="56">
        <f t="shared" si="5"/>
        <v>0</v>
      </c>
      <c r="Q19" s="56">
        <f t="shared" si="5"/>
        <v>0</v>
      </c>
      <c r="R19" s="63">
        <f t="shared" si="5"/>
        <v>0</v>
      </c>
      <c r="S19" s="56">
        <f t="shared" si="5"/>
        <v>500</v>
      </c>
      <c r="T19" s="56">
        <f t="shared" si="5"/>
        <v>0</v>
      </c>
      <c r="U19" s="56">
        <f t="shared" si="5"/>
        <v>0</v>
      </c>
      <c r="V19" s="56">
        <f t="shared" si="5"/>
        <v>0</v>
      </c>
      <c r="W19" s="56">
        <f t="shared" si="5"/>
        <v>0</v>
      </c>
      <c r="X19" s="56">
        <f t="shared" si="5"/>
        <v>0</v>
      </c>
      <c r="Y19" s="56">
        <f t="shared" si="5"/>
        <v>0</v>
      </c>
      <c r="Z19" s="56">
        <f t="shared" si="5"/>
        <v>0</v>
      </c>
      <c r="AA19" s="56">
        <f t="shared" si="5"/>
        <v>0</v>
      </c>
    </row>
    <row r="20" spans="2:27" x14ac:dyDescent="0.25">
      <c r="B20" s="51"/>
      <c r="C20" s="58" t="s">
        <v>530</v>
      </c>
      <c r="D20" s="55">
        <f t="shared" si="2"/>
        <v>65278.39</v>
      </c>
      <c r="E20" s="51" t="s">
        <v>120</v>
      </c>
      <c r="F20" s="56">
        <f>'表1-资金筹措及还本付息表'!F7</f>
        <v>39167.034</v>
      </c>
      <c r="G20" s="56">
        <f>'表1-资金筹措及还本付息表'!G7</f>
        <v>26111.356</v>
      </c>
      <c r="H20" s="55"/>
      <c r="I20" s="55"/>
      <c r="J20" s="55"/>
      <c r="K20" s="55"/>
      <c r="L20" s="55"/>
      <c r="M20" s="55"/>
      <c r="N20" s="55"/>
      <c r="O20" s="55"/>
      <c r="P20" s="55"/>
      <c r="Q20" s="55"/>
      <c r="R20" s="57"/>
      <c r="S20" s="55"/>
      <c r="T20" s="55"/>
      <c r="U20" s="55"/>
      <c r="V20" s="55"/>
      <c r="W20" s="55"/>
      <c r="X20" s="55"/>
      <c r="Y20" s="55"/>
      <c r="Z20" s="55"/>
      <c r="AA20" s="55"/>
    </row>
    <row r="21" spans="2:27" x14ac:dyDescent="0.25">
      <c r="B21" s="51"/>
      <c r="C21" s="58" t="s">
        <v>28</v>
      </c>
      <c r="D21" s="55">
        <f t="shared" si="2"/>
        <v>381</v>
      </c>
      <c r="E21" s="51" t="s">
        <v>120</v>
      </c>
      <c r="F21" s="56"/>
      <c r="G21" s="56"/>
      <c r="H21" s="55">
        <f>参数输入表!H351</f>
        <v>381</v>
      </c>
      <c r="I21" s="55"/>
      <c r="J21" s="55"/>
      <c r="K21" s="55"/>
      <c r="L21" s="55"/>
      <c r="M21" s="55"/>
      <c r="N21" s="55"/>
      <c r="O21" s="55"/>
      <c r="P21" s="55"/>
      <c r="Q21" s="55"/>
      <c r="R21" s="57"/>
      <c r="S21" s="55"/>
      <c r="T21" s="55"/>
      <c r="U21" s="55"/>
      <c r="V21" s="55"/>
      <c r="W21" s="55"/>
      <c r="X21" s="55"/>
      <c r="Y21" s="55"/>
      <c r="Z21" s="55"/>
      <c r="AA21" s="55"/>
    </row>
    <row r="22" spans="2:27" x14ac:dyDescent="0.25">
      <c r="B22" s="51"/>
      <c r="C22" s="58" t="s">
        <v>509</v>
      </c>
      <c r="D22" s="55">
        <f t="shared" si="2"/>
        <v>500</v>
      </c>
      <c r="E22" s="51" t="s">
        <v>120</v>
      </c>
      <c r="F22" s="56"/>
      <c r="G22" s="56"/>
      <c r="H22" s="56">
        <f>参数输入表!H656</f>
        <v>0</v>
      </c>
      <c r="I22" s="56">
        <f>参数输入表!H657</f>
        <v>0</v>
      </c>
      <c r="J22" s="56">
        <f>参数输入表!H658</f>
        <v>0</v>
      </c>
      <c r="K22" s="56">
        <f>参数输入表!H659</f>
        <v>0</v>
      </c>
      <c r="L22" s="56">
        <f>参数输入表!H660</f>
        <v>0</v>
      </c>
      <c r="M22" s="56">
        <f>参数输入表!H661</f>
        <v>0</v>
      </c>
      <c r="N22" s="56">
        <f>参数输入表!H662</f>
        <v>0</v>
      </c>
      <c r="O22" s="56">
        <f>参数输入表!H663</f>
        <v>0</v>
      </c>
      <c r="P22" s="56">
        <f>参数输入表!H664</f>
        <v>0</v>
      </c>
      <c r="Q22" s="56">
        <f>参数输入表!H665</f>
        <v>0</v>
      </c>
      <c r="R22" s="63">
        <f>参数输入表!H666</f>
        <v>0</v>
      </c>
      <c r="S22" s="56">
        <f>参数输入表!H667</f>
        <v>500</v>
      </c>
      <c r="T22" s="56">
        <f>参数输入表!H668</f>
        <v>0</v>
      </c>
      <c r="U22" s="56">
        <f>参数输入表!H669</f>
        <v>0</v>
      </c>
      <c r="V22" s="56">
        <f>参数输入表!H670</f>
        <v>0</v>
      </c>
      <c r="W22" s="56">
        <f>参数输入表!H671</f>
        <v>0</v>
      </c>
      <c r="X22" s="56">
        <f>参数输入表!H672</f>
        <v>0</v>
      </c>
      <c r="Y22" s="56">
        <f>参数输入表!H673</f>
        <v>0</v>
      </c>
      <c r="Z22" s="56">
        <f>参数输入表!H674</f>
        <v>0</v>
      </c>
      <c r="AA22" s="56">
        <f>参数输入表!H675</f>
        <v>0</v>
      </c>
    </row>
    <row r="23" spans="2:27" x14ac:dyDescent="0.25">
      <c r="B23" s="47">
        <v>3</v>
      </c>
      <c r="C23" s="49" t="s">
        <v>544</v>
      </c>
      <c r="D23" s="50">
        <f t="shared" ca="1" si="2"/>
        <v>-14161.277204226997</v>
      </c>
      <c r="E23" s="51" t="s">
        <v>120</v>
      </c>
      <c r="F23" s="52">
        <f ca="1">F24-F29</f>
        <v>39167.034000000007</v>
      </c>
      <c r="G23" s="52">
        <f t="shared" ref="G23:AA23" ca="1" si="6">G24-G29</f>
        <v>26111.356</v>
      </c>
      <c r="H23" s="52">
        <f t="shared" ca="1" si="6"/>
        <v>-5547.4106828760841</v>
      </c>
      <c r="I23" s="52">
        <f t="shared" ca="1" si="6"/>
        <v>-5704.0921587257944</v>
      </c>
      <c r="J23" s="52">
        <f t="shared" ca="1" si="6"/>
        <v>-5501.3530569966933</v>
      </c>
      <c r="K23" s="52">
        <f t="shared" ca="1" si="6"/>
        <v>-5318.0342909934334</v>
      </c>
      <c r="L23" s="52">
        <f t="shared" ca="1" si="6"/>
        <v>-5152.1926878402392</v>
      </c>
      <c r="M23" s="52">
        <f t="shared" ca="1" si="6"/>
        <v>-4927.6372460097609</v>
      </c>
      <c r="N23" s="52">
        <f t="shared" ca="1" si="6"/>
        <v>-4812.2147437488138</v>
      </c>
      <c r="O23" s="52">
        <f t="shared" ca="1" si="6"/>
        <v>-4704.4198805933993</v>
      </c>
      <c r="P23" s="52">
        <f t="shared" ca="1" si="6"/>
        <v>-4608.4414605191596</v>
      </c>
      <c r="Q23" s="52">
        <f t="shared" ca="1" si="6"/>
        <v>-4523.3303712543084</v>
      </c>
      <c r="R23" s="53">
        <f t="shared" ca="1" si="6"/>
        <v>-4496.7660368358711</v>
      </c>
      <c r="S23" s="52">
        <f t="shared" ca="1" si="6"/>
        <v>-4452.3271182870812</v>
      </c>
      <c r="T23" s="52">
        <f t="shared" ca="1" si="6"/>
        <v>-4408.719375133096</v>
      </c>
      <c r="U23" s="52">
        <f t="shared" ca="1" si="6"/>
        <v>-4366.24494083847</v>
      </c>
      <c r="V23" s="52">
        <f t="shared" ca="1" si="6"/>
        <v>-4324.7874747900132</v>
      </c>
      <c r="W23" s="52">
        <f t="shared" ca="1" si="6"/>
        <v>-863.89366331389704</v>
      </c>
      <c r="X23" s="52">
        <f t="shared" ca="1" si="6"/>
        <v>-1084.6497884291769</v>
      </c>
      <c r="Y23" s="52">
        <f t="shared" ca="1" si="6"/>
        <v>-1284.163072509014</v>
      </c>
      <c r="Z23" s="52">
        <f t="shared" ca="1" si="6"/>
        <v>-1464.5548437402035</v>
      </c>
      <c r="AA23" s="52">
        <f t="shared" ca="1" si="6"/>
        <v>-1894.4343107924863</v>
      </c>
    </row>
    <row r="24" spans="2:27" x14ac:dyDescent="0.25">
      <c r="B24" s="51">
        <v>3.1</v>
      </c>
      <c r="C24" s="54" t="s">
        <v>494</v>
      </c>
      <c r="D24" s="55">
        <f t="shared" ca="1" si="2"/>
        <v>67671.182327609407</v>
      </c>
      <c r="E24" s="51" t="s">
        <v>120</v>
      </c>
      <c r="F24" s="56">
        <f ca="1">SUM(F25:F28)</f>
        <v>39711.14280920061</v>
      </c>
      <c r="G24" s="56">
        <f t="shared" ref="G24:AA24" ca="1" si="7">SUM(G25:G28)</f>
        <v>27579.039518408801</v>
      </c>
      <c r="H24" s="56">
        <f t="shared" si="7"/>
        <v>381</v>
      </c>
      <c r="I24" s="56">
        <f t="shared" si="7"/>
        <v>0</v>
      </c>
      <c r="J24" s="56">
        <f t="shared" si="7"/>
        <v>0</v>
      </c>
      <c r="K24" s="56">
        <f t="shared" si="7"/>
        <v>0</v>
      </c>
      <c r="L24" s="56">
        <f t="shared" si="7"/>
        <v>0</v>
      </c>
      <c r="M24" s="56">
        <f t="shared" si="7"/>
        <v>0</v>
      </c>
      <c r="N24" s="56">
        <f t="shared" si="7"/>
        <v>0</v>
      </c>
      <c r="O24" s="56">
        <f t="shared" si="7"/>
        <v>0</v>
      </c>
      <c r="P24" s="56">
        <f t="shared" si="7"/>
        <v>0</v>
      </c>
      <c r="Q24" s="56">
        <f t="shared" si="7"/>
        <v>0</v>
      </c>
      <c r="R24" s="63">
        <f t="shared" si="7"/>
        <v>0</v>
      </c>
      <c r="S24" s="56">
        <f t="shared" si="7"/>
        <v>0</v>
      </c>
      <c r="T24" s="56">
        <f t="shared" si="7"/>
        <v>0</v>
      </c>
      <c r="U24" s="56">
        <f t="shared" si="7"/>
        <v>0</v>
      </c>
      <c r="V24" s="56">
        <f t="shared" si="7"/>
        <v>0</v>
      </c>
      <c r="W24" s="56">
        <f t="shared" si="7"/>
        <v>0</v>
      </c>
      <c r="X24" s="56">
        <f t="shared" si="7"/>
        <v>0</v>
      </c>
      <c r="Y24" s="56">
        <f t="shared" si="7"/>
        <v>0</v>
      </c>
      <c r="Z24" s="56">
        <f t="shared" si="7"/>
        <v>0</v>
      </c>
      <c r="AA24" s="56">
        <f t="shared" si="7"/>
        <v>0</v>
      </c>
    </row>
    <row r="25" spans="2:27" x14ac:dyDescent="0.25">
      <c r="B25" s="51"/>
      <c r="C25" s="58" t="s">
        <v>545</v>
      </c>
      <c r="D25" s="55">
        <f t="shared" ca="1" si="2"/>
        <v>13705.209949361466</v>
      </c>
      <c r="E25" s="51" t="s">
        <v>120</v>
      </c>
      <c r="F25" s="56">
        <f ca="1">'表1-资金筹措及还本付息表'!F11</f>
        <v>8075.102045679706</v>
      </c>
      <c r="G25" s="56">
        <f ca="1">'表1-资金筹措及还本付息表'!G11</f>
        <v>5515.8079036817608</v>
      </c>
      <c r="H25" s="56">
        <f>'表1-资金筹措及还本付息表'!H11</f>
        <v>114.3</v>
      </c>
      <c r="I25" s="55"/>
      <c r="J25" s="55"/>
      <c r="K25" s="55"/>
      <c r="L25" s="55"/>
      <c r="M25" s="55"/>
      <c r="N25" s="55"/>
      <c r="O25" s="55"/>
      <c r="P25" s="55"/>
      <c r="Q25" s="55"/>
      <c r="R25" s="57"/>
      <c r="S25" s="55"/>
      <c r="T25" s="55"/>
      <c r="U25" s="55"/>
      <c r="V25" s="55"/>
      <c r="W25" s="55"/>
      <c r="X25" s="55"/>
      <c r="Y25" s="55"/>
      <c r="Z25" s="55"/>
      <c r="AA25" s="55"/>
    </row>
    <row r="26" spans="2:27" x14ac:dyDescent="0.25">
      <c r="B26" s="51"/>
      <c r="C26" s="58" t="s">
        <v>501</v>
      </c>
      <c r="D26" s="55">
        <f t="shared" ca="1" si="2"/>
        <v>53699.272378247944</v>
      </c>
      <c r="E26" s="51" t="s">
        <v>120</v>
      </c>
      <c r="F26" s="56">
        <f ca="1">'表1-资金筹措及还本付息表'!F40</f>
        <v>31636.040763520901</v>
      </c>
      <c r="G26" s="56">
        <f ca="1">'表1-资金筹措及还本付息表'!G40</f>
        <v>22063.231614727039</v>
      </c>
      <c r="H26" s="56">
        <f>'表1-资金筹措及还本付息表'!H40</f>
        <v>0</v>
      </c>
      <c r="I26" s="56">
        <f>'表1-资金筹措及还本付息表'!I40</f>
        <v>0</v>
      </c>
      <c r="J26" s="56">
        <f>'表1-资金筹措及还本付息表'!J40</f>
        <v>0</v>
      </c>
      <c r="K26" s="56">
        <f>'表1-资金筹措及还本付息表'!K40</f>
        <v>0</v>
      </c>
      <c r="L26" s="56">
        <f>'表1-资金筹措及还本付息表'!L40</f>
        <v>0</v>
      </c>
      <c r="M26" s="56">
        <f>'表1-资金筹措及还本付息表'!M40</f>
        <v>0</v>
      </c>
      <c r="N26" s="56">
        <f>'表1-资金筹措及还本付息表'!N40</f>
        <v>0</v>
      </c>
      <c r="O26" s="56">
        <f>'表1-资金筹措及还本付息表'!O40</f>
        <v>0</v>
      </c>
      <c r="P26" s="56">
        <f>'表1-资金筹措及还本付息表'!P40</f>
        <v>0</v>
      </c>
      <c r="Q26" s="56">
        <f>'表1-资金筹措及还本付息表'!Q40</f>
        <v>0</v>
      </c>
      <c r="R26" s="63">
        <f>'表1-资金筹措及还本付息表'!R40</f>
        <v>0</v>
      </c>
      <c r="S26" s="56">
        <f>'表1-资金筹措及还本付息表'!S40</f>
        <v>0</v>
      </c>
      <c r="T26" s="56">
        <f>'表1-资金筹措及还本付息表'!T40</f>
        <v>0</v>
      </c>
      <c r="U26" s="56">
        <f>'表1-资金筹措及还本付息表'!U40</f>
        <v>0</v>
      </c>
      <c r="V26" s="56">
        <f>'表1-资金筹措及还本付息表'!V40</f>
        <v>0</v>
      </c>
      <c r="W26" s="56">
        <f>'表1-资金筹措及还本付息表'!W40</f>
        <v>0</v>
      </c>
      <c r="X26" s="56">
        <f>'表1-资金筹措及还本付息表'!X40</f>
        <v>0</v>
      </c>
      <c r="Y26" s="56">
        <f>'表1-资金筹措及还本付息表'!Y40</f>
        <v>0</v>
      </c>
      <c r="Z26" s="56">
        <f>'表1-资金筹措及还本付息表'!Z40</f>
        <v>0</v>
      </c>
      <c r="AA26" s="56">
        <f>'表1-资金筹措及还本付息表'!AA40</f>
        <v>0</v>
      </c>
    </row>
    <row r="27" spans="2:27" x14ac:dyDescent="0.25">
      <c r="B27" s="51"/>
      <c r="C27" s="58" t="s">
        <v>546</v>
      </c>
      <c r="D27" s="55">
        <f t="shared" si="2"/>
        <v>266.7</v>
      </c>
      <c r="E27" s="51" t="s">
        <v>120</v>
      </c>
      <c r="F27" s="56">
        <f>'表1-资金筹措及还本付息表'!F60</f>
        <v>0</v>
      </c>
      <c r="G27" s="56">
        <f>'表1-资金筹措及还本付息表'!G60</f>
        <v>0</v>
      </c>
      <c r="H27" s="56">
        <f>'表1-资金筹措及还本付息表'!H60</f>
        <v>266.7</v>
      </c>
      <c r="I27" s="56">
        <f>'表1-资金筹措及还本付息表'!I60</f>
        <v>0</v>
      </c>
      <c r="J27" s="56">
        <f>'表1-资金筹措及还本付息表'!J60</f>
        <v>0</v>
      </c>
      <c r="K27" s="56">
        <f>'表1-资金筹措及还本付息表'!K60</f>
        <v>0</v>
      </c>
      <c r="L27" s="56">
        <f>'表1-资金筹措及还本付息表'!L60</f>
        <v>0</v>
      </c>
      <c r="M27" s="56">
        <f>'表1-资金筹措及还本付息表'!M60</f>
        <v>0</v>
      </c>
      <c r="N27" s="56">
        <f>'表1-资金筹措及还本付息表'!N60</f>
        <v>0</v>
      </c>
      <c r="O27" s="56">
        <f>'表1-资金筹措及还本付息表'!O60</f>
        <v>0</v>
      </c>
      <c r="P27" s="56">
        <f>'表1-资金筹措及还本付息表'!P60</f>
        <v>0</v>
      </c>
      <c r="Q27" s="56">
        <f>'表1-资金筹措及还本付息表'!Q60</f>
        <v>0</v>
      </c>
      <c r="R27" s="63">
        <f>'表1-资金筹措及还本付息表'!R60</f>
        <v>0</v>
      </c>
      <c r="S27" s="56">
        <f>'表1-资金筹措及还本付息表'!S60</f>
        <v>0</v>
      </c>
      <c r="T27" s="56">
        <f>'表1-资金筹措及还本付息表'!T60</f>
        <v>0</v>
      </c>
      <c r="U27" s="56">
        <f>'表1-资金筹措及还本付息表'!U60</f>
        <v>0</v>
      </c>
      <c r="V27" s="56">
        <f>'表1-资金筹措及还本付息表'!V60</f>
        <v>0</v>
      </c>
      <c r="W27" s="56">
        <f>'表1-资金筹措及还本付息表'!W60</f>
        <v>0</v>
      </c>
      <c r="X27" s="56">
        <f>'表1-资金筹措及还本付息表'!X60</f>
        <v>0</v>
      </c>
      <c r="Y27" s="56">
        <f>'表1-资金筹措及还本付息表'!Y60</f>
        <v>0</v>
      </c>
      <c r="Z27" s="56">
        <f>'表1-资金筹措及还本付息表'!Z60</f>
        <v>0</v>
      </c>
      <c r="AA27" s="56">
        <f>'表1-资金筹措及还本付息表'!AA60</f>
        <v>0</v>
      </c>
    </row>
    <row r="28" spans="2:27" x14ac:dyDescent="0.25">
      <c r="B28" s="51"/>
      <c r="C28" s="58" t="s">
        <v>174</v>
      </c>
      <c r="D28" s="57">
        <f t="shared" si="2"/>
        <v>0</v>
      </c>
      <c r="E28" s="51" t="s">
        <v>120</v>
      </c>
      <c r="F28" s="56">
        <f>'表1-资金筹措及还本付息表'!F70</f>
        <v>0</v>
      </c>
      <c r="G28" s="56">
        <f>'表1-资金筹措及还本付息表'!G70</f>
        <v>0</v>
      </c>
      <c r="H28" s="56">
        <f>H42</f>
        <v>0</v>
      </c>
      <c r="I28" s="56">
        <f t="shared" ref="I28:AA28" si="8">I42</f>
        <v>0</v>
      </c>
      <c r="J28" s="56">
        <f t="shared" si="8"/>
        <v>0</v>
      </c>
      <c r="K28" s="56">
        <f t="shared" si="8"/>
        <v>0</v>
      </c>
      <c r="L28" s="56">
        <f t="shared" si="8"/>
        <v>0</v>
      </c>
      <c r="M28" s="56">
        <f t="shared" si="8"/>
        <v>0</v>
      </c>
      <c r="N28" s="56">
        <f t="shared" si="8"/>
        <v>0</v>
      </c>
      <c r="O28" s="56">
        <f t="shared" si="8"/>
        <v>0</v>
      </c>
      <c r="P28" s="56">
        <f t="shared" si="8"/>
        <v>0</v>
      </c>
      <c r="Q28" s="56">
        <f t="shared" si="8"/>
        <v>0</v>
      </c>
      <c r="R28" s="56">
        <f t="shared" si="8"/>
        <v>0</v>
      </c>
      <c r="S28" s="56">
        <f t="shared" si="8"/>
        <v>0</v>
      </c>
      <c r="T28" s="56">
        <f t="shared" si="8"/>
        <v>0</v>
      </c>
      <c r="U28" s="56">
        <f t="shared" si="8"/>
        <v>0</v>
      </c>
      <c r="V28" s="56">
        <f t="shared" si="8"/>
        <v>0</v>
      </c>
      <c r="W28" s="56">
        <f t="shared" si="8"/>
        <v>0</v>
      </c>
      <c r="X28" s="56">
        <f t="shared" si="8"/>
        <v>0</v>
      </c>
      <c r="Y28" s="56">
        <f t="shared" si="8"/>
        <v>0</v>
      </c>
      <c r="Z28" s="56">
        <f t="shared" si="8"/>
        <v>0</v>
      </c>
      <c r="AA28" s="56">
        <f t="shared" si="8"/>
        <v>0</v>
      </c>
    </row>
    <row r="29" spans="2:27" x14ac:dyDescent="0.25">
      <c r="B29" s="51">
        <v>3.2</v>
      </c>
      <c r="C29" s="54" t="s">
        <v>498</v>
      </c>
      <c r="D29" s="55">
        <f t="shared" ca="1" si="2"/>
        <v>81832.459531836372</v>
      </c>
      <c r="E29" s="51" t="s">
        <v>120</v>
      </c>
      <c r="F29" s="56">
        <f ca="1">SUM(F30:F32)</f>
        <v>544.10880920060515</v>
      </c>
      <c r="G29" s="56">
        <f t="shared" ref="G29:AA29" ca="1" si="9">SUM(G30:G32)</f>
        <v>1467.6835184088009</v>
      </c>
      <c r="H29" s="56">
        <f t="shared" ca="1" si="9"/>
        <v>5928.4106828760841</v>
      </c>
      <c r="I29" s="56">
        <f t="shared" ca="1" si="9"/>
        <v>5704.0921587257944</v>
      </c>
      <c r="J29" s="56">
        <f t="shared" ca="1" si="9"/>
        <v>5501.3530569966933</v>
      </c>
      <c r="K29" s="56">
        <f t="shared" ca="1" si="9"/>
        <v>5318.0342909934334</v>
      </c>
      <c r="L29" s="56">
        <f t="shared" ca="1" si="9"/>
        <v>5152.1926878402392</v>
      </c>
      <c r="M29" s="56">
        <f t="shared" ca="1" si="9"/>
        <v>4927.6372460097609</v>
      </c>
      <c r="N29" s="56">
        <f t="shared" ca="1" si="9"/>
        <v>4812.2147437488138</v>
      </c>
      <c r="O29" s="56">
        <f t="shared" ca="1" si="9"/>
        <v>4704.4198805933993</v>
      </c>
      <c r="P29" s="56">
        <f t="shared" ca="1" si="9"/>
        <v>4608.4414605191596</v>
      </c>
      <c r="Q29" s="56">
        <f t="shared" ca="1" si="9"/>
        <v>4523.3303712543084</v>
      </c>
      <c r="R29" s="63">
        <f t="shared" ca="1" si="9"/>
        <v>4496.7660368358711</v>
      </c>
      <c r="S29" s="56">
        <f t="shared" ca="1" si="9"/>
        <v>4452.3271182870812</v>
      </c>
      <c r="T29" s="56">
        <f t="shared" ca="1" si="9"/>
        <v>4408.719375133096</v>
      </c>
      <c r="U29" s="56">
        <f t="shared" ca="1" si="9"/>
        <v>4366.24494083847</v>
      </c>
      <c r="V29" s="56">
        <f t="shared" ca="1" si="9"/>
        <v>4324.7874747900132</v>
      </c>
      <c r="W29" s="56">
        <f t="shared" ca="1" si="9"/>
        <v>863.89366331389704</v>
      </c>
      <c r="X29" s="56">
        <f t="shared" ca="1" si="9"/>
        <v>1084.6497884291769</v>
      </c>
      <c r="Y29" s="56">
        <f t="shared" ca="1" si="9"/>
        <v>1284.163072509014</v>
      </c>
      <c r="Z29" s="56">
        <f t="shared" ca="1" si="9"/>
        <v>1464.5548437402035</v>
      </c>
      <c r="AA29" s="56">
        <f t="shared" ca="1" si="9"/>
        <v>1894.4343107924863</v>
      </c>
    </row>
    <row r="30" spans="2:27" x14ac:dyDescent="0.25">
      <c r="B30" s="51"/>
      <c r="C30" s="58" t="s">
        <v>547</v>
      </c>
      <c r="D30" s="55">
        <f t="shared" ca="1" si="2"/>
        <v>53965.972378247956</v>
      </c>
      <c r="E30" s="51" t="s">
        <v>120</v>
      </c>
      <c r="F30" s="56"/>
      <c r="G30" s="55"/>
      <c r="H30" s="55">
        <f ca="1">'表1-资金筹措及还本付息表'!H92</f>
        <v>3579.9514918831965</v>
      </c>
      <c r="I30" s="55">
        <f ca="1">'表1-资金筹措及还本付息表'!I92</f>
        <v>3579.9514918831965</v>
      </c>
      <c r="J30" s="55">
        <f ca="1">'表1-资金筹措及还本付息表'!J92</f>
        <v>3579.9514918831965</v>
      </c>
      <c r="K30" s="55">
        <f ca="1">'表1-资金筹措及还本付息表'!K92</f>
        <v>3579.9514918831965</v>
      </c>
      <c r="L30" s="55">
        <f ca="1">'表1-资金筹措及还本付息表'!L92</f>
        <v>3579.9514918831965</v>
      </c>
      <c r="M30" s="55">
        <f ca="1">'表1-资金筹措及还本付息表'!M92</f>
        <v>3579.9514918831965</v>
      </c>
      <c r="N30" s="55">
        <f ca="1">'表1-资金筹措及还本付息表'!N92</f>
        <v>3579.9514918831965</v>
      </c>
      <c r="O30" s="55">
        <f ca="1">'表1-资金筹措及还本付息表'!O92</f>
        <v>3579.9514918831965</v>
      </c>
      <c r="P30" s="55">
        <f ca="1">'表1-资金筹措及还本付息表'!P92</f>
        <v>3579.9514918831965</v>
      </c>
      <c r="Q30" s="55">
        <f ca="1">'表1-资金筹措及还本付息表'!Q92</f>
        <v>3579.9514918831965</v>
      </c>
      <c r="R30" s="57">
        <f ca="1">'表1-资金筹措及还本付息表'!R92</f>
        <v>3579.9514918831965</v>
      </c>
      <c r="S30" s="55">
        <f ca="1">'表1-资金筹措及还本付息表'!S92</f>
        <v>3579.9514918831965</v>
      </c>
      <c r="T30" s="55">
        <f ca="1">'表1-资金筹措及还本付息表'!T92</f>
        <v>3579.9514918831965</v>
      </c>
      <c r="U30" s="55">
        <f ca="1">'表1-资金筹措及还本付息表'!U92</f>
        <v>3579.9514918831965</v>
      </c>
      <c r="V30" s="55">
        <f ca="1">'表1-资金筹措及还本付息表'!V92</f>
        <v>3579.9514918831965</v>
      </c>
      <c r="W30" s="55">
        <f>'表1-资金筹措及还本付息表'!W92</f>
        <v>0</v>
      </c>
      <c r="X30" s="55">
        <f>'表1-资金筹措及还本付息表'!X92</f>
        <v>0</v>
      </c>
      <c r="Y30" s="55">
        <f>'表1-资金筹措及还本付息表'!Y92</f>
        <v>0</v>
      </c>
      <c r="Z30" s="55">
        <f>'表1-资金筹措及还本付息表'!Z92</f>
        <v>0</v>
      </c>
      <c r="AA30" s="55">
        <f>'表1-资金筹措及还本付息表'!AA92</f>
        <v>266.7</v>
      </c>
    </row>
    <row r="31" spans="2:27" x14ac:dyDescent="0.25">
      <c r="B31" s="51"/>
      <c r="C31" s="58" t="s">
        <v>548</v>
      </c>
      <c r="D31" s="55">
        <f t="shared" ca="1" si="2"/>
        <v>17207.608593518824</v>
      </c>
      <c r="E31" s="51" t="s">
        <v>120</v>
      </c>
      <c r="F31" s="56">
        <f ca="1">'表1-资金筹措及还本付息表'!F8</f>
        <v>544.10880920060515</v>
      </c>
      <c r="G31" s="55">
        <f ca="1">'表1-资金筹措及还本付息表'!G17</f>
        <v>1467.6835184088009</v>
      </c>
      <c r="H31" s="55">
        <f ca="1">'表1-资金筹措及还本付息表'!H93</f>
        <v>1887.4755332386783</v>
      </c>
      <c r="I31" s="55">
        <f ca="1">'表1-资金筹措及还本付息表'!I93</f>
        <v>1762.1772310227661</v>
      </c>
      <c r="J31" s="55">
        <f ca="1">'表1-资金筹措及还本付息表'!J93</f>
        <v>1636.8789288068542</v>
      </c>
      <c r="K31" s="55">
        <f ca="1">'表1-资金筹措及还本付息表'!K93</f>
        <v>1511.5806265909423</v>
      </c>
      <c r="L31" s="55">
        <f ca="1">'表1-资金筹措及还本付息表'!L93</f>
        <v>1386.2823243750302</v>
      </c>
      <c r="M31" s="55">
        <f ca="1">'表1-资金筹措及还本付息表'!M93</f>
        <v>1260.9840221591182</v>
      </c>
      <c r="N31" s="55">
        <f ca="1">'表1-资金筹措及还本付息表'!N93</f>
        <v>1135.6857199432063</v>
      </c>
      <c r="O31" s="55">
        <f ca="1">'表1-资金筹措及还本付息表'!O93</f>
        <v>1010.3874177272945</v>
      </c>
      <c r="P31" s="55">
        <f ca="1">'表1-资金筹措及还本付息表'!P93</f>
        <v>885.08911551138272</v>
      </c>
      <c r="Q31" s="55">
        <f ca="1">'表1-资金筹措及还本付息表'!Q93</f>
        <v>759.79081329547091</v>
      </c>
      <c r="R31" s="57">
        <f ca="1">'表1-资金筹措及还本付息表'!R93</f>
        <v>634.49251107955899</v>
      </c>
      <c r="S31" s="55">
        <f ca="1">'表1-资金筹措及还本付息表'!S93</f>
        <v>509.19420886364713</v>
      </c>
      <c r="T31" s="55">
        <f ca="1">'表1-资金筹措及还本付息表'!T93</f>
        <v>383.89590664773527</v>
      </c>
      <c r="U31" s="55">
        <f ca="1">'表1-资金筹措及还本付息表'!U93</f>
        <v>258.59760443182341</v>
      </c>
      <c r="V31" s="55">
        <f ca="1">'表1-资金筹措及还本付息表'!V93</f>
        <v>133.29930221591152</v>
      </c>
      <c r="W31" s="55">
        <f>'表1-资金筹措及还本付息表'!W93</f>
        <v>8.0009999999999994</v>
      </c>
      <c r="X31" s="55">
        <f>'表1-资金筹措及还本付息表'!X93</f>
        <v>8.0009999999999994</v>
      </c>
      <c r="Y31" s="55">
        <f>'表1-资金筹措及还本付息表'!Y93</f>
        <v>8.0009999999999994</v>
      </c>
      <c r="Z31" s="55">
        <f>'表1-资金筹措及还本付息表'!Z93</f>
        <v>8.0009999999999994</v>
      </c>
      <c r="AA31" s="55">
        <f>'表1-资金筹措及还本付息表'!AA93</f>
        <v>8.0009999999999994</v>
      </c>
    </row>
    <row r="32" spans="2:27" x14ac:dyDescent="0.25">
      <c r="B32" s="51"/>
      <c r="C32" s="58" t="s">
        <v>549</v>
      </c>
      <c r="D32" s="57">
        <f t="shared" ca="1" si="2"/>
        <v>10658.878560069628</v>
      </c>
      <c r="E32" s="51" t="s">
        <v>120</v>
      </c>
      <c r="F32" s="56"/>
      <c r="G32" s="55"/>
      <c r="H32" s="55">
        <f ca="1">'表5-利润表-资本金'!H31</f>
        <v>460.98365775420899</v>
      </c>
      <c r="I32" s="55">
        <f ca="1">'表5-利润表-资本金'!I31</f>
        <v>361.96343581983217</v>
      </c>
      <c r="J32" s="55">
        <f ca="1">'表5-利润表-资本金'!J31</f>
        <v>284.52263630664328</v>
      </c>
      <c r="K32" s="55">
        <f ca="1">'表5-利润表-资本金'!K31</f>
        <v>226.50217251929476</v>
      </c>
      <c r="L32" s="55">
        <f ca="1">'表5-利润表-资本金'!L31</f>
        <v>185.95887158201288</v>
      </c>
      <c r="M32" s="55">
        <f ca="1">'表5-利润表-资本金'!M31</f>
        <v>86.70173196744588</v>
      </c>
      <c r="N32" s="55">
        <f ca="1">'表5-利润表-资本金'!N31</f>
        <v>96.577531922411069</v>
      </c>
      <c r="O32" s="55">
        <f ca="1">'表5-利润表-资本金'!O31</f>
        <v>114.08097098290807</v>
      </c>
      <c r="P32" s="55">
        <f ca="1">'表5-利润表-资本金'!P31</f>
        <v>143.40085312458001</v>
      </c>
      <c r="Q32" s="55">
        <f ca="1">'表5-利润表-资本金'!Q31</f>
        <v>183.58806607564122</v>
      </c>
      <c r="R32" s="57">
        <f ca="1">'表5-利润表-资本金'!R31</f>
        <v>282.32203387311546</v>
      </c>
      <c r="S32" s="55">
        <f ca="1">'表5-利润表-资本金'!S31</f>
        <v>363.18141754023736</v>
      </c>
      <c r="T32" s="55">
        <f ca="1">'表5-利润表-资本金'!T31</f>
        <v>444.8719766021643</v>
      </c>
      <c r="U32" s="55">
        <f ca="1">'表5-利润表-资本金'!U31</f>
        <v>527.69584452345032</v>
      </c>
      <c r="V32" s="55">
        <f ca="1">'表5-利润表-资本金'!V31</f>
        <v>611.53668069090543</v>
      </c>
      <c r="W32" s="55">
        <f ca="1">'表5-利润表-资本金'!W31</f>
        <v>855.89266331389706</v>
      </c>
      <c r="X32" s="55">
        <f ca="1">'表5-利润表-资本金'!X31</f>
        <v>1076.6487884291769</v>
      </c>
      <c r="Y32" s="55">
        <f ca="1">'表5-利润表-资本金'!Y31</f>
        <v>1276.162072509014</v>
      </c>
      <c r="Z32" s="55">
        <f ca="1">'表5-利润表-资本金'!Z31</f>
        <v>1456.5538437402035</v>
      </c>
      <c r="AA32" s="55">
        <f ca="1">'表5-利润表-资本金'!AA31</f>
        <v>1619.7333107924862</v>
      </c>
    </row>
    <row r="33" spans="2:27" x14ac:dyDescent="0.25">
      <c r="B33" s="47" t="s">
        <v>343</v>
      </c>
      <c r="C33" s="49" t="s">
        <v>550</v>
      </c>
      <c r="D33" s="55">
        <f t="shared" ca="1" si="2"/>
        <v>22623.449945467826</v>
      </c>
      <c r="E33" s="51" t="s">
        <v>120</v>
      </c>
      <c r="F33" s="56">
        <f ca="1">F5+F17+F23</f>
        <v>0</v>
      </c>
      <c r="G33" s="56">
        <f t="shared" ref="G33:AA33" ca="1" si="10">G5+G17+G23</f>
        <v>0</v>
      </c>
      <c r="H33" s="56">
        <f t="shared" ca="1" si="10"/>
        <v>5894.3292654748302</v>
      </c>
      <c r="I33" s="56">
        <f t="shared" ca="1" si="10"/>
        <v>-168.96172980373558</v>
      </c>
      <c r="J33" s="56">
        <f t="shared" ca="1" si="10"/>
        <v>38.806537725362432</v>
      </c>
      <c r="K33" s="56">
        <f t="shared" ca="1" si="10"/>
        <v>227.14010028252233</v>
      </c>
      <c r="L33" s="56">
        <f t="shared" ca="1" si="10"/>
        <v>397.98219540512582</v>
      </c>
      <c r="M33" s="56">
        <f t="shared" ca="1" si="10"/>
        <v>-307.13867439332353</v>
      </c>
      <c r="N33" s="56">
        <f t="shared" ca="1" si="10"/>
        <v>822.97534352549974</v>
      </c>
      <c r="O33" s="56">
        <f t="shared" ca="1" si="10"/>
        <v>372.29993206692961</v>
      </c>
      <c r="P33" s="56">
        <f t="shared" ca="1" si="10"/>
        <v>454.93866134833479</v>
      </c>
      <c r="Q33" s="56">
        <f t="shared" ca="1" si="10"/>
        <v>552.744638632842</v>
      </c>
      <c r="R33" s="63">
        <f t="shared" ca="1" si="10"/>
        <v>300.04084178647372</v>
      </c>
      <c r="S33" s="56">
        <f t="shared" ca="1" si="10"/>
        <v>-217.82632791746437</v>
      </c>
      <c r="T33" s="56">
        <f t="shared" ca="1" si="10"/>
        <v>242.04003092144012</v>
      </c>
      <c r="U33" s="56">
        <f t="shared" ca="1" si="10"/>
        <v>262.57577150628003</v>
      </c>
      <c r="V33" s="56">
        <f t="shared" ca="1" si="10"/>
        <v>282.06110243102739</v>
      </c>
      <c r="W33" s="56">
        <f t="shared" ca="1" si="10"/>
        <v>3129.8277426059935</v>
      </c>
      <c r="X33" s="56">
        <f t="shared" ca="1" si="10"/>
        <v>2918.3576258750199</v>
      </c>
      <c r="Y33" s="56">
        <f t="shared" ca="1" si="10"/>
        <v>2728.0973581961302</v>
      </c>
      <c r="Z33" s="56">
        <f t="shared" ca="1" si="10"/>
        <v>2556.9257598464515</v>
      </c>
      <c r="AA33" s="56">
        <f t="shared" ca="1" si="10"/>
        <v>2136.2337699520822</v>
      </c>
    </row>
    <row r="34" spans="2:27" x14ac:dyDescent="0.25">
      <c r="B34" s="47" t="s">
        <v>551</v>
      </c>
      <c r="C34" s="64" t="s">
        <v>552</v>
      </c>
      <c r="D34" s="55"/>
      <c r="E34" s="51" t="s">
        <v>120</v>
      </c>
      <c r="F34" s="56">
        <f ca="1">F33</f>
        <v>0</v>
      </c>
      <c r="G34" s="56">
        <f ca="1">F34+G33</f>
        <v>0</v>
      </c>
      <c r="H34" s="56">
        <f ca="1">G34+H33</f>
        <v>5894.3292654748302</v>
      </c>
      <c r="I34" s="56">
        <f t="shared" ref="I34:AA34" ca="1" si="11">H34+I33</f>
        <v>5725.3675356710946</v>
      </c>
      <c r="J34" s="56">
        <f t="shared" ca="1" si="11"/>
        <v>5764.1740733964571</v>
      </c>
      <c r="K34" s="56">
        <f t="shared" ca="1" si="11"/>
        <v>5991.3141736789794</v>
      </c>
      <c r="L34" s="56">
        <f t="shared" ca="1" si="11"/>
        <v>6389.2963690841052</v>
      </c>
      <c r="M34" s="56">
        <f t="shared" ca="1" si="11"/>
        <v>6082.1576946907817</v>
      </c>
      <c r="N34" s="56">
        <f t="shared" ca="1" si="11"/>
        <v>6905.1330382162814</v>
      </c>
      <c r="O34" s="56">
        <f t="shared" ca="1" si="11"/>
        <v>7277.432970283211</v>
      </c>
      <c r="P34" s="56">
        <f t="shared" ca="1" si="11"/>
        <v>7732.3716316315458</v>
      </c>
      <c r="Q34" s="56">
        <f t="shared" ca="1" si="11"/>
        <v>8285.1162702643887</v>
      </c>
      <c r="R34" s="63">
        <f t="shared" ca="1" si="11"/>
        <v>8585.1571120508634</v>
      </c>
      <c r="S34" s="56">
        <f t="shared" ca="1" si="11"/>
        <v>8367.330784133399</v>
      </c>
      <c r="T34" s="56">
        <f t="shared" ca="1" si="11"/>
        <v>8609.3708150548391</v>
      </c>
      <c r="U34" s="56">
        <f t="shared" ca="1" si="11"/>
        <v>8871.9465865611201</v>
      </c>
      <c r="V34" s="56">
        <f t="shared" ca="1" si="11"/>
        <v>9154.0076889921475</v>
      </c>
      <c r="W34" s="56">
        <f t="shared" ca="1" si="11"/>
        <v>12283.835431598141</v>
      </c>
      <c r="X34" s="56">
        <f t="shared" ca="1" si="11"/>
        <v>15202.193057473161</v>
      </c>
      <c r="Y34" s="56">
        <f t="shared" ca="1" si="11"/>
        <v>17930.290415669293</v>
      </c>
      <c r="Z34" s="56">
        <f t="shared" ca="1" si="11"/>
        <v>20487.216175515743</v>
      </c>
      <c r="AA34" s="56">
        <f t="shared" ca="1" si="11"/>
        <v>22623.449945467826</v>
      </c>
    </row>
    <row r="37" spans="2:27" ht="21.5" x14ac:dyDescent="0.25">
      <c r="C37" s="65"/>
    </row>
    <row r="41" spans="2:27" x14ac:dyDescent="0.25">
      <c r="C41" s="44" t="s">
        <v>553</v>
      </c>
      <c r="H41" s="44">
        <f ca="1">H5+H17+(H25+H27-H30-H32-H31)</f>
        <v>5894.3292654748302</v>
      </c>
      <c r="I41" s="44">
        <f ca="1">I5+I17+(I25+I27-I30-I32-I31+'表3-成本费用表'!I23)+H34</f>
        <v>5725.3675356710946</v>
      </c>
      <c r="J41" s="44">
        <f ca="1">J5+J17+(J25+J27-J30-J32-J31+'表3-成本费用表'!J23)+I34</f>
        <v>5764.1740733964571</v>
      </c>
      <c r="K41" s="44">
        <f ca="1">K5+K17+(K25+K27-K30-K32-K31+'表3-成本费用表'!K23)+J34</f>
        <v>5991.3141736789794</v>
      </c>
      <c r="L41" s="44">
        <f ca="1">L5+L17+(L25+L27-L30-L32-L31+'表3-成本费用表'!L23)+K34</f>
        <v>6389.2963690841052</v>
      </c>
      <c r="M41" s="44">
        <f ca="1">M5+M17+(M25+M27-M30-M32-M31+'表3-成本费用表'!M23)+L34</f>
        <v>6082.1576946907817</v>
      </c>
      <c r="N41" s="44">
        <f ca="1">N5+N17+(N25+N27-N30-N32-N31+'表3-成本费用表'!N23)+M34</f>
        <v>6905.1330382162814</v>
      </c>
      <c r="O41" s="44">
        <f ca="1">O5+O17+(O25+O27-O30-O32-O31+'表3-成本费用表'!O23)+N34</f>
        <v>7277.432970283211</v>
      </c>
      <c r="P41" s="44">
        <f ca="1">P5+P17+(P25+P27-P30-P32-P31+'表3-成本费用表'!P23)+O34</f>
        <v>7732.3716316315458</v>
      </c>
      <c r="Q41" s="44">
        <f ca="1">Q5+Q17+(Q25+Q27-Q30-Q32-Q31+'表3-成本费用表'!Q23)+P34</f>
        <v>8285.1162702643887</v>
      </c>
      <c r="R41" s="44">
        <f ca="1">R5+R17+(R25+R27-R30-R32-R31+'表3-成本费用表'!R23)+Q34</f>
        <v>8585.1571120508634</v>
      </c>
      <c r="S41" s="44">
        <f ca="1">S5+S17+(S25+S27-S30-S32-S31+'表3-成本费用表'!S23)+R34</f>
        <v>8367.330784133399</v>
      </c>
      <c r="T41" s="44">
        <f ca="1">T5+T17+(T25+T27-T30-T32-T31+'表3-成本费用表'!T23)+S34</f>
        <v>8609.3708150548391</v>
      </c>
      <c r="U41" s="44">
        <f ca="1">U5+U17+(U25+U27-U30-U32-U31+'表3-成本费用表'!U23)+T34</f>
        <v>8871.9465865611201</v>
      </c>
      <c r="V41" s="44">
        <f ca="1">V5+V17+(V25+V27-V30-V32-V31+'表3-成本费用表'!V23)+U34</f>
        <v>9154.0076889921475</v>
      </c>
      <c r="W41" s="44">
        <f ca="1">W5+W17+(W25+W27-W30-W32-W31+'表3-成本费用表'!W23)+V34</f>
        <v>12283.835431598141</v>
      </c>
      <c r="X41" s="44">
        <f ca="1">X5+X17+(X25+X27-X30-X32-X31+'表3-成本费用表'!X23)+W34</f>
        <v>15202.193057473161</v>
      </c>
      <c r="Y41" s="44">
        <f ca="1">Y5+Y17+(Y25+Y27-Y30-Y32-Y31+'表3-成本费用表'!Y23)+X34</f>
        <v>17930.290415669293</v>
      </c>
      <c r="Z41" s="44">
        <f ca="1">Z5+Z17+(Z25+Z27-Z30-Z32-Z31+'表3-成本费用表'!Z23)+Y34</f>
        <v>20487.216175515743</v>
      </c>
      <c r="AA41" s="44">
        <f ca="1">AA5+AA17+(AA25+AA27-AA30-AA32-AA31+'表3-成本费用表'!AA23)+Z34</f>
        <v>22623.449945467826</v>
      </c>
    </row>
    <row r="42" spans="2:27" x14ac:dyDescent="0.25">
      <c r="C42" s="44" t="s">
        <v>554</v>
      </c>
      <c r="H42" s="44">
        <f>0</f>
        <v>0</v>
      </c>
      <c r="I42" s="44">
        <f t="shared" ref="I42:R42" si="12">0</f>
        <v>0</v>
      </c>
      <c r="J42" s="44">
        <f t="shared" si="12"/>
        <v>0</v>
      </c>
      <c r="K42" s="44">
        <f t="shared" si="12"/>
        <v>0</v>
      </c>
      <c r="L42" s="44">
        <f t="shared" si="12"/>
        <v>0</v>
      </c>
      <c r="M42" s="44">
        <f t="shared" si="12"/>
        <v>0</v>
      </c>
      <c r="N42" s="44">
        <f t="shared" si="12"/>
        <v>0</v>
      </c>
      <c r="O42" s="44">
        <f t="shared" si="12"/>
        <v>0</v>
      </c>
      <c r="P42" s="44">
        <f t="shared" si="12"/>
        <v>0</v>
      </c>
      <c r="Q42" s="44">
        <f t="shared" si="12"/>
        <v>0</v>
      </c>
      <c r="R42" s="44">
        <f t="shared" si="12"/>
        <v>0</v>
      </c>
      <c r="S42" s="44">
        <f t="shared" ref="S42:AA42" si="13">0</f>
        <v>0</v>
      </c>
      <c r="T42" s="44">
        <f t="shared" si="13"/>
        <v>0</v>
      </c>
      <c r="U42" s="44">
        <f t="shared" si="13"/>
        <v>0</v>
      </c>
      <c r="V42" s="44">
        <f t="shared" si="13"/>
        <v>0</v>
      </c>
      <c r="W42" s="44">
        <f t="shared" si="13"/>
        <v>0</v>
      </c>
      <c r="X42" s="44">
        <f t="shared" si="13"/>
        <v>0</v>
      </c>
      <c r="Y42" s="44">
        <f t="shared" si="13"/>
        <v>0</v>
      </c>
      <c r="Z42" s="44">
        <f t="shared" si="13"/>
        <v>0</v>
      </c>
      <c r="AA42" s="44">
        <f t="shared" si="13"/>
        <v>0</v>
      </c>
    </row>
  </sheetData>
  <mergeCells count="6">
    <mergeCell ref="F3:G3"/>
    <mergeCell ref="H3:AA3"/>
    <mergeCell ref="B3:B4"/>
    <mergeCell ref="C3:C4"/>
    <mergeCell ref="D3:D4"/>
    <mergeCell ref="E3:E4"/>
  </mergeCells>
  <phoneticPr fontId="65" type="noConversion"/>
  <pageMargins left="0.7" right="0.7" top="0.75" bottom="0.75" header="0.3" footer="0.3"/>
  <pageSetup paperSize="9" orientation="portrait"/>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Z129"/>
  <sheetViews>
    <sheetView showGridLines="0" zoomScale="60" zoomScaleNormal="60" workbookViewId="0">
      <pane xSplit="3" ySplit="4" topLeftCell="D105" activePane="bottomRight" state="frozen"/>
      <selection pane="topRight"/>
      <selection pane="bottomLeft"/>
      <selection pane="bottomRight" activeCell="H108" sqref="H108"/>
    </sheetView>
  </sheetViews>
  <sheetFormatPr defaultColWidth="8.81640625" defaultRowHeight="15" x14ac:dyDescent="0.25"/>
  <cols>
    <col min="1" max="1" width="3.453125" style="16" customWidth="1"/>
    <col min="2" max="2" width="8.54296875" style="17" customWidth="1"/>
    <col min="3" max="3" width="31.54296875" style="16" customWidth="1"/>
    <col min="4" max="4" width="8.81640625" style="17"/>
    <col min="5" max="5" width="13" style="16" customWidth="1"/>
    <col min="6" max="6" width="13.1796875" style="16" customWidth="1"/>
    <col min="7" max="7" width="15.1796875" style="16" customWidth="1"/>
    <col min="8" max="13" width="17.453125" style="16" customWidth="1"/>
    <col min="14" max="26" width="15.81640625" style="16" customWidth="1"/>
    <col min="27" max="16384" width="8.81640625" style="16"/>
  </cols>
  <sheetData>
    <row r="1" spans="2:26" ht="5.5" customHeight="1" x14ac:dyDescent="0.25"/>
    <row r="2" spans="2:26" ht="7.25" customHeight="1" x14ac:dyDescent="0.25"/>
    <row r="3" spans="2:26" x14ac:dyDescent="0.25">
      <c r="B3" s="447" t="s">
        <v>14</v>
      </c>
      <c r="C3" s="447" t="s">
        <v>318</v>
      </c>
      <c r="D3" s="448" t="s">
        <v>38</v>
      </c>
      <c r="E3" s="447" t="s">
        <v>93</v>
      </c>
      <c r="F3" s="447"/>
      <c r="G3" s="447" t="s">
        <v>103</v>
      </c>
      <c r="H3" s="447"/>
      <c r="I3" s="447"/>
      <c r="J3" s="447"/>
      <c r="K3" s="447"/>
      <c r="L3" s="447"/>
      <c r="M3" s="447"/>
      <c r="N3" s="447"/>
      <c r="O3" s="447"/>
      <c r="P3" s="447"/>
      <c r="Q3" s="447"/>
      <c r="R3" s="447"/>
      <c r="S3" s="447"/>
      <c r="T3" s="447"/>
      <c r="U3" s="447"/>
      <c r="V3" s="447"/>
      <c r="W3" s="447"/>
      <c r="X3" s="447"/>
      <c r="Y3" s="447"/>
      <c r="Z3" s="447"/>
    </row>
    <row r="4" spans="2:26" x14ac:dyDescent="0.25">
      <c r="B4" s="447"/>
      <c r="C4" s="447"/>
      <c r="D4" s="449"/>
      <c r="E4" s="18">
        <v>1</v>
      </c>
      <c r="F4" s="18">
        <v>2</v>
      </c>
      <c r="G4" s="18">
        <v>1</v>
      </c>
      <c r="H4" s="18">
        <v>2</v>
      </c>
      <c r="I4" s="18">
        <v>3</v>
      </c>
      <c r="J4" s="18">
        <v>4</v>
      </c>
      <c r="K4" s="18">
        <v>5</v>
      </c>
      <c r="L4" s="18">
        <v>6</v>
      </c>
      <c r="M4" s="18">
        <v>7</v>
      </c>
      <c r="N4" s="18">
        <v>8</v>
      </c>
      <c r="O4" s="18">
        <v>9</v>
      </c>
      <c r="P4" s="18">
        <v>10</v>
      </c>
      <c r="Q4" s="18">
        <v>11</v>
      </c>
      <c r="R4" s="18">
        <v>12</v>
      </c>
      <c r="S4" s="18">
        <v>13</v>
      </c>
      <c r="T4" s="18">
        <v>14</v>
      </c>
      <c r="U4" s="18">
        <v>15</v>
      </c>
      <c r="V4" s="18">
        <v>16</v>
      </c>
      <c r="W4" s="18">
        <v>17</v>
      </c>
      <c r="X4" s="18">
        <v>18</v>
      </c>
      <c r="Y4" s="18">
        <v>19</v>
      </c>
      <c r="Z4" s="18">
        <v>20</v>
      </c>
    </row>
    <row r="5" spans="2:26" ht="22.75" customHeight="1" x14ac:dyDescent="0.25">
      <c r="B5" s="19">
        <v>1</v>
      </c>
      <c r="C5" s="20" t="s">
        <v>555</v>
      </c>
      <c r="D5" s="21" t="s">
        <v>120</v>
      </c>
      <c r="E5" s="22">
        <f ca="1">E6+E31</f>
        <v>39711.142809200603</v>
      </c>
      <c r="F5" s="22">
        <f ca="1">F6+F31</f>
        <v>67290.182327609407</v>
      </c>
      <c r="G5" s="22">
        <f ca="1">G6+G31</f>
        <v>65337.490379127754</v>
      </c>
      <c r="H5" s="22">
        <f t="shared" ref="H5:Z5" ca="1" si="0">H6+H31</f>
        <v>61397.517435367532</v>
      </c>
      <c r="I5" s="22">
        <f t="shared" ca="1" si="0"/>
        <v>57665.312759136395</v>
      </c>
      <c r="J5" s="22">
        <f t="shared" ca="1" si="0"/>
        <v>54121.441645462437</v>
      </c>
      <c r="K5" s="22">
        <f t="shared" ca="1" si="0"/>
        <v>50748.412626911078</v>
      </c>
      <c r="L5" s="22">
        <f t="shared" ca="1" si="0"/>
        <v>46670.262738561265</v>
      </c>
      <c r="M5" s="22">
        <f t="shared" ca="1" si="0"/>
        <v>43722.226868130281</v>
      </c>
      <c r="N5" s="22">
        <f t="shared" ca="1" si="0"/>
        <v>40323.515586240726</v>
      </c>
      <c r="O5" s="22">
        <f t="shared" ca="1" si="0"/>
        <v>37007.443033632575</v>
      </c>
      <c r="P5" s="22">
        <f t="shared" ca="1" si="0"/>
        <v>33789.176458308932</v>
      </c>
      <c r="Q5" s="22">
        <f t="shared" ca="1" si="0"/>
        <v>31175.596985762593</v>
      </c>
      <c r="R5" s="22">
        <f t="shared" ca="1" si="0"/>
        <v>28444.592821388422</v>
      </c>
      <c r="S5" s="22">
        <f t="shared" ca="1" si="0"/>
        <v>25730.977139746959</v>
      </c>
      <c r="T5" s="22">
        <f t="shared" ca="1" si="0"/>
        <v>23037.897198690331</v>
      </c>
      <c r="U5" s="22">
        <f t="shared" ca="1" si="0"/>
        <v>20364.30258855845</v>
      </c>
      <c r="V5" s="22">
        <f t="shared" ca="1" si="0"/>
        <v>22902.961599601025</v>
      </c>
      <c r="W5" s="22">
        <f t="shared" ca="1" si="0"/>
        <v>25230.150493912624</v>
      </c>
      <c r="X5" s="22">
        <f t="shared" ca="1" si="0"/>
        <v>27367.079120545335</v>
      </c>
      <c r="Y5" s="22">
        <f t="shared" ca="1" si="0"/>
        <v>29332.836148828363</v>
      </c>
      <c r="Z5" s="22">
        <f t="shared" ca="1" si="0"/>
        <v>30877.901187217027</v>
      </c>
    </row>
    <row r="6" spans="2:26" x14ac:dyDescent="0.25">
      <c r="B6" s="18">
        <v>1.1000000000000001</v>
      </c>
      <c r="C6" s="23" t="s">
        <v>319</v>
      </c>
      <c r="D6" s="21" t="s">
        <v>120</v>
      </c>
      <c r="E6" s="24">
        <f ca="1">SUM(E7:E21)+E23+E24+SUM(E27:E30)</f>
        <v>0</v>
      </c>
      <c r="F6" s="24">
        <f t="shared" ref="F6:Z6" ca="1" si="1">SUM(F7:F21)+F23+F24+SUM(F27:F30)</f>
        <v>0</v>
      </c>
      <c r="G6" s="24">
        <f t="shared" ca="1" si="1"/>
        <v>6275.3292654748302</v>
      </c>
      <c r="H6" s="24">
        <f t="shared" ca="1" si="1"/>
        <v>6106.3675356710946</v>
      </c>
      <c r="I6" s="24">
        <f t="shared" ca="1" si="1"/>
        <v>6145.1740733964571</v>
      </c>
      <c r="J6" s="24">
        <f t="shared" ca="1" si="1"/>
        <v>6372.3141736789794</v>
      </c>
      <c r="K6" s="24">
        <f t="shared" ca="1" si="1"/>
        <v>6770.2963690841052</v>
      </c>
      <c r="L6" s="24">
        <f t="shared" ca="1" si="1"/>
        <v>6463.1576946907817</v>
      </c>
      <c r="M6" s="24">
        <f t="shared" ca="1" si="1"/>
        <v>7286.1330382162814</v>
      </c>
      <c r="N6" s="24">
        <f t="shared" ca="1" si="1"/>
        <v>7658.432970283211</v>
      </c>
      <c r="O6" s="24">
        <f t="shared" ca="1" si="1"/>
        <v>8113.3716316315458</v>
      </c>
      <c r="P6" s="24">
        <f t="shared" ca="1" si="1"/>
        <v>8666.1162702643887</v>
      </c>
      <c r="Q6" s="24">
        <f t="shared" ca="1" si="1"/>
        <v>8966.1571120508634</v>
      </c>
      <c r="R6" s="24">
        <f t="shared" ca="1" si="1"/>
        <v>8748.330784133399</v>
      </c>
      <c r="S6" s="24">
        <f t="shared" ca="1" si="1"/>
        <v>8990.3708150548391</v>
      </c>
      <c r="T6" s="24">
        <f t="shared" ca="1" si="1"/>
        <v>9252.9465865611201</v>
      </c>
      <c r="U6" s="24">
        <f t="shared" ca="1" si="1"/>
        <v>9535.0076889921475</v>
      </c>
      <c r="V6" s="24">
        <f t="shared" ca="1" si="1"/>
        <v>12664.835431598141</v>
      </c>
      <c r="W6" s="24">
        <f t="shared" ca="1" si="1"/>
        <v>15583.193057473161</v>
      </c>
      <c r="X6" s="24">
        <f t="shared" ca="1" si="1"/>
        <v>18311.290415669293</v>
      </c>
      <c r="Y6" s="24">
        <f t="shared" ca="1" si="1"/>
        <v>20868.216175515743</v>
      </c>
      <c r="Z6" s="24">
        <f t="shared" ca="1" si="1"/>
        <v>23004.449945467826</v>
      </c>
    </row>
    <row r="7" spans="2:26" x14ac:dyDescent="0.25">
      <c r="B7" s="21"/>
      <c r="C7" s="25" t="s">
        <v>556</v>
      </c>
      <c r="D7" s="21" t="s">
        <v>120</v>
      </c>
      <c r="E7" s="26">
        <f ca="1">'表9-现金流量表-财务计划'!F34</f>
        <v>0</v>
      </c>
      <c r="F7" s="26">
        <f ca="1">'表9-现金流量表-财务计划'!G34</f>
        <v>0</v>
      </c>
      <c r="G7" s="26">
        <f ca="1">'表9-现金流量表-财务计划'!H34+'表1-资金筹措及还本付息表'!$H$6</f>
        <v>6275.3292654748302</v>
      </c>
      <c r="H7" s="26">
        <f ca="1">'表9-现金流量表-财务计划'!I34+'表1-资金筹措及还本付息表'!$H$6</f>
        <v>6106.3675356710946</v>
      </c>
      <c r="I7" s="26">
        <f ca="1">'表9-现金流量表-财务计划'!J34+'表1-资金筹措及还本付息表'!$H$6</f>
        <v>6145.1740733964571</v>
      </c>
      <c r="J7" s="26">
        <f ca="1">'表9-现金流量表-财务计划'!K34+'表1-资金筹措及还本付息表'!$H$6</f>
        <v>6372.3141736789794</v>
      </c>
      <c r="K7" s="26">
        <f ca="1">'表9-现金流量表-财务计划'!L34+'表1-资金筹措及还本付息表'!$H$6</f>
        <v>6770.2963690841052</v>
      </c>
      <c r="L7" s="26">
        <f ca="1">'表9-现金流量表-财务计划'!M34+'表1-资金筹措及还本付息表'!$H$6</f>
        <v>6463.1576946907817</v>
      </c>
      <c r="M7" s="26">
        <f ca="1">'表9-现金流量表-财务计划'!N34+'表1-资金筹措及还本付息表'!$H$6</f>
        <v>7286.1330382162814</v>
      </c>
      <c r="N7" s="26">
        <f ca="1">'表9-现金流量表-财务计划'!O34+'表1-资金筹措及还本付息表'!$H$6</f>
        <v>7658.432970283211</v>
      </c>
      <c r="O7" s="26">
        <f ca="1">'表9-现金流量表-财务计划'!P34+'表1-资金筹措及还本付息表'!$H$6</f>
        <v>8113.3716316315458</v>
      </c>
      <c r="P7" s="26">
        <f ca="1">'表9-现金流量表-财务计划'!Q34+'表1-资金筹措及还本付息表'!$H$6</f>
        <v>8666.1162702643887</v>
      </c>
      <c r="Q7" s="26">
        <f ca="1">'表9-现金流量表-财务计划'!R34+'表1-资金筹措及还本付息表'!$H$6</f>
        <v>8966.1571120508634</v>
      </c>
      <c r="R7" s="26">
        <f ca="1">'表9-现金流量表-财务计划'!S34+'表1-资金筹措及还本付息表'!$H$6</f>
        <v>8748.330784133399</v>
      </c>
      <c r="S7" s="26">
        <f ca="1">'表9-现金流量表-财务计划'!T34+'表1-资金筹措及还本付息表'!$H$6</f>
        <v>8990.3708150548391</v>
      </c>
      <c r="T7" s="26">
        <f ca="1">'表9-现金流量表-财务计划'!U34+'表1-资金筹措及还本付息表'!$H$6</f>
        <v>9252.9465865611201</v>
      </c>
      <c r="U7" s="26">
        <f ca="1">'表9-现金流量表-财务计划'!V34+'表1-资金筹措及还本付息表'!$H$6</f>
        <v>9535.0076889921475</v>
      </c>
      <c r="V7" s="26">
        <f ca="1">'表9-现金流量表-财务计划'!W34+'表1-资金筹措及还本付息表'!$H$6</f>
        <v>12664.835431598141</v>
      </c>
      <c r="W7" s="26">
        <f ca="1">'表9-现金流量表-财务计划'!X34+'表1-资金筹措及还本付息表'!$H$6</f>
        <v>15583.193057473161</v>
      </c>
      <c r="X7" s="26">
        <f ca="1">'表9-现金流量表-财务计划'!Y34+'表1-资金筹措及还本付息表'!$H$6</f>
        <v>18311.290415669293</v>
      </c>
      <c r="Y7" s="26">
        <f ca="1">'表9-现金流量表-财务计划'!Z34+'表1-资金筹措及还本付息表'!$H$6</f>
        <v>20868.216175515743</v>
      </c>
      <c r="Z7" s="26">
        <f ca="1">'表9-现金流量表-财务计划'!AA34+'表1-资金筹措及还本付息表'!$H$6</f>
        <v>23004.449945467826</v>
      </c>
    </row>
    <row r="8" spans="2:26" x14ac:dyDescent="0.25">
      <c r="B8" s="21"/>
      <c r="C8" s="25" t="s">
        <v>557</v>
      </c>
      <c r="D8" s="21" t="s">
        <v>120</v>
      </c>
      <c r="E8" s="26"/>
      <c r="F8" s="26"/>
      <c r="G8" s="26"/>
      <c r="H8" s="26"/>
      <c r="I8" s="26"/>
      <c r="J8" s="26"/>
      <c r="K8" s="26"/>
      <c r="L8" s="26"/>
      <c r="M8" s="26"/>
      <c r="N8" s="26"/>
      <c r="O8" s="26"/>
      <c r="P8" s="26"/>
      <c r="Q8" s="26"/>
      <c r="R8" s="26"/>
      <c r="S8" s="26"/>
      <c r="T8" s="26"/>
      <c r="U8" s="26"/>
      <c r="V8" s="26"/>
      <c r="W8" s="26"/>
      <c r="X8" s="26"/>
      <c r="Y8" s="26"/>
      <c r="Z8" s="26"/>
    </row>
    <row r="9" spans="2:26" x14ac:dyDescent="0.25">
      <c r="B9" s="21"/>
      <c r="C9" s="25" t="s">
        <v>558</v>
      </c>
      <c r="D9" s="21" t="s">
        <v>120</v>
      </c>
      <c r="E9" s="26"/>
      <c r="F9" s="26"/>
      <c r="G9" s="26"/>
      <c r="H9" s="26"/>
      <c r="I9" s="26"/>
      <c r="J9" s="26"/>
      <c r="K9" s="26"/>
      <c r="L9" s="26"/>
      <c r="M9" s="26"/>
      <c r="N9" s="26"/>
      <c r="O9" s="26"/>
      <c r="P9" s="26"/>
      <c r="Q9" s="26"/>
      <c r="R9" s="26"/>
      <c r="S9" s="26"/>
      <c r="T9" s="26"/>
      <c r="U9" s="26"/>
      <c r="V9" s="26"/>
      <c r="W9" s="26"/>
      <c r="X9" s="26"/>
      <c r="Y9" s="26"/>
      <c r="Z9" s="26"/>
    </row>
    <row r="10" spans="2:26" x14ac:dyDescent="0.25">
      <c r="B10" s="21"/>
      <c r="C10" s="25" t="s">
        <v>559</v>
      </c>
      <c r="D10" s="21" t="s">
        <v>120</v>
      </c>
      <c r="E10" s="26"/>
      <c r="F10" s="26"/>
      <c r="G10" s="26"/>
      <c r="H10" s="26"/>
      <c r="I10" s="26"/>
      <c r="J10" s="26"/>
      <c r="K10" s="26"/>
      <c r="L10" s="26"/>
      <c r="M10" s="26"/>
      <c r="N10" s="26"/>
      <c r="O10" s="26"/>
      <c r="P10" s="26"/>
      <c r="Q10" s="26"/>
      <c r="R10" s="26"/>
      <c r="S10" s="26"/>
      <c r="T10" s="26"/>
      <c r="U10" s="26"/>
      <c r="V10" s="26"/>
      <c r="W10" s="26"/>
      <c r="X10" s="26"/>
      <c r="Y10" s="26"/>
      <c r="Z10" s="26"/>
    </row>
    <row r="11" spans="2:26" x14ac:dyDescent="0.25">
      <c r="B11" s="21"/>
      <c r="C11" s="25" t="s">
        <v>560</v>
      </c>
      <c r="D11" s="21" t="s">
        <v>120</v>
      </c>
      <c r="E11" s="26"/>
      <c r="F11" s="26"/>
      <c r="G11" s="26"/>
      <c r="H11" s="26"/>
      <c r="I11" s="26"/>
      <c r="J11" s="26"/>
      <c r="K11" s="26"/>
      <c r="L11" s="26"/>
      <c r="M11" s="26"/>
      <c r="N11" s="26"/>
      <c r="O11" s="26"/>
      <c r="P11" s="26"/>
      <c r="Q11" s="26"/>
      <c r="R11" s="26"/>
      <c r="S11" s="26"/>
      <c r="T11" s="26"/>
      <c r="U11" s="26"/>
      <c r="V11" s="26"/>
      <c r="W11" s="26"/>
      <c r="X11" s="26"/>
      <c r="Y11" s="26"/>
      <c r="Z11" s="26"/>
    </row>
    <row r="12" spans="2:26" x14ac:dyDescent="0.25">
      <c r="B12" s="21"/>
      <c r="C12" s="25" t="s">
        <v>561</v>
      </c>
      <c r="D12" s="21" t="s">
        <v>120</v>
      </c>
      <c r="E12" s="26"/>
      <c r="F12" s="26"/>
      <c r="G12" s="26"/>
      <c r="H12" s="26"/>
      <c r="I12" s="26"/>
      <c r="J12" s="26"/>
      <c r="K12" s="26"/>
      <c r="L12" s="26"/>
      <c r="M12" s="26"/>
      <c r="N12" s="26"/>
      <c r="O12" s="26"/>
      <c r="P12" s="26"/>
      <c r="Q12" s="26"/>
      <c r="R12" s="26"/>
      <c r="S12" s="26"/>
      <c r="T12" s="26"/>
      <c r="U12" s="26"/>
      <c r="V12" s="26"/>
      <c r="W12" s="26"/>
      <c r="X12" s="26"/>
      <c r="Y12" s="26"/>
      <c r="Z12" s="26"/>
    </row>
    <row r="13" spans="2:26" x14ac:dyDescent="0.25">
      <c r="B13" s="21"/>
      <c r="C13" s="25" t="s">
        <v>562</v>
      </c>
      <c r="D13" s="21" t="s">
        <v>120</v>
      </c>
      <c r="E13" s="26"/>
      <c r="F13" s="26"/>
      <c r="G13" s="26"/>
      <c r="H13" s="26"/>
      <c r="I13" s="26"/>
      <c r="J13" s="26"/>
      <c r="K13" s="26"/>
      <c r="L13" s="26"/>
      <c r="M13" s="26"/>
      <c r="N13" s="26"/>
      <c r="O13" s="26"/>
      <c r="P13" s="26"/>
      <c r="Q13" s="26"/>
      <c r="R13" s="26"/>
      <c r="S13" s="26"/>
      <c r="T13" s="26"/>
      <c r="U13" s="26"/>
      <c r="V13" s="26"/>
      <c r="W13" s="26"/>
      <c r="X13" s="26"/>
      <c r="Y13" s="26"/>
      <c r="Z13" s="26"/>
    </row>
    <row r="14" spans="2:26" x14ac:dyDescent="0.25">
      <c r="B14" s="21"/>
      <c r="C14" s="25" t="s">
        <v>563</v>
      </c>
      <c r="D14" s="21" t="s">
        <v>120</v>
      </c>
      <c r="E14" s="26"/>
      <c r="F14" s="26"/>
      <c r="G14" s="26">
        <f>'表4-收入税金表'!H54</f>
        <v>0</v>
      </c>
      <c r="H14" s="26">
        <f>'表4-收入税金表'!I54</f>
        <v>0</v>
      </c>
      <c r="I14" s="26">
        <f>'表4-收入税金表'!J54</f>
        <v>0</v>
      </c>
      <c r="J14" s="26">
        <f>'表4-收入税金表'!K54</f>
        <v>0</v>
      </c>
      <c r="K14" s="26">
        <f>'表4-收入税金表'!L54</f>
        <v>0</v>
      </c>
      <c r="L14" s="26">
        <f>'表4-收入税金表'!M54</f>
        <v>0</v>
      </c>
      <c r="M14" s="26">
        <f>'表4-收入税金表'!N54</f>
        <v>0</v>
      </c>
      <c r="N14" s="26">
        <f>'表4-收入税金表'!O54</f>
        <v>0</v>
      </c>
      <c r="O14" s="26">
        <f>'表4-收入税金表'!P54</f>
        <v>0</v>
      </c>
      <c r="P14" s="26">
        <f>'表4-收入税金表'!Q54</f>
        <v>0</v>
      </c>
      <c r="Q14" s="26">
        <f>'表4-收入税金表'!R54</f>
        <v>0</v>
      </c>
      <c r="R14" s="26">
        <f>'表4-收入税金表'!S54</f>
        <v>0</v>
      </c>
      <c r="S14" s="26">
        <f>'表4-收入税金表'!T54</f>
        <v>0</v>
      </c>
      <c r="T14" s="26">
        <f>'表4-收入税金表'!U54</f>
        <v>0</v>
      </c>
      <c r="U14" s="26">
        <f>'表4-收入税金表'!V54</f>
        <v>0</v>
      </c>
      <c r="V14" s="26">
        <f>'表4-收入税金表'!W54</f>
        <v>0</v>
      </c>
      <c r="W14" s="26">
        <f>'表4-收入税金表'!X54</f>
        <v>0</v>
      </c>
      <c r="X14" s="26">
        <f>'表4-收入税金表'!Y54</f>
        <v>0</v>
      </c>
      <c r="Y14" s="26">
        <f>'表4-收入税金表'!Z54</f>
        <v>0</v>
      </c>
      <c r="Z14" s="26">
        <f>'表4-收入税金表'!AA54</f>
        <v>0</v>
      </c>
    </row>
    <row r="15" spans="2:26" x14ac:dyDescent="0.25">
      <c r="B15" s="21"/>
      <c r="C15" s="25" t="s">
        <v>564</v>
      </c>
      <c r="D15" s="21" t="s">
        <v>120</v>
      </c>
      <c r="E15" s="26"/>
      <c r="F15" s="26"/>
      <c r="G15" s="26"/>
      <c r="H15" s="26"/>
      <c r="I15" s="26"/>
      <c r="J15" s="26"/>
      <c r="K15" s="26"/>
      <c r="L15" s="26"/>
      <c r="M15" s="26"/>
      <c r="N15" s="26"/>
      <c r="O15" s="26"/>
      <c r="P15" s="26"/>
      <c r="Q15" s="26"/>
      <c r="R15" s="26"/>
      <c r="S15" s="26"/>
      <c r="T15" s="26"/>
      <c r="U15" s="26"/>
      <c r="V15" s="26"/>
      <c r="W15" s="26"/>
      <c r="X15" s="26"/>
      <c r="Y15" s="26"/>
      <c r="Z15" s="26"/>
    </row>
    <row r="16" spans="2:26" x14ac:dyDescent="0.25">
      <c r="B16" s="21"/>
      <c r="C16" s="25" t="s">
        <v>565</v>
      </c>
      <c r="D16" s="21" t="s">
        <v>120</v>
      </c>
      <c r="E16" s="26"/>
      <c r="F16" s="26"/>
      <c r="G16" s="26"/>
      <c r="H16" s="26"/>
      <c r="I16" s="26"/>
      <c r="J16" s="26"/>
      <c r="K16" s="26"/>
      <c r="L16" s="26"/>
      <c r="M16" s="26"/>
      <c r="N16" s="26"/>
      <c r="O16" s="26"/>
      <c r="P16" s="26"/>
      <c r="Q16" s="26"/>
      <c r="R16" s="26"/>
      <c r="S16" s="26"/>
      <c r="T16" s="26"/>
      <c r="U16" s="26"/>
      <c r="V16" s="26"/>
      <c r="W16" s="26"/>
      <c r="X16" s="26"/>
      <c r="Y16" s="26"/>
      <c r="Z16" s="26"/>
    </row>
    <row r="17" spans="2:26" x14ac:dyDescent="0.25">
      <c r="B17" s="21"/>
      <c r="C17" s="25" t="s">
        <v>566</v>
      </c>
      <c r="D17" s="21" t="s">
        <v>120</v>
      </c>
      <c r="E17" s="26"/>
      <c r="F17" s="26"/>
      <c r="G17" s="26"/>
      <c r="H17" s="26"/>
      <c r="I17" s="26"/>
      <c r="J17" s="26"/>
      <c r="K17" s="26"/>
      <c r="L17" s="26"/>
      <c r="M17" s="26"/>
      <c r="N17" s="26"/>
      <c r="O17" s="26"/>
      <c r="P17" s="26"/>
      <c r="Q17" s="26"/>
      <c r="R17" s="26"/>
      <c r="S17" s="26"/>
      <c r="T17" s="26"/>
      <c r="U17" s="26"/>
      <c r="V17" s="26"/>
      <c r="W17" s="26"/>
      <c r="X17" s="26"/>
      <c r="Y17" s="26"/>
      <c r="Z17" s="26"/>
    </row>
    <row r="18" spans="2:26" x14ac:dyDescent="0.25">
      <c r="B18" s="21"/>
      <c r="C18" s="25" t="s">
        <v>567</v>
      </c>
      <c r="D18" s="21" t="s">
        <v>120</v>
      </c>
      <c r="E18" s="26"/>
      <c r="F18" s="26"/>
      <c r="G18" s="26"/>
      <c r="H18" s="26"/>
      <c r="I18" s="26"/>
      <c r="J18" s="26"/>
      <c r="K18" s="26"/>
      <c r="L18" s="26"/>
      <c r="M18" s="26"/>
      <c r="N18" s="26"/>
      <c r="O18" s="26"/>
      <c r="P18" s="26"/>
      <c r="Q18" s="26"/>
      <c r="R18" s="26"/>
      <c r="S18" s="26"/>
      <c r="T18" s="26"/>
      <c r="U18" s="26"/>
      <c r="V18" s="26"/>
      <c r="W18" s="26"/>
      <c r="X18" s="26"/>
      <c r="Y18" s="26"/>
      <c r="Z18" s="26"/>
    </row>
    <row r="19" spans="2:26" x14ac:dyDescent="0.25">
      <c r="B19" s="21"/>
      <c r="C19" s="25" t="s">
        <v>568</v>
      </c>
      <c r="D19" s="21" t="s">
        <v>120</v>
      </c>
      <c r="E19" s="26"/>
      <c r="F19" s="26"/>
      <c r="G19" s="26"/>
      <c r="H19" s="26"/>
      <c r="I19" s="26"/>
      <c r="J19" s="26"/>
      <c r="K19" s="26"/>
      <c r="L19" s="26"/>
      <c r="M19" s="26"/>
      <c r="N19" s="26"/>
      <c r="O19" s="26"/>
      <c r="P19" s="26"/>
      <c r="Q19" s="26"/>
      <c r="R19" s="26"/>
      <c r="S19" s="26"/>
      <c r="T19" s="26"/>
      <c r="U19" s="26"/>
      <c r="V19" s="26"/>
      <c r="W19" s="26"/>
      <c r="X19" s="26"/>
      <c r="Y19" s="26"/>
      <c r="Z19" s="26"/>
    </row>
    <row r="20" spans="2:26" x14ac:dyDescent="0.25">
      <c r="B20" s="21"/>
      <c r="C20" s="25" t="s">
        <v>569</v>
      </c>
      <c r="D20" s="21" t="s">
        <v>120</v>
      </c>
      <c r="E20" s="26"/>
      <c r="F20" s="26"/>
      <c r="G20" s="26"/>
      <c r="H20" s="26"/>
      <c r="I20" s="26"/>
      <c r="J20" s="26"/>
      <c r="K20" s="26"/>
      <c r="L20" s="26"/>
      <c r="M20" s="26"/>
      <c r="N20" s="26"/>
      <c r="O20" s="26"/>
      <c r="P20" s="26"/>
      <c r="Q20" s="26"/>
      <c r="R20" s="26"/>
      <c r="S20" s="26"/>
      <c r="T20" s="26"/>
      <c r="U20" s="26"/>
      <c r="V20" s="26"/>
      <c r="W20" s="26"/>
      <c r="X20" s="26"/>
      <c r="Y20" s="26"/>
      <c r="Z20" s="26"/>
    </row>
    <row r="21" spans="2:26" x14ac:dyDescent="0.25">
      <c r="B21" s="21"/>
      <c r="C21" s="25" t="s">
        <v>570</v>
      </c>
      <c r="D21" s="21" t="s">
        <v>120</v>
      </c>
      <c r="E21" s="26"/>
      <c r="F21" s="26">
        <f>0</f>
        <v>0</v>
      </c>
      <c r="G21" s="26">
        <f>0</f>
        <v>0</v>
      </c>
      <c r="H21" s="26">
        <f t="shared" ref="H21:Q21" si="2">0</f>
        <v>0</v>
      </c>
      <c r="I21" s="26">
        <f t="shared" si="2"/>
        <v>0</v>
      </c>
      <c r="J21" s="26">
        <f t="shared" si="2"/>
        <v>0</v>
      </c>
      <c r="K21" s="26">
        <f t="shared" si="2"/>
        <v>0</v>
      </c>
      <c r="L21" s="26">
        <f t="shared" si="2"/>
        <v>0</v>
      </c>
      <c r="M21" s="26">
        <f t="shared" si="2"/>
        <v>0</v>
      </c>
      <c r="N21" s="26">
        <f t="shared" si="2"/>
        <v>0</v>
      </c>
      <c r="O21" s="26">
        <f t="shared" si="2"/>
        <v>0</v>
      </c>
      <c r="P21" s="26">
        <f t="shared" si="2"/>
        <v>0</v>
      </c>
      <c r="Q21" s="26">
        <f t="shared" si="2"/>
        <v>0</v>
      </c>
      <c r="R21" s="26">
        <f t="shared" ref="R21:Z21" si="3">0</f>
        <v>0</v>
      </c>
      <c r="S21" s="26">
        <f t="shared" si="3"/>
        <v>0</v>
      </c>
      <c r="T21" s="26">
        <f t="shared" si="3"/>
        <v>0</v>
      </c>
      <c r="U21" s="26">
        <f t="shared" si="3"/>
        <v>0</v>
      </c>
      <c r="V21" s="26">
        <f t="shared" si="3"/>
        <v>0</v>
      </c>
      <c r="W21" s="26">
        <f t="shared" si="3"/>
        <v>0</v>
      </c>
      <c r="X21" s="26">
        <f t="shared" si="3"/>
        <v>0</v>
      </c>
      <c r="Y21" s="26">
        <f t="shared" si="3"/>
        <v>0</v>
      </c>
      <c r="Z21" s="26">
        <f t="shared" si="3"/>
        <v>0</v>
      </c>
    </row>
    <row r="22" spans="2:26" x14ac:dyDescent="0.25">
      <c r="B22" s="21"/>
      <c r="C22" s="27" t="s">
        <v>571</v>
      </c>
      <c r="D22" s="21" t="s">
        <v>120</v>
      </c>
      <c r="E22" s="26"/>
      <c r="F22" s="26"/>
      <c r="G22" s="26"/>
      <c r="H22" s="26"/>
      <c r="I22" s="26"/>
      <c r="J22" s="26"/>
      <c r="K22" s="26"/>
      <c r="L22" s="26"/>
      <c r="M22" s="26"/>
      <c r="N22" s="26"/>
      <c r="O22" s="26"/>
      <c r="P22" s="26"/>
      <c r="Q22" s="26"/>
      <c r="R22" s="26"/>
      <c r="S22" s="26"/>
      <c r="T22" s="26"/>
      <c r="U22" s="26"/>
      <c r="V22" s="26"/>
      <c r="W22" s="26"/>
      <c r="X22" s="26"/>
      <c r="Y22" s="26"/>
      <c r="Z22" s="26"/>
    </row>
    <row r="23" spans="2:26" x14ac:dyDescent="0.25">
      <c r="B23" s="21"/>
      <c r="C23" s="25" t="s">
        <v>572</v>
      </c>
      <c r="D23" s="21" t="s">
        <v>120</v>
      </c>
      <c r="E23" s="26"/>
      <c r="F23" s="26"/>
      <c r="G23" s="26"/>
      <c r="H23" s="26"/>
      <c r="I23" s="26"/>
      <c r="J23" s="26"/>
      <c r="K23" s="26"/>
      <c r="L23" s="26"/>
      <c r="M23" s="26"/>
      <c r="N23" s="26"/>
      <c r="O23" s="26"/>
      <c r="P23" s="26"/>
      <c r="Q23" s="26"/>
      <c r="R23" s="26"/>
      <c r="S23" s="26"/>
      <c r="T23" s="26"/>
      <c r="U23" s="26"/>
      <c r="V23" s="26"/>
      <c r="W23" s="26"/>
      <c r="X23" s="26"/>
      <c r="Y23" s="26"/>
      <c r="Z23" s="26"/>
    </row>
    <row r="24" spans="2:26" x14ac:dyDescent="0.25">
      <c r="B24" s="21"/>
      <c r="C24" s="25" t="s">
        <v>573</v>
      </c>
      <c r="D24" s="21" t="s">
        <v>120</v>
      </c>
      <c r="E24" s="26">
        <f>SUM(E25:E26)</f>
        <v>0</v>
      </c>
      <c r="F24" s="26">
        <f t="shared" ref="F24:Z24" si="4">SUM(F25:F26)</f>
        <v>0</v>
      </c>
      <c r="G24" s="26">
        <f t="shared" si="4"/>
        <v>0</v>
      </c>
      <c r="H24" s="26">
        <f t="shared" si="4"/>
        <v>0</v>
      </c>
      <c r="I24" s="26">
        <f t="shared" si="4"/>
        <v>0</v>
      </c>
      <c r="J24" s="26">
        <f t="shared" si="4"/>
        <v>0</v>
      </c>
      <c r="K24" s="26">
        <f t="shared" si="4"/>
        <v>0</v>
      </c>
      <c r="L24" s="26">
        <f t="shared" si="4"/>
        <v>0</v>
      </c>
      <c r="M24" s="26">
        <f t="shared" si="4"/>
        <v>0</v>
      </c>
      <c r="N24" s="26">
        <f t="shared" si="4"/>
        <v>0</v>
      </c>
      <c r="O24" s="26">
        <f t="shared" si="4"/>
        <v>0</v>
      </c>
      <c r="P24" s="26">
        <f t="shared" si="4"/>
        <v>0</v>
      </c>
      <c r="Q24" s="26">
        <f t="shared" si="4"/>
        <v>0</v>
      </c>
      <c r="R24" s="26">
        <f t="shared" si="4"/>
        <v>0</v>
      </c>
      <c r="S24" s="26">
        <f t="shared" si="4"/>
        <v>0</v>
      </c>
      <c r="T24" s="26">
        <f t="shared" si="4"/>
        <v>0</v>
      </c>
      <c r="U24" s="26">
        <f t="shared" si="4"/>
        <v>0</v>
      </c>
      <c r="V24" s="26">
        <f t="shared" si="4"/>
        <v>0</v>
      </c>
      <c r="W24" s="26">
        <f t="shared" si="4"/>
        <v>0</v>
      </c>
      <c r="X24" s="26">
        <f t="shared" si="4"/>
        <v>0</v>
      </c>
      <c r="Y24" s="26">
        <f t="shared" si="4"/>
        <v>0</v>
      </c>
      <c r="Z24" s="26">
        <f t="shared" si="4"/>
        <v>0</v>
      </c>
    </row>
    <row r="25" spans="2:26" x14ac:dyDescent="0.25">
      <c r="B25" s="21"/>
      <c r="C25" s="27" t="s">
        <v>574</v>
      </c>
      <c r="D25" s="21" t="s">
        <v>120</v>
      </c>
      <c r="E25" s="26"/>
      <c r="F25" s="26"/>
      <c r="G25" s="26"/>
      <c r="H25" s="26"/>
      <c r="I25" s="26"/>
      <c r="J25" s="26"/>
      <c r="K25" s="26"/>
      <c r="L25" s="26"/>
      <c r="M25" s="26"/>
      <c r="N25" s="26"/>
      <c r="O25" s="26"/>
      <c r="P25" s="26"/>
      <c r="Q25" s="26"/>
      <c r="R25" s="26"/>
      <c r="S25" s="26"/>
      <c r="T25" s="26"/>
      <c r="U25" s="26"/>
      <c r="V25" s="26"/>
      <c r="W25" s="26"/>
      <c r="X25" s="26"/>
      <c r="Y25" s="26"/>
      <c r="Z25" s="26"/>
    </row>
    <row r="26" spans="2:26" x14ac:dyDescent="0.25">
      <c r="B26" s="21"/>
      <c r="C26" s="28" t="s">
        <v>575</v>
      </c>
      <c r="D26" s="21" t="s">
        <v>120</v>
      </c>
      <c r="E26" s="26"/>
      <c r="F26" s="26"/>
      <c r="G26" s="26"/>
      <c r="H26" s="26"/>
      <c r="I26" s="26"/>
      <c r="J26" s="26"/>
      <c r="K26" s="26"/>
      <c r="L26" s="26"/>
      <c r="M26" s="26"/>
      <c r="N26" s="26"/>
      <c r="O26" s="26"/>
      <c r="P26" s="26"/>
      <c r="Q26" s="26"/>
      <c r="R26" s="26"/>
      <c r="S26" s="26"/>
      <c r="T26" s="26"/>
      <c r="U26" s="26"/>
      <c r="V26" s="26"/>
      <c r="W26" s="26"/>
      <c r="X26" s="26"/>
      <c r="Y26" s="26"/>
      <c r="Z26" s="26"/>
    </row>
    <row r="27" spans="2:26" x14ac:dyDescent="0.25">
      <c r="B27" s="21"/>
      <c r="C27" s="25" t="s">
        <v>576</v>
      </c>
      <c r="D27" s="21" t="s">
        <v>120</v>
      </c>
      <c r="E27" s="26"/>
      <c r="F27" s="26"/>
      <c r="G27" s="26"/>
      <c r="H27" s="26"/>
      <c r="I27" s="26"/>
      <c r="J27" s="26"/>
      <c r="K27" s="26"/>
      <c r="L27" s="26"/>
      <c r="M27" s="26"/>
      <c r="N27" s="26"/>
      <c r="O27" s="26"/>
      <c r="P27" s="26"/>
      <c r="Q27" s="26"/>
      <c r="R27" s="26"/>
      <c r="S27" s="26"/>
      <c r="T27" s="26"/>
      <c r="U27" s="26"/>
      <c r="V27" s="26"/>
      <c r="W27" s="26"/>
      <c r="X27" s="26"/>
      <c r="Y27" s="26"/>
      <c r="Z27" s="26"/>
    </row>
    <row r="28" spans="2:26" x14ac:dyDescent="0.25">
      <c r="B28" s="21"/>
      <c r="C28" s="25" t="s">
        <v>577</v>
      </c>
      <c r="D28" s="21" t="s">
        <v>120</v>
      </c>
      <c r="E28" s="26"/>
      <c r="F28" s="26"/>
      <c r="G28" s="26"/>
      <c r="H28" s="26"/>
      <c r="I28" s="26"/>
      <c r="J28" s="26"/>
      <c r="K28" s="26"/>
      <c r="L28" s="26"/>
      <c r="M28" s="26"/>
      <c r="N28" s="26"/>
      <c r="O28" s="26"/>
      <c r="P28" s="26"/>
      <c r="Q28" s="26"/>
      <c r="R28" s="26"/>
      <c r="S28" s="26"/>
      <c r="T28" s="26"/>
      <c r="U28" s="26"/>
      <c r="V28" s="26"/>
      <c r="W28" s="26"/>
      <c r="X28" s="26"/>
      <c r="Y28" s="26"/>
      <c r="Z28" s="26"/>
    </row>
    <row r="29" spans="2:26" x14ac:dyDescent="0.25">
      <c r="B29" s="21"/>
      <c r="C29" s="25" t="s">
        <v>578</v>
      </c>
      <c r="D29" s="21" t="s">
        <v>120</v>
      </c>
      <c r="E29" s="26"/>
      <c r="F29" s="26"/>
      <c r="G29" s="26"/>
      <c r="H29" s="26"/>
      <c r="I29" s="26"/>
      <c r="J29" s="26"/>
      <c r="K29" s="26"/>
      <c r="L29" s="26"/>
      <c r="M29" s="26"/>
      <c r="N29" s="26"/>
      <c r="O29" s="26"/>
      <c r="P29" s="26"/>
      <c r="Q29" s="26"/>
      <c r="R29" s="26"/>
      <c r="S29" s="26"/>
      <c r="T29" s="26"/>
      <c r="U29" s="26"/>
      <c r="V29" s="26"/>
      <c r="W29" s="26"/>
      <c r="X29" s="26"/>
      <c r="Y29" s="26"/>
      <c r="Z29" s="26"/>
    </row>
    <row r="30" spans="2:26" x14ac:dyDescent="0.25">
      <c r="B30" s="21"/>
      <c r="C30" s="25" t="s">
        <v>579</v>
      </c>
      <c r="D30" s="21" t="s">
        <v>120</v>
      </c>
      <c r="E30" s="26"/>
      <c r="F30" s="26"/>
      <c r="G30" s="26"/>
      <c r="H30" s="26">
        <f>G30</f>
        <v>0</v>
      </c>
      <c r="I30" s="26">
        <f t="shared" ref="I30:Z30" si="5">H30</f>
        <v>0</v>
      </c>
      <c r="J30" s="26">
        <f t="shared" si="5"/>
        <v>0</v>
      </c>
      <c r="K30" s="26">
        <f t="shared" si="5"/>
        <v>0</v>
      </c>
      <c r="L30" s="26">
        <f t="shared" si="5"/>
        <v>0</v>
      </c>
      <c r="M30" s="26">
        <f t="shared" si="5"/>
        <v>0</v>
      </c>
      <c r="N30" s="26">
        <f t="shared" si="5"/>
        <v>0</v>
      </c>
      <c r="O30" s="26">
        <f t="shared" si="5"/>
        <v>0</v>
      </c>
      <c r="P30" s="26">
        <f t="shared" si="5"/>
        <v>0</v>
      </c>
      <c r="Q30" s="26">
        <f t="shared" si="5"/>
        <v>0</v>
      </c>
      <c r="R30" s="26">
        <f t="shared" si="5"/>
        <v>0</v>
      </c>
      <c r="S30" s="26">
        <f t="shared" si="5"/>
        <v>0</v>
      </c>
      <c r="T30" s="26">
        <f t="shared" si="5"/>
        <v>0</v>
      </c>
      <c r="U30" s="26">
        <f t="shared" si="5"/>
        <v>0</v>
      </c>
      <c r="V30" s="26">
        <f t="shared" si="5"/>
        <v>0</v>
      </c>
      <c r="W30" s="26">
        <f t="shared" si="5"/>
        <v>0</v>
      </c>
      <c r="X30" s="26">
        <f t="shared" si="5"/>
        <v>0</v>
      </c>
      <c r="Y30" s="26">
        <f t="shared" si="5"/>
        <v>0</v>
      </c>
      <c r="Z30" s="26">
        <f t="shared" si="5"/>
        <v>0</v>
      </c>
    </row>
    <row r="31" spans="2:26" x14ac:dyDescent="0.25">
      <c r="B31" s="18">
        <v>1.2</v>
      </c>
      <c r="C31" s="23" t="s">
        <v>580</v>
      </c>
      <c r="D31" s="21" t="s">
        <v>120</v>
      </c>
      <c r="E31" s="24">
        <f ca="1">SUM(E32:E42)+SUM(E46:E55)</f>
        <v>39711.142809200603</v>
      </c>
      <c r="F31" s="24">
        <f ca="1">SUM(F32:F42)+SUM(F46:F55)</f>
        <v>67290.182327609407</v>
      </c>
      <c r="G31" s="24">
        <f ca="1">SUM(G32:G42)+SUM(G46:G55)</f>
        <v>59062.161113652925</v>
      </c>
      <c r="H31" s="24">
        <f t="shared" ref="H31:Z31" ca="1" si="6">SUM(H32:H42)+SUM(H46:H55)</f>
        <v>55291.149899696436</v>
      </c>
      <c r="I31" s="24">
        <f t="shared" ca="1" si="6"/>
        <v>51520.138685739941</v>
      </c>
      <c r="J31" s="24">
        <f t="shared" ca="1" si="6"/>
        <v>47749.12747178346</v>
      </c>
      <c r="K31" s="24">
        <f t="shared" ca="1" si="6"/>
        <v>43978.116257826972</v>
      </c>
      <c r="L31" s="24">
        <f t="shared" ca="1" si="6"/>
        <v>40207.105043870484</v>
      </c>
      <c r="M31" s="24">
        <f t="shared" ca="1" si="6"/>
        <v>36436.093829914003</v>
      </c>
      <c r="N31" s="24">
        <f t="shared" ca="1" si="6"/>
        <v>32665.082615957515</v>
      </c>
      <c r="O31" s="24">
        <f t="shared" ca="1" si="6"/>
        <v>28894.071402001027</v>
      </c>
      <c r="P31" s="24">
        <f t="shared" ca="1" si="6"/>
        <v>25123.060188044543</v>
      </c>
      <c r="Q31" s="24">
        <f t="shared" ca="1" si="6"/>
        <v>22209.43987371173</v>
      </c>
      <c r="R31" s="24">
        <f t="shared" ca="1" si="6"/>
        <v>19696.262037255023</v>
      </c>
      <c r="S31" s="24">
        <f t="shared" ca="1" si="6"/>
        <v>16740.606324692119</v>
      </c>
      <c r="T31" s="24">
        <f t="shared" ca="1" si="6"/>
        <v>13784.950612129211</v>
      </c>
      <c r="U31" s="24">
        <f t="shared" ca="1" si="6"/>
        <v>10829.294899566305</v>
      </c>
      <c r="V31" s="24">
        <f t="shared" ca="1" si="6"/>
        <v>10238.126168002884</v>
      </c>
      <c r="W31" s="24">
        <f t="shared" ca="1" si="6"/>
        <v>9646.957436439463</v>
      </c>
      <c r="X31" s="24">
        <f t="shared" ca="1" si="6"/>
        <v>9055.7887048760422</v>
      </c>
      <c r="Y31" s="24">
        <f t="shared" ca="1" si="6"/>
        <v>8464.6199733126214</v>
      </c>
      <c r="Z31" s="24">
        <f t="shared" ca="1" si="6"/>
        <v>7873.4512417492006</v>
      </c>
    </row>
    <row r="32" spans="2:26" x14ac:dyDescent="0.25">
      <c r="B32" s="21"/>
      <c r="C32" s="25" t="s">
        <v>581</v>
      </c>
      <c r="D32" s="21" t="s">
        <v>120</v>
      </c>
      <c r="E32" s="26"/>
      <c r="F32" s="26"/>
      <c r="G32" s="26"/>
      <c r="H32" s="26"/>
      <c r="I32" s="26"/>
      <c r="J32" s="26"/>
      <c r="K32" s="26"/>
      <c r="L32" s="26"/>
      <c r="M32" s="26"/>
      <c r="N32" s="26"/>
      <c r="O32" s="26"/>
      <c r="P32" s="26"/>
      <c r="Q32" s="26"/>
      <c r="R32" s="26"/>
      <c r="S32" s="26"/>
      <c r="T32" s="26"/>
      <c r="U32" s="26"/>
      <c r="V32" s="26"/>
      <c r="W32" s="26"/>
      <c r="X32" s="26"/>
      <c r="Y32" s="26"/>
      <c r="Z32" s="26"/>
    </row>
    <row r="33" spans="2:26" x14ac:dyDescent="0.25">
      <c r="B33" s="21"/>
      <c r="C33" s="25" t="s">
        <v>582</v>
      </c>
      <c r="D33" s="21" t="s">
        <v>120</v>
      </c>
      <c r="E33" s="26"/>
      <c r="F33" s="26"/>
      <c r="G33" s="26"/>
      <c r="H33" s="26"/>
      <c r="I33" s="26"/>
      <c r="J33" s="26"/>
      <c r="K33" s="26"/>
      <c r="L33" s="26"/>
      <c r="M33" s="26"/>
      <c r="N33" s="26"/>
      <c r="O33" s="26"/>
      <c r="P33" s="26"/>
      <c r="Q33" s="26"/>
      <c r="R33" s="26"/>
      <c r="S33" s="26"/>
      <c r="T33" s="26"/>
      <c r="U33" s="26"/>
      <c r="V33" s="26"/>
      <c r="W33" s="26"/>
      <c r="X33" s="26"/>
      <c r="Y33" s="26"/>
      <c r="Z33" s="26"/>
    </row>
    <row r="34" spans="2:26" x14ac:dyDescent="0.25">
      <c r="B34" s="21"/>
      <c r="C34" s="25" t="s">
        <v>583</v>
      </c>
      <c r="D34" s="21" t="s">
        <v>120</v>
      </c>
      <c r="E34" s="26"/>
      <c r="F34" s="26"/>
      <c r="G34" s="26"/>
      <c r="H34" s="26"/>
      <c r="I34" s="26"/>
      <c r="J34" s="26"/>
      <c r="K34" s="26"/>
      <c r="L34" s="26"/>
      <c r="M34" s="26"/>
      <c r="N34" s="26"/>
      <c r="O34" s="26"/>
      <c r="P34" s="26"/>
      <c r="Q34" s="26"/>
      <c r="R34" s="26"/>
      <c r="S34" s="26"/>
      <c r="T34" s="26"/>
      <c r="U34" s="26"/>
      <c r="V34" s="26"/>
      <c r="W34" s="26"/>
      <c r="X34" s="26"/>
      <c r="Y34" s="26"/>
      <c r="Z34" s="26"/>
    </row>
    <row r="35" spans="2:26" x14ac:dyDescent="0.25">
      <c r="B35" s="21"/>
      <c r="C35" s="25" t="s">
        <v>584</v>
      </c>
      <c r="D35" s="21" t="s">
        <v>120</v>
      </c>
      <c r="E35" s="26"/>
      <c r="F35" s="26"/>
      <c r="G35" s="26"/>
      <c r="H35" s="26"/>
      <c r="I35" s="26"/>
      <c r="J35" s="26"/>
      <c r="K35" s="26"/>
      <c r="L35" s="26"/>
      <c r="M35" s="26"/>
      <c r="N35" s="26"/>
      <c r="O35" s="26"/>
      <c r="P35" s="26"/>
      <c r="Q35" s="26"/>
      <c r="R35" s="26"/>
      <c r="S35" s="26"/>
      <c r="T35" s="26"/>
      <c r="U35" s="26"/>
      <c r="V35" s="26"/>
      <c r="W35" s="26"/>
      <c r="X35" s="26"/>
      <c r="Y35" s="26"/>
      <c r="Z35" s="26"/>
    </row>
    <row r="36" spans="2:26" x14ac:dyDescent="0.25">
      <c r="B36" s="21"/>
      <c r="C36" s="25" t="s">
        <v>585</v>
      </c>
      <c r="D36" s="21" t="s">
        <v>120</v>
      </c>
      <c r="E36" s="26"/>
      <c r="F36" s="26"/>
      <c r="G36" s="26"/>
      <c r="H36" s="26"/>
      <c r="I36" s="26"/>
      <c r="J36" s="26"/>
      <c r="K36" s="26"/>
      <c r="L36" s="26"/>
      <c r="M36" s="26"/>
      <c r="N36" s="26"/>
      <c r="O36" s="26"/>
      <c r="P36" s="26"/>
      <c r="Q36" s="26"/>
      <c r="R36" s="26"/>
      <c r="S36" s="26"/>
      <c r="T36" s="26"/>
      <c r="U36" s="26"/>
      <c r="V36" s="26"/>
      <c r="W36" s="26"/>
      <c r="X36" s="26"/>
      <c r="Y36" s="26"/>
      <c r="Z36" s="26"/>
    </row>
    <row r="37" spans="2:26" x14ac:dyDescent="0.25">
      <c r="B37" s="21"/>
      <c r="C37" s="25" t="s">
        <v>586</v>
      </c>
      <c r="D37" s="21" t="s">
        <v>120</v>
      </c>
      <c r="E37" s="26"/>
      <c r="F37" s="26"/>
      <c r="G37" s="26"/>
      <c r="H37" s="26"/>
      <c r="I37" s="26"/>
      <c r="J37" s="26"/>
      <c r="K37" s="26"/>
      <c r="L37" s="26"/>
      <c r="M37" s="26"/>
      <c r="N37" s="26"/>
      <c r="O37" s="26"/>
      <c r="P37" s="26"/>
      <c r="Q37" s="26"/>
      <c r="R37" s="26"/>
      <c r="S37" s="26"/>
      <c r="T37" s="26"/>
      <c r="U37" s="26"/>
      <c r="V37" s="26"/>
      <c r="W37" s="26"/>
      <c r="X37" s="26"/>
      <c r="Y37" s="26"/>
      <c r="Z37" s="26"/>
    </row>
    <row r="38" spans="2:26" x14ac:dyDescent="0.25">
      <c r="B38" s="21"/>
      <c r="C38" s="25" t="s">
        <v>587</v>
      </c>
      <c r="D38" s="21" t="s">
        <v>120</v>
      </c>
      <c r="E38" s="26"/>
      <c r="F38" s="26"/>
      <c r="G38" s="26"/>
      <c r="H38" s="26"/>
      <c r="I38" s="26"/>
      <c r="J38" s="26"/>
      <c r="K38" s="26"/>
      <c r="L38" s="26"/>
      <c r="M38" s="26"/>
      <c r="N38" s="26"/>
      <c r="O38" s="26"/>
      <c r="P38" s="26"/>
      <c r="Q38" s="26"/>
      <c r="R38" s="26"/>
      <c r="S38" s="26"/>
      <c r="T38" s="26"/>
      <c r="U38" s="26"/>
      <c r="V38" s="26"/>
      <c r="W38" s="26"/>
      <c r="X38" s="26"/>
      <c r="Y38" s="26"/>
      <c r="Z38" s="26"/>
    </row>
    <row r="39" spans="2:26" x14ac:dyDescent="0.25">
      <c r="B39" s="21"/>
      <c r="C39" s="25" t="s">
        <v>588</v>
      </c>
      <c r="D39" s="21" t="s">
        <v>120</v>
      </c>
      <c r="E39" s="26"/>
      <c r="F39" s="26"/>
      <c r="G39" s="26"/>
      <c r="H39" s="26"/>
      <c r="I39" s="26"/>
      <c r="J39" s="26"/>
      <c r="K39" s="26"/>
      <c r="L39" s="26"/>
      <c r="M39" s="26"/>
      <c r="N39" s="26"/>
      <c r="O39" s="26"/>
      <c r="P39" s="26"/>
      <c r="Q39" s="26"/>
      <c r="R39" s="26"/>
      <c r="S39" s="26"/>
      <c r="T39" s="26"/>
      <c r="U39" s="26"/>
      <c r="V39" s="26"/>
      <c r="W39" s="26"/>
      <c r="X39" s="26"/>
      <c r="Y39" s="26"/>
      <c r="Z39" s="26"/>
    </row>
    <row r="40" spans="2:26" x14ac:dyDescent="0.25">
      <c r="B40" s="21"/>
      <c r="C40" s="25" t="s">
        <v>589</v>
      </c>
      <c r="D40" s="21" t="s">
        <v>120</v>
      </c>
      <c r="E40" s="26"/>
      <c r="F40" s="26"/>
      <c r="G40" s="26"/>
      <c r="H40" s="26"/>
      <c r="I40" s="26"/>
      <c r="J40" s="26"/>
      <c r="K40" s="26"/>
      <c r="L40" s="26"/>
      <c r="M40" s="26"/>
      <c r="N40" s="26"/>
      <c r="O40" s="26"/>
      <c r="P40" s="26"/>
      <c r="Q40" s="26"/>
      <c r="R40" s="26"/>
      <c r="S40" s="26"/>
      <c r="T40" s="26"/>
      <c r="U40" s="26"/>
      <c r="V40" s="26"/>
      <c r="W40" s="26"/>
      <c r="X40" s="26"/>
      <c r="Y40" s="26"/>
      <c r="Z40" s="26"/>
    </row>
    <row r="41" spans="2:26" x14ac:dyDescent="0.25">
      <c r="B41" s="21"/>
      <c r="C41" s="25" t="s">
        <v>590</v>
      </c>
      <c r="D41" s="21" t="s">
        <v>120</v>
      </c>
      <c r="E41" s="26"/>
      <c r="F41" s="26"/>
      <c r="G41" s="26"/>
      <c r="H41" s="26"/>
      <c r="I41" s="26"/>
      <c r="J41" s="26"/>
      <c r="K41" s="26"/>
      <c r="L41" s="26"/>
      <c r="M41" s="26"/>
      <c r="N41" s="26"/>
      <c r="O41" s="26"/>
      <c r="P41" s="26"/>
      <c r="Q41" s="26"/>
      <c r="R41" s="26"/>
      <c r="S41" s="26"/>
      <c r="T41" s="26"/>
      <c r="U41" s="26"/>
      <c r="V41" s="26"/>
      <c r="W41" s="26"/>
      <c r="X41" s="26"/>
      <c r="Y41" s="26"/>
      <c r="Z41" s="26"/>
    </row>
    <row r="42" spans="2:26" s="12" customFormat="1" x14ac:dyDescent="0.25">
      <c r="B42" s="29"/>
      <c r="C42" s="30" t="s">
        <v>591</v>
      </c>
      <c r="D42" s="29" t="s">
        <v>120</v>
      </c>
      <c r="E42" s="31"/>
      <c r="F42" s="31">
        <f>0</f>
        <v>0</v>
      </c>
      <c r="G42" s="31">
        <f ca="1">G43-G44</f>
        <v>43137.294446986256</v>
      </c>
      <c r="H42" s="31">
        <f t="shared" ref="H42:Z42" ca="1" si="7">H43-H44</f>
        <v>39915.416566363099</v>
      </c>
      <c r="I42" s="31">
        <f t="shared" ca="1" si="7"/>
        <v>36693.538685739943</v>
      </c>
      <c r="J42" s="31">
        <f t="shared" ca="1" si="7"/>
        <v>33471.660805116793</v>
      </c>
      <c r="K42" s="31">
        <f t="shared" ca="1" si="7"/>
        <v>30249.78292449364</v>
      </c>
      <c r="L42" s="31">
        <f t="shared" ca="1" si="7"/>
        <v>27027.905043870487</v>
      </c>
      <c r="M42" s="31">
        <f t="shared" ca="1" si="7"/>
        <v>23806.027163247334</v>
      </c>
      <c r="N42" s="31">
        <f t="shared" ca="1" si="7"/>
        <v>20584.149282624181</v>
      </c>
      <c r="O42" s="31">
        <f t="shared" ca="1" si="7"/>
        <v>17362.271402001028</v>
      </c>
      <c r="P42" s="31">
        <f t="shared" ca="1" si="7"/>
        <v>14140.393521377875</v>
      </c>
      <c r="Q42" s="31">
        <f t="shared" ca="1" si="7"/>
        <v>11775.906540378397</v>
      </c>
      <c r="R42" s="31">
        <f t="shared" ca="1" si="7"/>
        <v>9811.8620372550213</v>
      </c>
      <c r="S42" s="31">
        <f t="shared" ca="1" si="7"/>
        <v>7405.3396580254484</v>
      </c>
      <c r="T42" s="31">
        <f t="shared" ca="1" si="7"/>
        <v>4998.8172787958756</v>
      </c>
      <c r="U42" s="31">
        <f t="shared" ca="1" si="7"/>
        <v>2592.2948995663028</v>
      </c>
      <c r="V42" s="31">
        <f t="shared" ca="1" si="7"/>
        <v>2550.2595013362152</v>
      </c>
      <c r="W42" s="31">
        <f t="shared" ca="1" si="7"/>
        <v>2508.2241031061276</v>
      </c>
      <c r="X42" s="31">
        <f t="shared" ca="1" si="7"/>
        <v>2466.18870487604</v>
      </c>
      <c r="Y42" s="31">
        <f t="shared" ca="1" si="7"/>
        <v>2424.1533066459524</v>
      </c>
      <c r="Z42" s="31">
        <f t="shared" ca="1" si="7"/>
        <v>2382.1179084158648</v>
      </c>
    </row>
    <row r="43" spans="2:26" s="13" customFormat="1" x14ac:dyDescent="0.25">
      <c r="B43" s="32"/>
      <c r="C43" s="33" t="s">
        <v>592</v>
      </c>
      <c r="D43" s="32" t="s">
        <v>120</v>
      </c>
      <c r="E43" s="34"/>
      <c r="F43" s="34">
        <v>0</v>
      </c>
      <c r="G43" s="34">
        <f ca="1">F43+'表2-折旧摊销表'!D4</f>
        <v>46359.172327609405</v>
      </c>
      <c r="H43" s="34">
        <f ca="1">G43+'表2-折旧摊销表'!I49</f>
        <v>46359.172327609405</v>
      </c>
      <c r="I43" s="34">
        <f ca="1">H43+'表2-折旧摊销表'!J49</f>
        <v>46359.172327609405</v>
      </c>
      <c r="J43" s="34">
        <f ca="1">I43+'表2-折旧摊销表'!K49</f>
        <v>46359.172327609405</v>
      </c>
      <c r="K43" s="34">
        <f ca="1">J43+'表2-折旧摊销表'!L49</f>
        <v>46359.172327609405</v>
      </c>
      <c r="L43" s="34">
        <f ca="1">K43+'表2-折旧摊销表'!M49</f>
        <v>46359.172327609405</v>
      </c>
      <c r="M43" s="34">
        <f ca="1">L43+'表2-折旧摊销表'!N49</f>
        <v>46359.172327609405</v>
      </c>
      <c r="N43" s="34">
        <f ca="1">M43+'表2-折旧摊销表'!O49</f>
        <v>46359.172327609405</v>
      </c>
      <c r="O43" s="34">
        <f ca="1">N43+'表2-折旧摊销表'!P49</f>
        <v>46359.172327609405</v>
      </c>
      <c r="P43" s="34">
        <f ca="1">O43+'表2-折旧摊销表'!Q49</f>
        <v>46359.172327609405</v>
      </c>
      <c r="Q43" s="34">
        <f ca="1">P43+'表2-折旧摊销表'!R49</f>
        <v>46359.172327609405</v>
      </c>
      <c r="R43" s="34">
        <f ca="1">Q43+'表2-折旧摊销表'!S49</f>
        <v>46801.650203715602</v>
      </c>
      <c r="S43" s="34">
        <f ca="1">R43+'表2-折旧摊销表'!T49</f>
        <v>46801.650203715602</v>
      </c>
      <c r="T43" s="34">
        <f ca="1">S43+'表2-折旧摊销表'!U49</f>
        <v>46801.650203715602</v>
      </c>
      <c r="U43" s="34">
        <f ca="1">T43+'表2-折旧摊销表'!V49</f>
        <v>46801.650203715602</v>
      </c>
      <c r="V43" s="34">
        <f ca="1">U43+'表2-折旧摊销表'!W49</f>
        <v>46801.650203715602</v>
      </c>
      <c r="W43" s="34">
        <f ca="1">V43+'表2-折旧摊销表'!X49</f>
        <v>46801.650203715602</v>
      </c>
      <c r="X43" s="34">
        <f ca="1">W43+'表2-折旧摊销表'!Y49</f>
        <v>46801.650203715602</v>
      </c>
      <c r="Y43" s="34">
        <f ca="1">X43+'表2-折旧摊销表'!Z49</f>
        <v>46801.650203715602</v>
      </c>
      <c r="Z43" s="34">
        <f ca="1">Y43+'表2-折旧摊销表'!AA49</f>
        <v>46801.650203715602</v>
      </c>
    </row>
    <row r="44" spans="2:26" s="12" customFormat="1" x14ac:dyDescent="0.25">
      <c r="B44" s="29"/>
      <c r="C44" s="35" t="s">
        <v>593</v>
      </c>
      <c r="D44" s="29" t="s">
        <v>120</v>
      </c>
      <c r="E44" s="31"/>
      <c r="F44" s="31"/>
      <c r="G44" s="31">
        <f ca="1">'表2-折旧摊销表'!H37+'表2-折旧摊销表'!H39+'表2-折旧摊销表'!H41+'表2-折旧摊销表'!H50</f>
        <v>3221.877880623153</v>
      </c>
      <c r="H44" s="31">
        <f ca="1">'表2-折旧摊销表'!I37+'表2-折旧摊销表'!I39+'表2-折旧摊销表'!I41+G44</f>
        <v>6443.7557612463061</v>
      </c>
      <c r="I44" s="31">
        <f ca="1">'表2-折旧摊销表'!J37+'表2-折旧摊销表'!J39+'表2-折旧摊销表'!J41+'表2-折旧摊销表'!J50+H44</f>
        <v>9665.6336418694591</v>
      </c>
      <c r="J44" s="31">
        <f ca="1">'表2-折旧摊销表'!K37+'表2-折旧摊销表'!K39+'表2-折旧摊销表'!K41+'表2-折旧摊销表'!K50+I44</f>
        <v>12887.511522492612</v>
      </c>
      <c r="K44" s="31">
        <f ca="1">'表2-折旧摊销表'!L37+'表2-折旧摊销表'!L39+'表2-折旧摊销表'!L41+'表2-折旧摊销表'!L50+J44</f>
        <v>16109.389403115765</v>
      </c>
      <c r="L44" s="31">
        <f ca="1">'表2-折旧摊销表'!M37+'表2-折旧摊销表'!M39+'表2-折旧摊销表'!M41+'表2-折旧摊销表'!M50+K44</f>
        <v>19331.267283738918</v>
      </c>
      <c r="M44" s="31">
        <f ca="1">'表2-折旧摊销表'!N37+'表2-折旧摊销表'!N39+'表2-折旧摊销表'!N41+'表2-折旧摊销表'!N50+L44</f>
        <v>22553.145164362071</v>
      </c>
      <c r="N44" s="31">
        <f ca="1">'表2-折旧摊销表'!O37+'表2-折旧摊销表'!O39+'表2-折旧摊销表'!O41+'表2-折旧摊销表'!O50+M44</f>
        <v>25775.023044985224</v>
      </c>
      <c r="O44" s="31">
        <f ca="1">'表2-折旧摊销表'!P37+'表2-折旧摊销表'!P39+'表2-折旧摊销表'!P41+'表2-折旧摊销表'!P50+N44</f>
        <v>28996.900925608377</v>
      </c>
      <c r="P44" s="31">
        <f ca="1">'表2-折旧摊销表'!Q37+'表2-折旧摊销表'!Q39+'表2-折旧摊销表'!Q41+'表2-折旧摊销表'!Q50+O44</f>
        <v>32218.77880623153</v>
      </c>
      <c r="Q44" s="31">
        <f ca="1">'表2-折旧摊销表'!R37+'表2-折旧摊销表'!R39+'表2-折旧摊销表'!R41+'表2-折旧摊销表'!R50+P44</f>
        <v>34583.265787231008</v>
      </c>
      <c r="R44" s="31">
        <f ca="1">'表2-折旧摊销表'!S37+'表2-折旧摊销表'!S39+'表2-折旧摊销表'!S41+'表2-折旧摊销表'!S50+Q44</f>
        <v>36989.788166460581</v>
      </c>
      <c r="S44" s="31">
        <f ca="1">'表2-折旧摊销表'!T37+'表2-折旧摊销表'!T39+'表2-折旧摊销表'!T41+'表2-折旧摊销表'!T50+R44</f>
        <v>39396.310545690154</v>
      </c>
      <c r="T44" s="31">
        <f ca="1">'表2-折旧摊销表'!U37+'表2-折旧摊销表'!U39+'表2-折旧摊销表'!U41+'表2-折旧摊销表'!U50+S44</f>
        <v>41802.832924919727</v>
      </c>
      <c r="U44" s="31">
        <f ca="1">'表2-折旧摊销表'!V37+'表2-折旧摊销表'!V39+'表2-折旧摊销表'!V41+'表2-折旧摊销表'!V50+T44</f>
        <v>44209.3553041493</v>
      </c>
      <c r="V44" s="31">
        <f ca="1">'表2-折旧摊销表'!W37+'表2-折旧摊销表'!W39+'表2-折旧摊销表'!W41+'表2-折旧摊销表'!W50+U44</f>
        <v>44251.390702379387</v>
      </c>
      <c r="W44" s="31">
        <f ca="1">'表2-折旧摊销表'!X37+'表2-折旧摊销表'!X39+'表2-折旧摊销表'!X41+'表2-折旧摊销表'!X50+V44</f>
        <v>44293.426100609475</v>
      </c>
      <c r="X44" s="31">
        <f ca="1">'表2-折旧摊销表'!Y37+'表2-折旧摊销表'!Y39+'表2-折旧摊销表'!Y41+'表2-折旧摊销表'!Y50+W44</f>
        <v>44335.461498839562</v>
      </c>
      <c r="Y44" s="31">
        <f ca="1">'表2-折旧摊销表'!Z37+'表2-折旧摊销表'!Z39+'表2-折旧摊销表'!Z41+'表2-折旧摊销表'!Z50+X44</f>
        <v>44377.49689706965</v>
      </c>
      <c r="Z44" s="31">
        <f ca="1">'表2-折旧摊销表'!AA37+'表2-折旧摊销表'!AA39+'表2-折旧摊销表'!AA41+'表2-折旧摊销表'!AA50+Y44</f>
        <v>44419.532295299738</v>
      </c>
    </row>
    <row r="45" spans="2:26" x14ac:dyDescent="0.25">
      <c r="B45" s="21"/>
      <c r="C45" s="27" t="s">
        <v>594</v>
      </c>
      <c r="D45" s="21" t="s">
        <v>120</v>
      </c>
      <c r="E45" s="26"/>
      <c r="F45" s="26"/>
      <c r="G45" s="26"/>
      <c r="H45" s="26"/>
      <c r="I45" s="26"/>
      <c r="J45" s="26"/>
      <c r="K45" s="26"/>
      <c r="L45" s="26"/>
      <c r="M45" s="26"/>
      <c r="N45" s="26"/>
      <c r="O45" s="26"/>
      <c r="P45" s="26"/>
      <c r="Q45" s="26"/>
      <c r="R45" s="26"/>
      <c r="S45" s="26"/>
      <c r="T45" s="26"/>
      <c r="U45" s="26"/>
      <c r="V45" s="26"/>
      <c r="W45" s="26"/>
      <c r="X45" s="26"/>
      <c r="Y45" s="26"/>
      <c r="Z45" s="26"/>
    </row>
    <row r="46" spans="2:26" x14ac:dyDescent="0.25">
      <c r="B46" s="21"/>
      <c r="C46" s="25" t="s">
        <v>595</v>
      </c>
      <c r="D46" s="21" t="s">
        <v>120</v>
      </c>
      <c r="E46" s="26">
        <f ca="1">'表1-资金筹措及还本付息表'!F6-E50</f>
        <v>29826.742809200601</v>
      </c>
      <c r="F46" s="26">
        <f ca="1">'表1-资金筹措及还本付息表'!G6+'表1-资金筹措及还本付息表'!F6-F50</f>
        <v>60700.582327609409</v>
      </c>
      <c r="G46" s="26"/>
      <c r="H46" s="26"/>
      <c r="I46" s="26"/>
      <c r="J46" s="26"/>
      <c r="K46" s="26"/>
      <c r="L46" s="26"/>
      <c r="M46" s="26"/>
      <c r="N46" s="26"/>
      <c r="O46" s="26"/>
      <c r="P46" s="26"/>
      <c r="Q46" s="26"/>
      <c r="R46" s="26"/>
      <c r="S46" s="26"/>
      <c r="T46" s="26"/>
      <c r="U46" s="26"/>
      <c r="V46" s="26"/>
      <c r="W46" s="26"/>
      <c r="X46" s="26"/>
      <c r="Y46" s="26"/>
      <c r="Z46" s="26"/>
    </row>
    <row r="47" spans="2:26" x14ac:dyDescent="0.25">
      <c r="B47" s="21"/>
      <c r="C47" s="25" t="s">
        <v>596</v>
      </c>
      <c r="D47" s="21" t="s">
        <v>120</v>
      </c>
      <c r="E47" s="26"/>
      <c r="F47" s="26"/>
      <c r="G47" s="26"/>
      <c r="H47" s="26"/>
      <c r="I47" s="26"/>
      <c r="J47" s="26"/>
      <c r="K47" s="26"/>
      <c r="L47" s="26"/>
      <c r="M47" s="26"/>
      <c r="N47" s="26"/>
      <c r="O47" s="26"/>
      <c r="P47" s="26"/>
      <c r="Q47" s="26"/>
      <c r="R47" s="26"/>
      <c r="S47" s="26"/>
      <c r="T47" s="26"/>
      <c r="U47" s="26"/>
      <c r="V47" s="26"/>
      <c r="W47" s="26"/>
      <c r="X47" s="26"/>
      <c r="Y47" s="26"/>
      <c r="Z47" s="26"/>
    </row>
    <row r="48" spans="2:26" x14ac:dyDescent="0.25">
      <c r="B48" s="21"/>
      <c r="C48" s="25" t="s">
        <v>597</v>
      </c>
      <c r="D48" s="21" t="s">
        <v>120</v>
      </c>
      <c r="E48" s="26"/>
      <c r="F48" s="26"/>
      <c r="G48" s="26"/>
      <c r="H48" s="26"/>
      <c r="I48" s="26"/>
      <c r="J48" s="26"/>
      <c r="K48" s="26"/>
      <c r="L48" s="26"/>
      <c r="M48" s="26"/>
      <c r="N48" s="26"/>
      <c r="O48" s="26"/>
      <c r="P48" s="26"/>
      <c r="Q48" s="26"/>
      <c r="R48" s="26"/>
      <c r="S48" s="26"/>
      <c r="T48" s="26"/>
      <c r="U48" s="26"/>
      <c r="V48" s="26"/>
      <c r="W48" s="26"/>
      <c r="X48" s="26"/>
      <c r="Y48" s="26"/>
      <c r="Z48" s="26"/>
    </row>
    <row r="49" spans="2:26" x14ac:dyDescent="0.25">
      <c r="B49" s="21"/>
      <c r="C49" s="25" t="s">
        <v>598</v>
      </c>
      <c r="D49" s="21" t="s">
        <v>120</v>
      </c>
      <c r="E49" s="26"/>
      <c r="F49" s="26"/>
      <c r="G49" s="26"/>
      <c r="H49" s="26"/>
      <c r="I49" s="26"/>
      <c r="J49" s="26"/>
      <c r="K49" s="26"/>
      <c r="L49" s="26"/>
      <c r="M49" s="26"/>
      <c r="N49" s="26"/>
      <c r="O49" s="26"/>
      <c r="P49" s="26"/>
      <c r="Q49" s="26"/>
      <c r="R49" s="26"/>
      <c r="S49" s="26"/>
      <c r="T49" s="26"/>
      <c r="U49" s="26"/>
      <c r="V49" s="26"/>
      <c r="W49" s="26"/>
      <c r="X49" s="26"/>
      <c r="Y49" s="26"/>
      <c r="Z49" s="26"/>
    </row>
    <row r="50" spans="2:26" s="12" customFormat="1" x14ac:dyDescent="0.25">
      <c r="B50" s="29"/>
      <c r="C50" s="30" t="s">
        <v>599</v>
      </c>
      <c r="D50" s="29" t="s">
        <v>120</v>
      </c>
      <c r="E50" s="31">
        <f>参数输入表!H345*'表1-资金筹措及还本付息表'!F5</f>
        <v>9884.4</v>
      </c>
      <c r="F50" s="31">
        <f>参数输入表!H345*'表1-资金筹措及还本付息表'!G5</f>
        <v>6589.6</v>
      </c>
      <c r="G50" s="31">
        <f>'表2-折旧摊销表'!H46</f>
        <v>15924.866666666667</v>
      </c>
      <c r="H50" s="31">
        <f>'表2-折旧摊销表'!I46</f>
        <v>15375.733333333334</v>
      </c>
      <c r="I50" s="31">
        <f>'表2-折旧摊销表'!J46</f>
        <v>14826.6</v>
      </c>
      <c r="J50" s="31">
        <f>'表2-折旧摊销表'!K46</f>
        <v>14277.466666666667</v>
      </c>
      <c r="K50" s="31">
        <f>'表2-折旧摊销表'!L46</f>
        <v>13728.333333333334</v>
      </c>
      <c r="L50" s="31">
        <f>'表2-折旧摊销表'!M46</f>
        <v>13179.2</v>
      </c>
      <c r="M50" s="31">
        <f>'表2-折旧摊销表'!N46</f>
        <v>12630.066666666668</v>
      </c>
      <c r="N50" s="31">
        <f>'表2-折旧摊销表'!O46</f>
        <v>12080.933333333334</v>
      </c>
      <c r="O50" s="31">
        <f>'表2-折旧摊销表'!P46</f>
        <v>11531.800000000001</v>
      </c>
      <c r="P50" s="31">
        <f>'表2-折旧摊销表'!Q46</f>
        <v>10982.666666666668</v>
      </c>
      <c r="Q50" s="31">
        <f>'表2-折旧摊销表'!R46</f>
        <v>10433.533333333335</v>
      </c>
      <c r="R50" s="31">
        <f>'表2-折旧摊销表'!S46</f>
        <v>9884.4000000000015</v>
      </c>
      <c r="S50" s="31">
        <f>'表2-折旧摊销表'!T46</f>
        <v>9335.2666666666682</v>
      </c>
      <c r="T50" s="31">
        <f>'表2-折旧摊销表'!U46</f>
        <v>8786.133333333335</v>
      </c>
      <c r="U50" s="31">
        <f>'表2-折旧摊销表'!V46</f>
        <v>8237.0000000000018</v>
      </c>
      <c r="V50" s="31">
        <f>'表2-折旧摊销表'!W46</f>
        <v>7687.8666666666686</v>
      </c>
      <c r="W50" s="31">
        <f>'表2-折旧摊销表'!X46</f>
        <v>7138.7333333333354</v>
      </c>
      <c r="X50" s="31">
        <f>'表2-折旧摊销表'!Y46</f>
        <v>6589.6000000000022</v>
      </c>
      <c r="Y50" s="31">
        <f>'表2-折旧摊销表'!Z46</f>
        <v>6040.466666666669</v>
      </c>
      <c r="Z50" s="31">
        <f>'表2-折旧摊销表'!AA46</f>
        <v>5491.3333333333358</v>
      </c>
    </row>
    <row r="51" spans="2:26" x14ac:dyDescent="0.25">
      <c r="B51" s="21"/>
      <c r="C51" s="25" t="s">
        <v>600</v>
      </c>
      <c r="D51" s="21" t="s">
        <v>120</v>
      </c>
      <c r="E51" s="26"/>
      <c r="F51" s="26"/>
      <c r="G51" s="26"/>
      <c r="H51" s="26"/>
      <c r="I51" s="26"/>
      <c r="J51" s="26"/>
      <c r="K51" s="26"/>
      <c r="L51" s="26"/>
      <c r="M51" s="26"/>
      <c r="N51" s="26"/>
      <c r="O51" s="26"/>
      <c r="P51" s="26"/>
      <c r="Q51" s="26"/>
      <c r="R51" s="26"/>
      <c r="S51" s="26"/>
      <c r="T51" s="26"/>
      <c r="U51" s="26"/>
      <c r="V51" s="26"/>
      <c r="W51" s="26"/>
      <c r="X51" s="26"/>
      <c r="Y51" s="26"/>
      <c r="Z51" s="26"/>
    </row>
    <row r="52" spans="2:26" x14ac:dyDescent="0.25">
      <c r="B52" s="21"/>
      <c r="C52" s="25" t="s">
        <v>601</v>
      </c>
      <c r="D52" s="21" t="s">
        <v>120</v>
      </c>
      <c r="E52" s="26"/>
      <c r="F52" s="26"/>
      <c r="G52" s="26"/>
      <c r="H52" s="26"/>
      <c r="I52" s="26"/>
      <c r="J52" s="26"/>
      <c r="K52" s="26"/>
      <c r="L52" s="26"/>
      <c r="M52" s="26"/>
      <c r="N52" s="26"/>
      <c r="O52" s="26"/>
      <c r="P52" s="26"/>
      <c r="Q52" s="26"/>
      <c r="R52" s="26"/>
      <c r="S52" s="26"/>
      <c r="T52" s="26"/>
      <c r="U52" s="26"/>
      <c r="V52" s="26"/>
      <c r="W52" s="26"/>
      <c r="X52" s="26"/>
      <c r="Y52" s="26"/>
      <c r="Z52" s="26"/>
    </row>
    <row r="53" spans="2:26" x14ac:dyDescent="0.25">
      <c r="B53" s="21"/>
      <c r="C53" s="25" t="s">
        <v>602</v>
      </c>
      <c r="D53" s="21" t="s">
        <v>120</v>
      </c>
      <c r="E53" s="26"/>
      <c r="F53" s="26"/>
      <c r="G53" s="26">
        <f>'表2-折旧摊销表'!H45</f>
        <v>0</v>
      </c>
      <c r="H53" s="26">
        <f>'表2-折旧摊销表'!I45</f>
        <v>0</v>
      </c>
      <c r="I53" s="26">
        <f>'表2-折旧摊销表'!J45</f>
        <v>0</v>
      </c>
      <c r="J53" s="26">
        <f>'表2-折旧摊销表'!K45</f>
        <v>0</v>
      </c>
      <c r="K53" s="26">
        <f>'表2-折旧摊销表'!L45</f>
        <v>0</v>
      </c>
      <c r="L53" s="26">
        <f>'表2-折旧摊销表'!M45</f>
        <v>0</v>
      </c>
      <c r="M53" s="26">
        <f>'表2-折旧摊销表'!N45</f>
        <v>0</v>
      </c>
      <c r="N53" s="26">
        <f>'表2-折旧摊销表'!O45</f>
        <v>0</v>
      </c>
      <c r="O53" s="26">
        <f>'表2-折旧摊销表'!P45</f>
        <v>0</v>
      </c>
      <c r="P53" s="26">
        <f>'表2-折旧摊销表'!Q45</f>
        <v>0</v>
      </c>
      <c r="Q53" s="26">
        <f>'表2-折旧摊销表'!R45</f>
        <v>0</v>
      </c>
      <c r="R53" s="26">
        <f>'表2-折旧摊销表'!S45</f>
        <v>0</v>
      </c>
      <c r="S53" s="26">
        <f>'表2-折旧摊销表'!T45</f>
        <v>0</v>
      </c>
      <c r="T53" s="26">
        <f>'表2-折旧摊销表'!U45</f>
        <v>0</v>
      </c>
      <c r="U53" s="26">
        <f>'表2-折旧摊销表'!V45</f>
        <v>0</v>
      </c>
      <c r="V53" s="26">
        <f>'表2-折旧摊销表'!W45</f>
        <v>0</v>
      </c>
      <c r="W53" s="26">
        <f>'表2-折旧摊销表'!X45</f>
        <v>0</v>
      </c>
      <c r="X53" s="26">
        <f>'表2-折旧摊销表'!Y45</f>
        <v>0</v>
      </c>
      <c r="Y53" s="26">
        <f>'表2-折旧摊销表'!Z45</f>
        <v>0</v>
      </c>
      <c r="Z53" s="26">
        <f>'表2-折旧摊销表'!AA45</f>
        <v>0</v>
      </c>
    </row>
    <row r="54" spans="2:26" x14ac:dyDescent="0.25">
      <c r="B54" s="21"/>
      <c r="C54" s="25" t="s">
        <v>603</v>
      </c>
      <c r="D54" s="21" t="s">
        <v>120</v>
      </c>
      <c r="E54" s="26"/>
      <c r="F54" s="26"/>
      <c r="G54" s="26"/>
      <c r="H54" s="26"/>
      <c r="I54" s="26"/>
      <c r="J54" s="26"/>
      <c r="K54" s="26"/>
      <c r="L54" s="26"/>
      <c r="M54" s="26"/>
      <c r="N54" s="26"/>
      <c r="O54" s="26"/>
      <c r="P54" s="26"/>
      <c r="Q54" s="26"/>
      <c r="R54" s="26"/>
      <c r="S54" s="26"/>
      <c r="T54" s="26"/>
      <c r="U54" s="26"/>
      <c r="V54" s="26"/>
      <c r="W54" s="26"/>
      <c r="X54" s="26"/>
      <c r="Y54" s="26"/>
      <c r="Z54" s="26"/>
    </row>
    <row r="55" spans="2:26" x14ac:dyDescent="0.25">
      <c r="B55" s="21"/>
      <c r="C55" s="25" t="s">
        <v>604</v>
      </c>
      <c r="D55" s="21" t="s">
        <v>120</v>
      </c>
      <c r="E55" s="26"/>
      <c r="F55" s="26"/>
      <c r="G55" s="26"/>
      <c r="H55" s="26"/>
      <c r="I55" s="26"/>
      <c r="J55" s="26"/>
      <c r="K55" s="26"/>
      <c r="L55" s="26"/>
      <c r="M55" s="26"/>
      <c r="N55" s="26"/>
      <c r="O55" s="26"/>
      <c r="P55" s="26"/>
      <c r="Q55" s="26"/>
      <c r="R55" s="26"/>
      <c r="S55" s="26"/>
      <c r="T55" s="26"/>
      <c r="U55" s="26"/>
      <c r="V55" s="26"/>
      <c r="W55" s="26"/>
      <c r="X55" s="26"/>
      <c r="Y55" s="26"/>
      <c r="Z55" s="26"/>
    </row>
    <row r="56" spans="2:26" x14ac:dyDescent="0.25">
      <c r="B56" s="21"/>
      <c r="C56" s="27" t="s">
        <v>605</v>
      </c>
      <c r="D56" s="21" t="s">
        <v>120</v>
      </c>
      <c r="E56" s="26"/>
      <c r="F56" s="26"/>
      <c r="G56" s="26"/>
      <c r="H56" s="26"/>
      <c r="I56" s="26"/>
      <c r="J56" s="26"/>
      <c r="K56" s="26"/>
      <c r="L56" s="26"/>
      <c r="M56" s="26"/>
      <c r="N56" s="26"/>
      <c r="O56" s="26"/>
      <c r="P56" s="26"/>
      <c r="Q56" s="26"/>
      <c r="R56" s="26"/>
      <c r="S56" s="26"/>
      <c r="T56" s="26"/>
      <c r="U56" s="26"/>
      <c r="V56" s="26"/>
      <c r="W56" s="26"/>
      <c r="X56" s="26"/>
      <c r="Y56" s="26"/>
      <c r="Z56" s="26"/>
    </row>
    <row r="57" spans="2:26" s="14" customFormat="1" ht="23.5" customHeight="1" x14ac:dyDescent="0.25">
      <c r="B57" s="19">
        <v>2</v>
      </c>
      <c r="C57" s="20" t="s">
        <v>606</v>
      </c>
      <c r="D57" s="21" t="s">
        <v>120</v>
      </c>
      <c r="E57" s="22">
        <f ca="1">E58+E86</f>
        <v>31636.040763520901</v>
      </c>
      <c r="F57" s="22">
        <f t="shared" ref="F57:Z57" ca="1" si="8">F58+F86</f>
        <v>53699.272378247944</v>
      </c>
      <c r="G57" s="22">
        <f t="shared" ca="1" si="8"/>
        <v>46971.223445807052</v>
      </c>
      <c r="H57" s="22">
        <f t="shared" ca="1" si="8"/>
        <v>43981.234561855061</v>
      </c>
      <c r="I57" s="22">
        <f t="shared" ca="1" si="8"/>
        <v>40991.82425449953</v>
      </c>
      <c r="J57" s="22">
        <f t="shared" ca="1" si="8"/>
        <v>38002.990870641348</v>
      </c>
      <c r="K57" s="22">
        <f t="shared" ca="1" si="8"/>
        <v>35014.732764620356</v>
      </c>
      <c r="L57" s="22">
        <f t="shared" ca="1" si="8"/>
        <v>31919.520746642062</v>
      </c>
      <c r="M57" s="22">
        <f t="shared" ca="1" si="8"/>
        <v>28882.602676616389</v>
      </c>
      <c r="N57" s="22">
        <f t="shared" ca="1" si="8"/>
        <v>25326.360443182362</v>
      </c>
      <c r="O57" s="22">
        <f t="shared" ca="1" si="8"/>
        <v>21746.408951299167</v>
      </c>
      <c r="P57" s="22">
        <f t="shared" ca="1" si="8"/>
        <v>18166.457459415971</v>
      </c>
      <c r="Q57" s="22">
        <f t="shared" ca="1" si="8"/>
        <v>14586.505967532776</v>
      </c>
      <c r="R57" s="22">
        <f t="shared" ca="1" si="8"/>
        <v>11006.55447564958</v>
      </c>
      <c r="S57" s="22">
        <f t="shared" ca="1" si="8"/>
        <v>7426.6029837663827</v>
      </c>
      <c r="T57" s="22">
        <f t="shared" ca="1" si="8"/>
        <v>3846.6514918831863</v>
      </c>
      <c r="U57" s="22">
        <f t="shared" ca="1" si="8"/>
        <v>266.69999999998998</v>
      </c>
      <c r="V57" s="22">
        <f t="shared" ca="1" si="8"/>
        <v>266.7</v>
      </c>
      <c r="W57" s="22">
        <f t="shared" ca="1" si="8"/>
        <v>266.7</v>
      </c>
      <c r="X57" s="22">
        <f t="shared" ca="1" si="8"/>
        <v>266.7</v>
      </c>
      <c r="Y57" s="22">
        <f t="shared" ca="1" si="8"/>
        <v>266.7</v>
      </c>
      <c r="Z57" s="22">
        <f t="shared" ca="1" si="8"/>
        <v>0</v>
      </c>
    </row>
    <row r="58" spans="2:26" x14ac:dyDescent="0.25">
      <c r="B58" s="18">
        <v>2.1</v>
      </c>
      <c r="C58" s="23" t="s">
        <v>324</v>
      </c>
      <c r="D58" s="21" t="s">
        <v>120</v>
      </c>
      <c r="E58" s="24">
        <f>SUM(E59:E73)+E77+E79+SUM(E81:E85)</f>
        <v>0</v>
      </c>
      <c r="F58" s="24">
        <f t="shared" ref="F58:Z58" si="9">SUM(F59:F73)+F77+F79+SUM(F81:F85)</f>
        <v>0</v>
      </c>
      <c r="G58" s="24">
        <f t="shared" si="9"/>
        <v>266.7</v>
      </c>
      <c r="H58" s="24">
        <f t="shared" si="9"/>
        <v>266.7</v>
      </c>
      <c r="I58" s="24">
        <f t="shared" si="9"/>
        <v>266.7</v>
      </c>
      <c r="J58" s="24">
        <f t="shared" si="9"/>
        <v>266.7</v>
      </c>
      <c r="K58" s="24">
        <f t="shared" si="9"/>
        <v>266.7</v>
      </c>
      <c r="L58" s="24">
        <f t="shared" si="9"/>
        <v>266.7</v>
      </c>
      <c r="M58" s="24">
        <f t="shared" si="9"/>
        <v>266.7</v>
      </c>
      <c r="N58" s="24">
        <f t="shared" si="9"/>
        <v>266.7</v>
      </c>
      <c r="O58" s="24">
        <f t="shared" si="9"/>
        <v>266.7</v>
      </c>
      <c r="P58" s="24">
        <f t="shared" si="9"/>
        <v>266.7</v>
      </c>
      <c r="Q58" s="24">
        <f t="shared" si="9"/>
        <v>266.7</v>
      </c>
      <c r="R58" s="24">
        <f t="shared" si="9"/>
        <v>266.7</v>
      </c>
      <c r="S58" s="24">
        <f t="shared" si="9"/>
        <v>266.7</v>
      </c>
      <c r="T58" s="24">
        <f t="shared" si="9"/>
        <v>266.7</v>
      </c>
      <c r="U58" s="24">
        <f t="shared" si="9"/>
        <v>266.7</v>
      </c>
      <c r="V58" s="24">
        <f t="shared" si="9"/>
        <v>266.7</v>
      </c>
      <c r="W58" s="24">
        <f t="shared" si="9"/>
        <v>266.7</v>
      </c>
      <c r="X58" s="24">
        <f t="shared" si="9"/>
        <v>266.7</v>
      </c>
      <c r="Y58" s="24">
        <f t="shared" si="9"/>
        <v>266.7</v>
      </c>
      <c r="Z58" s="24">
        <f t="shared" si="9"/>
        <v>0</v>
      </c>
    </row>
    <row r="59" spans="2:26" x14ac:dyDescent="0.25">
      <c r="B59" s="21"/>
      <c r="C59" s="25" t="s">
        <v>607</v>
      </c>
      <c r="D59" s="21" t="s">
        <v>120</v>
      </c>
      <c r="E59" s="26">
        <f>'表1-资金筹措及还本付息表'!F74+'表1-资金筹措及还本付息表'!F64</f>
        <v>0</v>
      </c>
      <c r="F59" s="26">
        <f>'表1-资金筹措及还本付息表'!G74+'表1-资金筹措及还本付息表'!G64</f>
        <v>0</v>
      </c>
      <c r="G59" s="26">
        <f>'表1-资金筹措及还本付息表'!H74+'表1-资金筹措及还本付息表'!H64</f>
        <v>266.7</v>
      </c>
      <c r="H59" s="26">
        <f>'表1-资金筹措及还本付息表'!I74+'表1-资金筹措及还本付息表'!I64</f>
        <v>266.7</v>
      </c>
      <c r="I59" s="26">
        <f>'表1-资金筹措及还本付息表'!J74+'表1-资金筹措及还本付息表'!J64</f>
        <v>266.7</v>
      </c>
      <c r="J59" s="26">
        <f>'表1-资金筹措及还本付息表'!K74+'表1-资金筹措及还本付息表'!K64</f>
        <v>266.7</v>
      </c>
      <c r="K59" s="26">
        <f>'表1-资金筹措及还本付息表'!L74+'表1-资金筹措及还本付息表'!L64</f>
        <v>266.7</v>
      </c>
      <c r="L59" s="26">
        <f>'表1-资金筹措及还本付息表'!M74+'表1-资金筹措及还本付息表'!M64</f>
        <v>266.7</v>
      </c>
      <c r="M59" s="26">
        <f>'表1-资金筹措及还本付息表'!N74+'表1-资金筹措及还本付息表'!N64</f>
        <v>266.7</v>
      </c>
      <c r="N59" s="26">
        <f>'表1-资金筹措及还本付息表'!O74+'表1-资金筹措及还本付息表'!O64</f>
        <v>266.7</v>
      </c>
      <c r="O59" s="26">
        <f>'表1-资金筹措及还本付息表'!P74+'表1-资金筹措及还本付息表'!P64</f>
        <v>266.7</v>
      </c>
      <c r="P59" s="26">
        <f>'表1-资金筹措及还本付息表'!Q74+'表1-资金筹措及还本付息表'!Q64</f>
        <v>266.7</v>
      </c>
      <c r="Q59" s="26">
        <f>'表1-资金筹措及还本付息表'!R74+'表1-资金筹措及还本付息表'!R64</f>
        <v>266.7</v>
      </c>
      <c r="R59" s="26">
        <f>'表1-资金筹措及还本付息表'!S74+'表1-资金筹措及还本付息表'!S64</f>
        <v>266.7</v>
      </c>
      <c r="S59" s="26">
        <f>'表1-资金筹措及还本付息表'!T74+'表1-资金筹措及还本付息表'!T64</f>
        <v>266.7</v>
      </c>
      <c r="T59" s="26">
        <f>'表1-资金筹措及还本付息表'!U74+'表1-资金筹措及还本付息表'!U64</f>
        <v>266.7</v>
      </c>
      <c r="U59" s="26">
        <f>'表1-资金筹措及还本付息表'!V74+'表1-资金筹措及还本付息表'!V64</f>
        <v>266.7</v>
      </c>
      <c r="V59" s="26">
        <f>'表1-资金筹措及还本付息表'!W74+'表1-资金筹措及还本付息表'!W64</f>
        <v>266.7</v>
      </c>
      <c r="W59" s="26">
        <f>'表1-资金筹措及还本付息表'!X74+'表1-资金筹措及还本付息表'!X64</f>
        <v>266.7</v>
      </c>
      <c r="X59" s="26">
        <f>'表1-资金筹措及还本付息表'!Y74+'表1-资金筹措及还本付息表'!Y64</f>
        <v>266.7</v>
      </c>
      <c r="Y59" s="26">
        <f>'表1-资金筹措及还本付息表'!Z74+'表1-资金筹措及还本付息表'!Z64</f>
        <v>266.7</v>
      </c>
      <c r="Z59" s="26">
        <f>'表1-资金筹措及还本付息表'!AA74+'表1-资金筹措及还本付息表'!AA64</f>
        <v>0</v>
      </c>
    </row>
    <row r="60" spans="2:26" x14ac:dyDescent="0.25">
      <c r="B60" s="21"/>
      <c r="C60" s="25" t="s">
        <v>608</v>
      </c>
      <c r="D60" s="21" t="s">
        <v>120</v>
      </c>
      <c r="E60" s="26"/>
      <c r="F60" s="26"/>
      <c r="G60" s="26"/>
      <c r="H60" s="26"/>
      <c r="I60" s="26"/>
      <c r="J60" s="26"/>
      <c r="K60" s="26"/>
      <c r="L60" s="26"/>
      <c r="M60" s="26"/>
      <c r="N60" s="26"/>
      <c r="O60" s="26"/>
      <c r="P60" s="26"/>
      <c r="Q60" s="26"/>
      <c r="R60" s="26"/>
      <c r="S60" s="26"/>
      <c r="T60" s="26"/>
      <c r="U60" s="26"/>
      <c r="V60" s="26"/>
      <c r="W60" s="26"/>
      <c r="X60" s="26"/>
      <c r="Y60" s="26"/>
      <c r="Z60" s="26"/>
    </row>
    <row r="61" spans="2:26" x14ac:dyDescent="0.25">
      <c r="B61" s="21"/>
      <c r="C61" s="25" t="s">
        <v>609</v>
      </c>
      <c r="D61" s="21" t="s">
        <v>120</v>
      </c>
      <c r="E61" s="26"/>
      <c r="F61" s="26"/>
      <c r="G61" s="26"/>
      <c r="H61" s="26"/>
      <c r="I61" s="26"/>
      <c r="J61" s="26"/>
      <c r="K61" s="26"/>
      <c r="L61" s="26"/>
      <c r="M61" s="26"/>
      <c r="N61" s="26"/>
      <c r="O61" s="26"/>
      <c r="P61" s="26"/>
      <c r="Q61" s="26"/>
      <c r="R61" s="26"/>
      <c r="S61" s="26"/>
      <c r="T61" s="26"/>
      <c r="U61" s="26"/>
      <c r="V61" s="26"/>
      <c r="W61" s="26"/>
      <c r="X61" s="26"/>
      <c r="Y61" s="26"/>
      <c r="Z61" s="26"/>
    </row>
    <row r="62" spans="2:26" x14ac:dyDescent="0.25">
      <c r="B62" s="21"/>
      <c r="C62" s="25" t="s">
        <v>610</v>
      </c>
      <c r="D62" s="21" t="s">
        <v>120</v>
      </c>
      <c r="E62" s="26"/>
      <c r="F62" s="26"/>
      <c r="G62" s="26"/>
      <c r="H62" s="26"/>
      <c r="I62" s="26"/>
      <c r="J62" s="26"/>
      <c r="K62" s="26"/>
      <c r="L62" s="26"/>
      <c r="M62" s="26"/>
      <c r="N62" s="26"/>
      <c r="O62" s="26"/>
      <c r="P62" s="26"/>
      <c r="Q62" s="26"/>
      <c r="R62" s="26"/>
      <c r="S62" s="26"/>
      <c r="T62" s="26"/>
      <c r="U62" s="26"/>
      <c r="V62" s="26"/>
      <c r="W62" s="26"/>
      <c r="X62" s="26"/>
      <c r="Y62" s="26"/>
      <c r="Z62" s="26"/>
    </row>
    <row r="63" spans="2:26" x14ac:dyDescent="0.25">
      <c r="B63" s="21"/>
      <c r="C63" s="25" t="s">
        <v>611</v>
      </c>
      <c r="D63" s="21" t="s">
        <v>120</v>
      </c>
      <c r="E63" s="26"/>
      <c r="F63" s="26"/>
      <c r="G63" s="26"/>
      <c r="H63" s="26"/>
      <c r="I63" s="26"/>
      <c r="J63" s="26"/>
      <c r="K63" s="26"/>
      <c r="L63" s="26"/>
      <c r="M63" s="26"/>
      <c r="N63" s="26"/>
      <c r="O63" s="26"/>
      <c r="P63" s="26"/>
      <c r="Q63" s="26"/>
      <c r="R63" s="26"/>
      <c r="S63" s="26"/>
      <c r="T63" s="26"/>
      <c r="U63" s="26"/>
      <c r="V63" s="26"/>
      <c r="W63" s="26"/>
      <c r="X63" s="26"/>
      <c r="Y63" s="26"/>
      <c r="Z63" s="26"/>
    </row>
    <row r="64" spans="2:26" x14ac:dyDescent="0.25">
      <c r="B64" s="21"/>
      <c r="C64" s="25" t="s">
        <v>612</v>
      </c>
      <c r="D64" s="21" t="s">
        <v>120</v>
      </c>
      <c r="E64" s="26"/>
      <c r="F64" s="26"/>
      <c r="G64" s="26"/>
      <c r="H64" s="26"/>
      <c r="I64" s="26"/>
      <c r="J64" s="26"/>
      <c r="K64" s="26"/>
      <c r="L64" s="26"/>
      <c r="M64" s="26"/>
      <c r="N64" s="26"/>
      <c r="O64" s="26"/>
      <c r="P64" s="26"/>
      <c r="Q64" s="26"/>
      <c r="R64" s="26"/>
      <c r="S64" s="26"/>
      <c r="T64" s="26"/>
      <c r="U64" s="26"/>
      <c r="V64" s="26"/>
      <c r="W64" s="26"/>
      <c r="X64" s="26"/>
      <c r="Y64" s="26"/>
      <c r="Z64" s="26"/>
    </row>
    <row r="65" spans="2:26" x14ac:dyDescent="0.25">
      <c r="B65" s="21"/>
      <c r="C65" s="25" t="s">
        <v>613</v>
      </c>
      <c r="D65" s="21" t="s">
        <v>120</v>
      </c>
      <c r="E65" s="26"/>
      <c r="F65" s="26"/>
      <c r="G65" s="26"/>
      <c r="H65" s="26"/>
      <c r="I65" s="26"/>
      <c r="J65" s="26"/>
      <c r="K65" s="26"/>
      <c r="L65" s="26"/>
      <c r="M65" s="26"/>
      <c r="N65" s="26"/>
      <c r="O65" s="26"/>
      <c r="P65" s="26"/>
      <c r="Q65" s="26"/>
      <c r="R65" s="26"/>
      <c r="S65" s="26"/>
      <c r="T65" s="26"/>
      <c r="U65" s="26"/>
      <c r="V65" s="26"/>
      <c r="W65" s="26"/>
      <c r="X65" s="26"/>
      <c r="Y65" s="26"/>
      <c r="Z65" s="26"/>
    </row>
    <row r="66" spans="2:26" x14ac:dyDescent="0.25">
      <c r="B66" s="21"/>
      <c r="C66" s="25" t="s">
        <v>614</v>
      </c>
      <c r="D66" s="21" t="s">
        <v>120</v>
      </c>
      <c r="E66" s="26"/>
      <c r="F66" s="26"/>
      <c r="G66" s="26"/>
      <c r="H66" s="26"/>
      <c r="I66" s="26"/>
      <c r="J66" s="26"/>
      <c r="K66" s="26"/>
      <c r="L66" s="26"/>
      <c r="M66" s="26"/>
      <c r="N66" s="26"/>
      <c r="O66" s="26"/>
      <c r="P66" s="26"/>
      <c r="Q66" s="26"/>
      <c r="R66" s="26"/>
      <c r="S66" s="26"/>
      <c r="T66" s="26"/>
      <c r="U66" s="26"/>
      <c r="V66" s="26"/>
      <c r="W66" s="26"/>
      <c r="X66" s="26"/>
      <c r="Y66" s="26"/>
      <c r="Z66" s="26"/>
    </row>
    <row r="67" spans="2:26" x14ac:dyDescent="0.25">
      <c r="B67" s="21"/>
      <c r="C67" s="25" t="s">
        <v>615</v>
      </c>
      <c r="D67" s="21" t="s">
        <v>120</v>
      </c>
      <c r="E67" s="26"/>
      <c r="F67" s="26"/>
      <c r="G67" s="26"/>
      <c r="H67" s="26"/>
      <c r="I67" s="26"/>
      <c r="J67" s="26"/>
      <c r="K67" s="26"/>
      <c r="L67" s="26"/>
      <c r="M67" s="26"/>
      <c r="N67" s="26"/>
      <c r="O67" s="26"/>
      <c r="P67" s="26"/>
      <c r="Q67" s="26"/>
      <c r="R67" s="26"/>
      <c r="S67" s="26"/>
      <c r="T67" s="26"/>
      <c r="U67" s="26"/>
      <c r="V67" s="26"/>
      <c r="W67" s="26"/>
      <c r="X67" s="26"/>
      <c r="Y67" s="26"/>
      <c r="Z67" s="26"/>
    </row>
    <row r="68" spans="2:26" x14ac:dyDescent="0.25">
      <c r="B68" s="21"/>
      <c r="C68" s="25" t="s">
        <v>616</v>
      </c>
      <c r="D68" s="21" t="s">
        <v>120</v>
      </c>
      <c r="E68" s="26"/>
      <c r="F68" s="26"/>
      <c r="G68" s="26"/>
      <c r="H68" s="26"/>
      <c r="I68" s="26"/>
      <c r="J68" s="26"/>
      <c r="K68" s="26"/>
      <c r="L68" s="26"/>
      <c r="M68" s="26"/>
      <c r="N68" s="26"/>
      <c r="O68" s="26"/>
      <c r="P68" s="26"/>
      <c r="Q68" s="26"/>
      <c r="R68" s="26"/>
      <c r="S68" s="26"/>
      <c r="T68" s="26"/>
      <c r="U68" s="26"/>
      <c r="V68" s="26"/>
      <c r="W68" s="26"/>
      <c r="X68" s="26"/>
      <c r="Y68" s="26"/>
      <c r="Z68" s="26"/>
    </row>
    <row r="69" spans="2:26" x14ac:dyDescent="0.25">
      <c r="B69" s="21"/>
      <c r="C69" s="25" t="s">
        <v>617</v>
      </c>
      <c r="D69" s="21" t="s">
        <v>120</v>
      </c>
      <c r="E69" s="26"/>
      <c r="F69" s="26"/>
      <c r="G69" s="26"/>
      <c r="H69" s="26"/>
      <c r="I69" s="26"/>
      <c r="J69" s="26"/>
      <c r="K69" s="26"/>
      <c r="L69" s="26"/>
      <c r="M69" s="26"/>
      <c r="N69" s="26"/>
      <c r="O69" s="26"/>
      <c r="P69" s="26"/>
      <c r="Q69" s="26"/>
      <c r="R69" s="26"/>
      <c r="S69" s="26"/>
      <c r="T69" s="26"/>
      <c r="U69" s="26"/>
      <c r="V69" s="26"/>
      <c r="W69" s="26"/>
      <c r="X69" s="26"/>
      <c r="Y69" s="26"/>
      <c r="Z69" s="26"/>
    </row>
    <row r="70" spans="2:26" x14ac:dyDescent="0.25">
      <c r="B70" s="21"/>
      <c r="C70" s="25" t="s">
        <v>618</v>
      </c>
      <c r="D70" s="21" t="s">
        <v>120</v>
      </c>
      <c r="E70" s="26"/>
      <c r="F70" s="26"/>
      <c r="G70" s="26"/>
      <c r="H70" s="26"/>
      <c r="I70" s="26"/>
      <c r="J70" s="26"/>
      <c r="K70" s="26"/>
      <c r="L70" s="26"/>
      <c r="M70" s="26"/>
      <c r="N70" s="26"/>
      <c r="O70" s="26"/>
      <c r="P70" s="26"/>
      <c r="Q70" s="26"/>
      <c r="R70" s="26"/>
      <c r="S70" s="26"/>
      <c r="T70" s="26"/>
      <c r="U70" s="26"/>
      <c r="V70" s="26"/>
      <c r="W70" s="26"/>
      <c r="X70" s="26"/>
      <c r="Y70" s="26"/>
      <c r="Z70" s="26"/>
    </row>
    <row r="71" spans="2:26" x14ac:dyDescent="0.25">
      <c r="B71" s="21"/>
      <c r="C71" s="25" t="s">
        <v>619</v>
      </c>
      <c r="D71" s="21" t="s">
        <v>120</v>
      </c>
      <c r="E71" s="26"/>
      <c r="F71" s="26"/>
      <c r="G71" s="26"/>
      <c r="H71" s="26"/>
      <c r="I71" s="26"/>
      <c r="J71" s="26"/>
      <c r="K71" s="26"/>
      <c r="L71" s="26"/>
      <c r="M71" s="26"/>
      <c r="N71" s="26"/>
      <c r="O71" s="26"/>
      <c r="P71" s="26"/>
      <c r="Q71" s="26"/>
      <c r="R71" s="26"/>
      <c r="S71" s="26"/>
      <c r="T71" s="26"/>
      <c r="U71" s="26"/>
      <c r="V71" s="26"/>
      <c r="W71" s="26"/>
      <c r="X71" s="26"/>
      <c r="Y71" s="26"/>
      <c r="Z71" s="26"/>
    </row>
    <row r="72" spans="2:26" x14ac:dyDescent="0.25">
      <c r="B72" s="21"/>
      <c r="C72" s="25" t="s">
        <v>620</v>
      </c>
      <c r="D72" s="21" t="s">
        <v>120</v>
      </c>
      <c r="E72" s="26"/>
      <c r="F72" s="26"/>
      <c r="G72" s="26"/>
      <c r="H72" s="26"/>
      <c r="I72" s="26"/>
      <c r="J72" s="26"/>
      <c r="K72" s="26"/>
      <c r="L72" s="26"/>
      <c r="M72" s="26"/>
      <c r="N72" s="26"/>
      <c r="O72" s="26"/>
      <c r="P72" s="26"/>
      <c r="Q72" s="26"/>
      <c r="R72" s="26"/>
      <c r="S72" s="26"/>
      <c r="T72" s="26"/>
      <c r="U72" s="26"/>
      <c r="V72" s="26"/>
      <c r="W72" s="26"/>
      <c r="X72" s="26"/>
      <c r="Y72" s="26"/>
      <c r="Z72" s="26"/>
    </row>
    <row r="73" spans="2:26" x14ac:dyDescent="0.25">
      <c r="B73" s="21"/>
      <c r="C73" s="25" t="s">
        <v>621</v>
      </c>
      <c r="D73" s="21" t="s">
        <v>120</v>
      </c>
      <c r="E73" s="26"/>
      <c r="F73" s="26"/>
      <c r="G73" s="26"/>
      <c r="H73" s="26"/>
      <c r="I73" s="26"/>
      <c r="J73" s="26"/>
      <c r="K73" s="26"/>
      <c r="L73" s="26"/>
      <c r="M73" s="26"/>
      <c r="N73" s="26"/>
      <c r="O73" s="26"/>
      <c r="P73" s="26"/>
      <c r="Q73" s="26"/>
      <c r="R73" s="26"/>
      <c r="S73" s="26"/>
      <c r="T73" s="26"/>
      <c r="U73" s="26"/>
      <c r="V73" s="26"/>
      <c r="W73" s="26"/>
      <c r="X73" s="26"/>
      <c r="Y73" s="26"/>
      <c r="Z73" s="26"/>
    </row>
    <row r="74" spans="2:26" x14ac:dyDescent="0.25">
      <c r="B74" s="21"/>
      <c r="C74" s="27" t="s">
        <v>622</v>
      </c>
      <c r="D74" s="21" t="s">
        <v>120</v>
      </c>
      <c r="E74" s="26"/>
      <c r="F74" s="26"/>
      <c r="G74" s="26"/>
      <c r="H74" s="26"/>
      <c r="I74" s="26"/>
      <c r="J74" s="26"/>
      <c r="K74" s="26"/>
      <c r="L74" s="26"/>
      <c r="M74" s="26"/>
      <c r="N74" s="26"/>
      <c r="O74" s="26"/>
      <c r="P74" s="26"/>
      <c r="Q74" s="26"/>
      <c r="R74" s="26"/>
      <c r="S74" s="26"/>
      <c r="T74" s="26"/>
      <c r="U74" s="26"/>
      <c r="V74" s="26"/>
      <c r="W74" s="26"/>
      <c r="X74" s="26"/>
      <c r="Y74" s="26"/>
      <c r="Z74" s="26"/>
    </row>
    <row r="75" spans="2:26" x14ac:dyDescent="0.25">
      <c r="B75" s="21"/>
      <c r="C75" s="27" t="s">
        <v>623</v>
      </c>
      <c r="D75" s="21" t="s">
        <v>120</v>
      </c>
      <c r="E75" s="26"/>
      <c r="F75" s="26"/>
      <c r="G75" s="26"/>
      <c r="H75" s="26"/>
      <c r="I75" s="26"/>
      <c r="J75" s="26"/>
      <c r="K75" s="26"/>
      <c r="L75" s="26"/>
      <c r="M75" s="26"/>
      <c r="N75" s="26"/>
      <c r="O75" s="26"/>
      <c r="P75" s="26"/>
      <c r="Q75" s="26"/>
      <c r="R75" s="26"/>
      <c r="S75" s="26"/>
      <c r="T75" s="26"/>
      <c r="U75" s="26"/>
      <c r="V75" s="26"/>
      <c r="W75" s="26"/>
      <c r="X75" s="26"/>
      <c r="Y75" s="26"/>
      <c r="Z75" s="26"/>
    </row>
    <row r="76" spans="2:26" x14ac:dyDescent="0.25">
      <c r="B76" s="21"/>
      <c r="C76" s="36" t="s">
        <v>624</v>
      </c>
      <c r="D76" s="21" t="s">
        <v>120</v>
      </c>
      <c r="E76" s="26"/>
      <c r="F76" s="26"/>
      <c r="G76" s="26"/>
      <c r="H76" s="26"/>
      <c r="I76" s="26"/>
      <c r="J76" s="26"/>
      <c r="K76" s="26"/>
      <c r="L76" s="26"/>
      <c r="M76" s="26"/>
      <c r="N76" s="26"/>
      <c r="O76" s="26"/>
      <c r="P76" s="26"/>
      <c r="Q76" s="26"/>
      <c r="R76" s="26"/>
      <c r="S76" s="26"/>
      <c r="T76" s="26"/>
      <c r="U76" s="26"/>
      <c r="V76" s="26"/>
      <c r="W76" s="26"/>
      <c r="X76" s="26"/>
      <c r="Y76" s="26"/>
      <c r="Z76" s="26"/>
    </row>
    <row r="77" spans="2:26" x14ac:dyDescent="0.25">
      <c r="B77" s="21"/>
      <c r="C77" s="25" t="s">
        <v>625</v>
      </c>
      <c r="D77" s="21" t="s">
        <v>120</v>
      </c>
      <c r="E77" s="26"/>
      <c r="F77" s="26"/>
      <c r="G77" s="26"/>
      <c r="H77" s="26"/>
      <c r="I77" s="26"/>
      <c r="J77" s="26"/>
      <c r="K77" s="26"/>
      <c r="L77" s="26"/>
      <c r="M77" s="26"/>
      <c r="N77" s="26"/>
      <c r="O77" s="26"/>
      <c r="P77" s="26"/>
      <c r="Q77" s="26"/>
      <c r="R77" s="26"/>
      <c r="S77" s="26"/>
      <c r="T77" s="26"/>
      <c r="U77" s="26"/>
      <c r="V77" s="26"/>
      <c r="W77" s="26"/>
      <c r="X77" s="26"/>
      <c r="Y77" s="26"/>
      <c r="Z77" s="26"/>
    </row>
    <row r="78" spans="2:26" x14ac:dyDescent="0.25">
      <c r="B78" s="21"/>
      <c r="C78" s="27" t="s">
        <v>626</v>
      </c>
      <c r="D78" s="21" t="s">
        <v>120</v>
      </c>
      <c r="E78" s="26"/>
      <c r="F78" s="26"/>
      <c r="G78" s="26"/>
      <c r="H78" s="26"/>
      <c r="I78" s="26"/>
      <c r="J78" s="26"/>
      <c r="K78" s="26"/>
      <c r="L78" s="26"/>
      <c r="M78" s="26"/>
      <c r="N78" s="26"/>
      <c r="O78" s="26"/>
      <c r="P78" s="26"/>
      <c r="Q78" s="26"/>
      <c r="R78" s="26"/>
      <c r="S78" s="26"/>
      <c r="T78" s="26"/>
      <c r="U78" s="26"/>
      <c r="V78" s="26"/>
      <c r="W78" s="26"/>
      <c r="X78" s="26"/>
      <c r="Y78" s="26"/>
      <c r="Z78" s="26"/>
    </row>
    <row r="79" spans="2:26" x14ac:dyDescent="0.25">
      <c r="B79" s="21"/>
      <c r="C79" s="25" t="s">
        <v>627</v>
      </c>
      <c r="D79" s="21" t="s">
        <v>120</v>
      </c>
      <c r="E79" s="26"/>
      <c r="F79" s="26"/>
      <c r="G79" s="26"/>
      <c r="H79" s="26"/>
      <c r="I79" s="26"/>
      <c r="J79" s="26"/>
      <c r="K79" s="26"/>
      <c r="L79" s="26"/>
      <c r="M79" s="26"/>
      <c r="N79" s="26"/>
      <c r="O79" s="26"/>
      <c r="P79" s="26"/>
      <c r="Q79" s="26"/>
      <c r="R79" s="26"/>
      <c r="S79" s="26"/>
      <c r="T79" s="26"/>
      <c r="U79" s="26"/>
      <c r="V79" s="26"/>
      <c r="W79" s="26"/>
      <c r="X79" s="26"/>
      <c r="Y79" s="26"/>
      <c r="Z79" s="26"/>
    </row>
    <row r="80" spans="2:26" x14ac:dyDescent="0.25">
      <c r="B80" s="21"/>
      <c r="C80" s="27" t="s">
        <v>628</v>
      </c>
      <c r="D80" s="21" t="s">
        <v>120</v>
      </c>
      <c r="E80" s="26"/>
      <c r="F80" s="26"/>
      <c r="G80" s="26"/>
      <c r="H80" s="26"/>
      <c r="I80" s="26"/>
      <c r="J80" s="26"/>
      <c r="K80" s="26"/>
      <c r="L80" s="26"/>
      <c r="M80" s="26"/>
      <c r="N80" s="26"/>
      <c r="O80" s="26"/>
      <c r="P80" s="26"/>
      <c r="Q80" s="26"/>
      <c r="R80" s="26"/>
      <c r="S80" s="26"/>
      <c r="T80" s="26"/>
      <c r="U80" s="26"/>
      <c r="V80" s="26"/>
      <c r="W80" s="26"/>
      <c r="X80" s="26"/>
      <c r="Y80" s="26"/>
      <c r="Z80" s="26"/>
    </row>
    <row r="81" spans="2:26" x14ac:dyDescent="0.25">
      <c r="B81" s="21"/>
      <c r="C81" s="25" t="s">
        <v>629</v>
      </c>
      <c r="D81" s="21" t="s">
        <v>120</v>
      </c>
      <c r="E81" s="26"/>
      <c r="F81" s="26"/>
      <c r="G81" s="26"/>
      <c r="H81" s="26"/>
      <c r="I81" s="26"/>
      <c r="J81" s="26"/>
      <c r="K81" s="26"/>
      <c r="L81" s="26"/>
      <c r="M81" s="26"/>
      <c r="N81" s="26"/>
      <c r="O81" s="26"/>
      <c r="P81" s="26"/>
      <c r="Q81" s="26"/>
      <c r="R81" s="26"/>
      <c r="S81" s="26"/>
      <c r="T81" s="26"/>
      <c r="U81" s="26"/>
      <c r="V81" s="26"/>
      <c r="W81" s="26"/>
      <c r="X81" s="26"/>
      <c r="Y81" s="26"/>
      <c r="Z81" s="26"/>
    </row>
    <row r="82" spans="2:26" x14ac:dyDescent="0.25">
      <c r="B82" s="21"/>
      <c r="C82" s="25" t="s">
        <v>630</v>
      </c>
      <c r="D82" s="21" t="s">
        <v>120</v>
      </c>
      <c r="E82" s="26"/>
      <c r="F82" s="26"/>
      <c r="G82" s="26"/>
      <c r="H82" s="26"/>
      <c r="I82" s="26"/>
      <c r="J82" s="26"/>
      <c r="K82" s="26"/>
      <c r="L82" s="26"/>
      <c r="M82" s="26"/>
      <c r="N82" s="26"/>
      <c r="O82" s="26"/>
      <c r="P82" s="26"/>
      <c r="Q82" s="26"/>
      <c r="R82" s="26"/>
      <c r="S82" s="26"/>
      <c r="T82" s="26"/>
      <c r="U82" s="26"/>
      <c r="V82" s="26"/>
      <c r="W82" s="26"/>
      <c r="X82" s="26"/>
      <c r="Y82" s="26"/>
      <c r="Z82" s="26"/>
    </row>
    <row r="83" spans="2:26" x14ac:dyDescent="0.25">
      <c r="B83" s="21"/>
      <c r="C83" s="25" t="s">
        <v>631</v>
      </c>
      <c r="D83" s="21" t="s">
        <v>120</v>
      </c>
      <c r="E83" s="26"/>
      <c r="F83" s="26"/>
      <c r="G83" s="26"/>
      <c r="H83" s="26"/>
      <c r="I83" s="26"/>
      <c r="J83" s="26"/>
      <c r="K83" s="26"/>
      <c r="L83" s="26"/>
      <c r="M83" s="26"/>
      <c r="N83" s="26"/>
      <c r="O83" s="26"/>
      <c r="P83" s="26"/>
      <c r="Q83" s="26"/>
      <c r="R83" s="26"/>
      <c r="S83" s="26"/>
      <c r="T83" s="26"/>
      <c r="U83" s="26"/>
      <c r="V83" s="26"/>
      <c r="W83" s="26"/>
      <c r="X83" s="26"/>
      <c r="Y83" s="26"/>
      <c r="Z83" s="26"/>
    </row>
    <row r="84" spans="2:26" x14ac:dyDescent="0.25">
      <c r="B84" s="21"/>
      <c r="C84" s="25" t="s">
        <v>632</v>
      </c>
      <c r="D84" s="21" t="s">
        <v>120</v>
      </c>
      <c r="E84" s="26"/>
      <c r="F84" s="26"/>
      <c r="G84" s="26"/>
      <c r="H84" s="26"/>
      <c r="I84" s="26"/>
      <c r="J84" s="26"/>
      <c r="K84" s="26"/>
      <c r="L84" s="26"/>
      <c r="M84" s="26"/>
      <c r="N84" s="26"/>
      <c r="O84" s="26"/>
      <c r="P84" s="26"/>
      <c r="Q84" s="26"/>
      <c r="R84" s="26"/>
      <c r="S84" s="26"/>
      <c r="T84" s="26"/>
      <c r="U84" s="26"/>
      <c r="V84" s="26"/>
      <c r="W84" s="26"/>
      <c r="X84" s="26"/>
      <c r="Y84" s="26"/>
      <c r="Z84" s="26"/>
    </row>
    <row r="85" spans="2:26" x14ac:dyDescent="0.25">
      <c r="B85" s="21"/>
      <c r="C85" s="25" t="s">
        <v>633</v>
      </c>
      <c r="D85" s="21" t="s">
        <v>120</v>
      </c>
      <c r="E85" s="26"/>
      <c r="F85" s="26"/>
      <c r="G85" s="26"/>
      <c r="H85" s="26"/>
      <c r="I85" s="26"/>
      <c r="J85" s="26"/>
      <c r="K85" s="26"/>
      <c r="L85" s="26"/>
      <c r="M85" s="26"/>
      <c r="N85" s="26"/>
      <c r="O85" s="26"/>
      <c r="P85" s="26"/>
      <c r="Q85" s="26"/>
      <c r="R85" s="26"/>
      <c r="S85" s="26"/>
      <c r="T85" s="26"/>
      <c r="U85" s="26"/>
      <c r="V85" s="26"/>
      <c r="W85" s="26"/>
      <c r="X85" s="26"/>
      <c r="Y85" s="26"/>
      <c r="Z85" s="26"/>
    </row>
    <row r="86" spans="2:26" x14ac:dyDescent="0.25">
      <c r="B86" s="18">
        <v>2.2000000000000002</v>
      </c>
      <c r="C86" s="23" t="s">
        <v>634</v>
      </c>
      <c r="D86" s="21" t="s">
        <v>120</v>
      </c>
      <c r="E86" s="24">
        <f ca="1">SUM(E87:E89)+SUM(E92:E98)</f>
        <v>31636.040763520901</v>
      </c>
      <c r="F86" s="24">
        <f t="shared" ref="F86:Z86" ca="1" si="10">SUM(F87:F89)+SUM(F92:F98)</f>
        <v>53699.272378247944</v>
      </c>
      <c r="G86" s="24">
        <f t="shared" ca="1" si="10"/>
        <v>46704.523445807055</v>
      </c>
      <c r="H86" s="24">
        <f t="shared" ca="1" si="10"/>
        <v>43714.534561855064</v>
      </c>
      <c r="I86" s="24">
        <f t="shared" ca="1" si="10"/>
        <v>40725.124254499533</v>
      </c>
      <c r="J86" s="24">
        <f t="shared" ca="1" si="10"/>
        <v>37736.290870641351</v>
      </c>
      <c r="K86" s="24">
        <f t="shared" ca="1" si="10"/>
        <v>34748.032764620359</v>
      </c>
      <c r="L86" s="24">
        <f t="shared" ca="1" si="10"/>
        <v>31652.820746642061</v>
      </c>
      <c r="M86" s="24">
        <f t="shared" ca="1" si="10"/>
        <v>28615.902676616388</v>
      </c>
      <c r="N86" s="24">
        <f t="shared" ca="1" si="10"/>
        <v>25059.660443182362</v>
      </c>
      <c r="O86" s="24">
        <f t="shared" ca="1" si="10"/>
        <v>21479.708951299166</v>
      </c>
      <c r="P86" s="24">
        <f t="shared" ca="1" si="10"/>
        <v>17899.757459415971</v>
      </c>
      <c r="Q86" s="24">
        <f t="shared" ca="1" si="10"/>
        <v>14319.805967532775</v>
      </c>
      <c r="R86" s="24">
        <f t="shared" ca="1" si="10"/>
        <v>10739.854475649579</v>
      </c>
      <c r="S86" s="24">
        <f t="shared" ca="1" si="10"/>
        <v>7159.9029837663829</v>
      </c>
      <c r="T86" s="24">
        <f t="shared" ca="1" si="10"/>
        <v>3579.9514918831865</v>
      </c>
      <c r="U86" s="24">
        <f t="shared" ca="1" si="10"/>
        <v>-1.0004441719502211E-11</v>
      </c>
      <c r="V86" s="24">
        <f t="shared" ca="1" si="10"/>
        <v>0</v>
      </c>
      <c r="W86" s="24">
        <f t="shared" ca="1" si="10"/>
        <v>0</v>
      </c>
      <c r="X86" s="24">
        <f t="shared" ca="1" si="10"/>
        <v>0</v>
      </c>
      <c r="Y86" s="24">
        <f t="shared" ca="1" si="10"/>
        <v>0</v>
      </c>
      <c r="Z86" s="24">
        <f t="shared" ca="1" si="10"/>
        <v>0</v>
      </c>
    </row>
    <row r="87" spans="2:26" x14ac:dyDescent="0.25">
      <c r="B87" s="21"/>
      <c r="C87" s="25" t="s">
        <v>635</v>
      </c>
      <c r="D87" s="21" t="s">
        <v>120</v>
      </c>
      <c r="E87" s="26"/>
      <c r="F87" s="26"/>
      <c r="G87" s="26"/>
      <c r="H87" s="26"/>
      <c r="I87" s="26"/>
      <c r="J87" s="26"/>
      <c r="K87" s="26"/>
      <c r="L87" s="26"/>
      <c r="M87" s="26"/>
      <c r="N87" s="26"/>
      <c r="O87" s="26"/>
      <c r="P87" s="26"/>
      <c r="Q87" s="26"/>
      <c r="R87" s="26"/>
      <c r="S87" s="26"/>
      <c r="T87" s="26"/>
      <c r="U87" s="26"/>
      <c r="V87" s="26"/>
      <c r="W87" s="26"/>
      <c r="X87" s="26"/>
      <c r="Y87" s="26"/>
      <c r="Z87" s="26"/>
    </row>
    <row r="88" spans="2:26" x14ac:dyDescent="0.25">
      <c r="B88" s="21"/>
      <c r="C88" s="25" t="s">
        <v>636</v>
      </c>
      <c r="D88" s="21" t="s">
        <v>120</v>
      </c>
      <c r="E88" s="26">
        <f ca="1">'表1-资金筹措及还本付息表'!F44</f>
        <v>31636.040763520901</v>
      </c>
      <c r="F88" s="26">
        <f ca="1">IF('表1-资金筹措及还本付息表'!G5=0,0,'表1-资金筹措及还本付息表'!G44)</f>
        <v>53699.272378247944</v>
      </c>
      <c r="G88" s="26">
        <f ca="1">'表1-资金筹措及还本付息表'!H54</f>
        <v>50119.320886364745</v>
      </c>
      <c r="H88" s="26">
        <f ca="1">'表1-资金筹措及还本付息表'!I54</f>
        <v>46539.369394481546</v>
      </c>
      <c r="I88" s="26">
        <f ca="1">'表1-资金筹措及还本付息表'!J54</f>
        <v>42959.417902598347</v>
      </c>
      <c r="J88" s="26">
        <f ca="1">'表1-资金筹措及还本付息表'!K54</f>
        <v>39379.466410715148</v>
      </c>
      <c r="K88" s="26">
        <f ca="1">'表1-资金筹措及还本付息表'!L54</f>
        <v>35799.514918831948</v>
      </c>
      <c r="L88" s="26">
        <f ca="1">'表1-资金筹措及还本付息表'!M54</f>
        <v>32219.563426948753</v>
      </c>
      <c r="M88" s="26">
        <f ca="1">'表1-资金筹措及还本付息表'!N54</f>
        <v>28639.611935065557</v>
      </c>
      <c r="N88" s="26">
        <f ca="1">'表1-资金筹措及还本付息表'!O54</f>
        <v>25059.660443182362</v>
      </c>
      <c r="O88" s="26">
        <f ca="1">'表1-资金筹措及还本付息表'!P54</f>
        <v>21479.708951299166</v>
      </c>
      <c r="P88" s="26">
        <f ca="1">'表1-资金筹措及还本付息表'!Q54</f>
        <v>17899.757459415971</v>
      </c>
      <c r="Q88" s="26">
        <f ca="1">'表1-资金筹措及还本付息表'!R54</f>
        <v>14319.805967532775</v>
      </c>
      <c r="R88" s="26">
        <f ca="1">'表1-资金筹措及还本付息表'!S54</f>
        <v>10739.854475649579</v>
      </c>
      <c r="S88" s="26">
        <f ca="1">'表1-资金筹措及还本付息表'!T54</f>
        <v>7159.9029837663829</v>
      </c>
      <c r="T88" s="26">
        <f ca="1">'表1-资金筹措及还本付息表'!U54</f>
        <v>3579.9514918831865</v>
      </c>
      <c r="U88" s="26">
        <f ca="1">'表1-资金筹措及还本付息表'!V54</f>
        <v>-1.0004441719502211E-11</v>
      </c>
      <c r="V88" s="26">
        <f>'表1-资金筹措及还本付息表'!W54</f>
        <v>0</v>
      </c>
      <c r="W88" s="26">
        <f>'表1-资金筹措及还本付息表'!X54</f>
        <v>0</v>
      </c>
      <c r="X88" s="26">
        <f>'表1-资金筹措及还本付息表'!Y54</f>
        <v>0</v>
      </c>
      <c r="Y88" s="26">
        <f>'表1-资金筹措及还本付息表'!Z54</f>
        <v>0</v>
      </c>
      <c r="Z88" s="26">
        <f>'表1-资金筹措及还本付息表'!AA54</f>
        <v>0</v>
      </c>
    </row>
    <row r="89" spans="2:26" x14ac:dyDescent="0.25">
      <c r="B89" s="21"/>
      <c r="C89" s="25" t="s">
        <v>637</v>
      </c>
      <c r="D89" s="21" t="s">
        <v>120</v>
      </c>
      <c r="E89" s="26"/>
      <c r="F89" s="26"/>
      <c r="G89" s="26"/>
      <c r="H89" s="26"/>
      <c r="I89" s="26"/>
      <c r="J89" s="26"/>
      <c r="K89" s="26"/>
      <c r="L89" s="26"/>
      <c r="M89" s="26"/>
      <c r="N89" s="26"/>
      <c r="O89" s="26"/>
      <c r="P89" s="26"/>
      <c r="Q89" s="26"/>
      <c r="R89" s="26"/>
      <c r="S89" s="26"/>
      <c r="T89" s="26"/>
      <c r="U89" s="26"/>
      <c r="V89" s="26"/>
      <c r="W89" s="26"/>
      <c r="X89" s="26"/>
      <c r="Y89" s="26"/>
      <c r="Z89" s="26"/>
    </row>
    <row r="90" spans="2:26" x14ac:dyDescent="0.25">
      <c r="B90" s="21"/>
      <c r="C90" s="27" t="s">
        <v>638</v>
      </c>
      <c r="D90" s="21" t="s">
        <v>120</v>
      </c>
      <c r="E90" s="26"/>
      <c r="F90" s="26"/>
      <c r="G90" s="26"/>
      <c r="H90" s="26"/>
      <c r="I90" s="26"/>
      <c r="J90" s="26"/>
      <c r="K90" s="26"/>
      <c r="L90" s="26"/>
      <c r="M90" s="26"/>
      <c r="N90" s="26"/>
      <c r="O90" s="26"/>
      <c r="P90" s="26"/>
      <c r="Q90" s="26"/>
      <c r="R90" s="26"/>
      <c r="S90" s="26"/>
      <c r="T90" s="26"/>
      <c r="U90" s="26"/>
      <c r="V90" s="26"/>
      <c r="W90" s="26"/>
      <c r="X90" s="26"/>
      <c r="Y90" s="26"/>
      <c r="Z90" s="26"/>
    </row>
    <row r="91" spans="2:26" x14ac:dyDescent="0.25">
      <c r="B91" s="21"/>
      <c r="C91" s="27" t="s">
        <v>639</v>
      </c>
      <c r="D91" s="21" t="s">
        <v>120</v>
      </c>
      <c r="E91" s="26"/>
      <c r="F91" s="26"/>
      <c r="G91" s="26"/>
      <c r="H91" s="26"/>
      <c r="I91" s="26"/>
      <c r="J91" s="26"/>
      <c r="K91" s="26"/>
      <c r="L91" s="26"/>
      <c r="M91" s="26"/>
      <c r="N91" s="26"/>
      <c r="O91" s="26"/>
      <c r="P91" s="26"/>
      <c r="Q91" s="26"/>
      <c r="R91" s="26"/>
      <c r="S91" s="26"/>
      <c r="T91" s="26"/>
      <c r="U91" s="26"/>
      <c r="V91" s="26"/>
      <c r="W91" s="26"/>
      <c r="X91" s="26"/>
      <c r="Y91" s="26"/>
      <c r="Z91" s="26"/>
    </row>
    <row r="92" spans="2:26" x14ac:dyDescent="0.25">
      <c r="B92" s="21"/>
      <c r="C92" s="25" t="s">
        <v>640</v>
      </c>
      <c r="D92" s="21" t="s">
        <v>120</v>
      </c>
      <c r="E92" s="26"/>
      <c r="F92" s="26"/>
      <c r="G92" s="26"/>
      <c r="H92" s="26"/>
      <c r="I92" s="26"/>
      <c r="J92" s="26"/>
      <c r="K92" s="26"/>
      <c r="L92" s="26"/>
      <c r="M92" s="26"/>
      <c r="N92" s="26"/>
      <c r="O92" s="26"/>
      <c r="P92" s="26"/>
      <c r="Q92" s="26"/>
      <c r="R92" s="26"/>
      <c r="S92" s="26"/>
      <c r="T92" s="26"/>
      <c r="U92" s="26"/>
      <c r="V92" s="26"/>
      <c r="W92" s="26"/>
      <c r="X92" s="26"/>
      <c r="Y92" s="26"/>
      <c r="Z92" s="26"/>
    </row>
    <row r="93" spans="2:26" x14ac:dyDescent="0.25">
      <c r="B93" s="21"/>
      <c r="C93" s="25" t="s">
        <v>641</v>
      </c>
      <c r="D93" s="21" t="s">
        <v>120</v>
      </c>
      <c r="E93" s="26"/>
      <c r="F93" s="26"/>
      <c r="G93" s="26"/>
      <c r="H93" s="26"/>
      <c r="I93" s="26"/>
      <c r="J93" s="26"/>
      <c r="K93" s="26"/>
      <c r="L93" s="26"/>
      <c r="M93" s="26"/>
      <c r="N93" s="26"/>
      <c r="O93" s="26"/>
      <c r="P93" s="26"/>
      <c r="Q93" s="26"/>
      <c r="R93" s="26"/>
      <c r="S93" s="26"/>
      <c r="T93" s="26"/>
      <c r="U93" s="26"/>
      <c r="V93" s="26"/>
      <c r="W93" s="26"/>
      <c r="X93" s="26"/>
      <c r="Y93" s="26"/>
      <c r="Z93" s="26"/>
    </row>
    <row r="94" spans="2:26" x14ac:dyDescent="0.25">
      <c r="B94" s="21"/>
      <c r="C94" s="25" t="s">
        <v>642</v>
      </c>
      <c r="D94" s="21" t="s">
        <v>120</v>
      </c>
      <c r="E94" s="26"/>
      <c r="F94" s="26"/>
      <c r="G94" s="26"/>
      <c r="H94" s="26"/>
      <c r="I94" s="26"/>
      <c r="J94" s="26"/>
      <c r="K94" s="26"/>
      <c r="L94" s="26"/>
      <c r="M94" s="26"/>
      <c r="N94" s="26"/>
      <c r="O94" s="26"/>
      <c r="P94" s="26"/>
      <c r="Q94" s="26"/>
      <c r="R94" s="26"/>
      <c r="S94" s="26"/>
      <c r="T94" s="26"/>
      <c r="U94" s="26"/>
      <c r="V94" s="26"/>
      <c r="W94" s="26"/>
      <c r="X94" s="26"/>
      <c r="Y94" s="26"/>
      <c r="Z94" s="26"/>
    </row>
    <row r="95" spans="2:26" x14ac:dyDescent="0.25">
      <c r="B95" s="21"/>
      <c r="C95" s="25" t="s">
        <v>643</v>
      </c>
      <c r="D95" s="21" t="s">
        <v>120</v>
      </c>
      <c r="E95" s="26"/>
      <c r="F95" s="26"/>
      <c r="G95" s="26"/>
      <c r="H95" s="26"/>
      <c r="I95" s="26"/>
      <c r="J95" s="26"/>
      <c r="K95" s="26"/>
      <c r="L95" s="26"/>
      <c r="M95" s="26"/>
      <c r="N95" s="26"/>
      <c r="O95" s="26"/>
      <c r="P95" s="26"/>
      <c r="Q95" s="26"/>
      <c r="R95" s="26"/>
      <c r="S95" s="26"/>
      <c r="T95" s="26"/>
      <c r="U95" s="26"/>
      <c r="V95" s="26"/>
      <c r="W95" s="26"/>
      <c r="X95" s="26"/>
      <c r="Y95" s="26"/>
      <c r="Z95" s="26"/>
    </row>
    <row r="96" spans="2:26" x14ac:dyDescent="0.25">
      <c r="B96" s="21"/>
      <c r="C96" s="25" t="s">
        <v>644</v>
      </c>
      <c r="D96" s="21" t="s">
        <v>120</v>
      </c>
      <c r="E96" s="26"/>
      <c r="F96" s="26"/>
      <c r="G96" s="26">
        <f ca="1">-'表4-收入税金表'!H39</f>
        <v>-3414.7974405576897</v>
      </c>
      <c r="H96" s="26">
        <f ca="1">-'表4-收入税金表'!I39</f>
        <v>-2824.8348326264822</v>
      </c>
      <c r="I96" s="26">
        <f ca="1">-'表4-收入税金表'!J39</f>
        <v>-2234.2936480988146</v>
      </c>
      <c r="J96" s="26">
        <f ca="1">-'表4-收入税金表'!K39</f>
        <v>-1643.1755400737959</v>
      </c>
      <c r="K96" s="26">
        <f ca="1">-'表4-收入税金表'!L39</f>
        <v>-1051.4821542115887</v>
      </c>
      <c r="L96" s="26">
        <f ca="1">-'表4-收入税金表'!M39</f>
        <v>-566.74268030669157</v>
      </c>
      <c r="M96" s="26">
        <f ca="1">-'表4-收入税金表'!N39</f>
        <v>-23.709258449168715</v>
      </c>
      <c r="N96" s="26">
        <f ca="1">-'表4-收入税金表'!O39</f>
        <v>0</v>
      </c>
      <c r="O96" s="26">
        <f ca="1">-'表4-收入税金表'!P39</f>
        <v>0</v>
      </c>
      <c r="P96" s="26">
        <f ca="1">-'表4-收入税金表'!Q39</f>
        <v>0</v>
      </c>
      <c r="Q96" s="26">
        <f ca="1">-'表4-收入税金表'!R39</f>
        <v>0</v>
      </c>
      <c r="R96" s="26">
        <f ca="1">-'表4-收入税金表'!S39</f>
        <v>0</v>
      </c>
      <c r="S96" s="26">
        <f ca="1">-'表4-收入税金表'!T39</f>
        <v>0</v>
      </c>
      <c r="T96" s="26">
        <f ca="1">-'表4-收入税金表'!U39</f>
        <v>0</v>
      </c>
      <c r="U96" s="26">
        <f ca="1">-'表4-收入税金表'!V39</f>
        <v>0</v>
      </c>
      <c r="V96" s="26">
        <f ca="1">-'表4-收入税金表'!W39</f>
        <v>0</v>
      </c>
      <c r="W96" s="26">
        <f ca="1">-'表4-收入税金表'!X39</f>
        <v>0</v>
      </c>
      <c r="X96" s="26">
        <f ca="1">-'表4-收入税金表'!Y39</f>
        <v>0</v>
      </c>
      <c r="Y96" s="26">
        <f ca="1">-'表4-收入税金表'!Z39</f>
        <v>0</v>
      </c>
      <c r="Z96" s="26">
        <f ca="1">-'表4-收入税金表'!AA39</f>
        <v>0</v>
      </c>
    </row>
    <row r="97" spans="2:26" x14ac:dyDescent="0.25">
      <c r="B97" s="21"/>
      <c r="C97" s="25" t="s">
        <v>645</v>
      </c>
      <c r="D97" s="21" t="s">
        <v>120</v>
      </c>
      <c r="E97" s="26"/>
      <c r="F97" s="26"/>
      <c r="G97" s="26"/>
      <c r="H97" s="26"/>
      <c r="I97" s="26"/>
      <c r="J97" s="26"/>
      <c r="K97" s="26"/>
      <c r="L97" s="26"/>
      <c r="M97" s="26"/>
      <c r="N97" s="26"/>
      <c r="O97" s="26"/>
      <c r="P97" s="26"/>
      <c r="Q97" s="26"/>
      <c r="R97" s="26"/>
      <c r="S97" s="26"/>
      <c r="T97" s="26"/>
      <c r="U97" s="26"/>
      <c r="V97" s="26"/>
      <c r="W97" s="26"/>
      <c r="X97" s="26"/>
      <c r="Y97" s="26"/>
      <c r="Z97" s="26"/>
    </row>
    <row r="98" spans="2:26" x14ac:dyDescent="0.25">
      <c r="B98" s="21"/>
      <c r="C98" s="25" t="s">
        <v>646</v>
      </c>
      <c r="D98" s="21" t="s">
        <v>120</v>
      </c>
      <c r="E98" s="26"/>
      <c r="F98" s="26"/>
      <c r="G98" s="26"/>
      <c r="H98" s="26"/>
      <c r="I98" s="26"/>
      <c r="J98" s="26"/>
      <c r="K98" s="26"/>
      <c r="L98" s="26"/>
      <c r="M98" s="26"/>
      <c r="N98" s="26"/>
      <c r="O98" s="26"/>
      <c r="P98" s="26"/>
      <c r="Q98" s="26"/>
      <c r="R98" s="26"/>
      <c r="S98" s="26"/>
      <c r="T98" s="26"/>
      <c r="U98" s="26"/>
      <c r="V98" s="26"/>
      <c r="W98" s="26"/>
      <c r="X98" s="26"/>
      <c r="Y98" s="26"/>
      <c r="Z98" s="26"/>
    </row>
    <row r="99" spans="2:26" x14ac:dyDescent="0.25">
      <c r="B99" s="21"/>
      <c r="C99" s="27" t="s">
        <v>647</v>
      </c>
      <c r="D99" s="21" t="s">
        <v>120</v>
      </c>
      <c r="E99" s="26"/>
      <c r="F99" s="26"/>
      <c r="G99" s="26"/>
      <c r="H99" s="26"/>
      <c r="I99" s="26"/>
      <c r="J99" s="26"/>
      <c r="K99" s="26"/>
      <c r="L99" s="26"/>
      <c r="M99" s="26"/>
      <c r="N99" s="26"/>
      <c r="O99" s="26"/>
      <c r="P99" s="26"/>
      <c r="Q99" s="26"/>
      <c r="R99" s="26"/>
      <c r="S99" s="26"/>
      <c r="T99" s="26"/>
      <c r="U99" s="26"/>
      <c r="V99" s="26"/>
      <c r="W99" s="26"/>
      <c r="X99" s="26"/>
      <c r="Y99" s="26"/>
      <c r="Z99" s="26"/>
    </row>
    <row r="100" spans="2:26" ht="23.5" customHeight="1" x14ac:dyDescent="0.25">
      <c r="B100" s="19">
        <v>3</v>
      </c>
      <c r="C100" s="20" t="s">
        <v>648</v>
      </c>
      <c r="D100" s="37" t="s">
        <v>120</v>
      </c>
      <c r="E100" s="22">
        <f t="shared" ref="E100:P100" ca="1" si="11">E108+E109+E112-E113+E114+E116+E117+E123+E124+E125+E126</f>
        <v>8075.102045679706</v>
      </c>
      <c r="F100" s="22">
        <f t="shared" ca="1" si="11"/>
        <v>13590.909949361467</v>
      </c>
      <c r="G100" s="22">
        <f t="shared" ca="1" si="11"/>
        <v>18366.26693332069</v>
      </c>
      <c r="H100" s="22">
        <f t="shared" ca="1" si="11"/>
        <v>17416.282873512457</v>
      </c>
      <c r="I100" s="22">
        <f t="shared" ca="1" si="11"/>
        <v>16673.488504636862</v>
      </c>
      <c r="J100" s="22">
        <f t="shared" ca="1" si="11"/>
        <v>16118.450774821078</v>
      </c>
      <c r="K100" s="22">
        <f t="shared" ca="1" si="11"/>
        <v>15733.679862290704</v>
      </c>
      <c r="L100" s="22">
        <f t="shared" ca="1" si="11"/>
        <v>14750.741991919196</v>
      </c>
      <c r="M100" s="22">
        <f t="shared" ca="1" si="11"/>
        <v>14839.624191513883</v>
      </c>
      <c r="N100" s="22">
        <f t="shared" ca="1" si="11"/>
        <v>14997.155143058357</v>
      </c>
      <c r="O100" s="22">
        <f t="shared" ca="1" si="11"/>
        <v>15261.034082333403</v>
      </c>
      <c r="P100" s="22">
        <f t="shared" ca="1" si="11"/>
        <v>15622.718998892953</v>
      </c>
      <c r="Q100" s="22">
        <f t="shared" ref="Q100:Z100" ca="1" si="12">Q108+Q109+Q112-Q113+Q114+Q116+Q117+Q123+Q124+Q125+Q126</f>
        <v>16589.09101822981</v>
      </c>
      <c r="R100" s="22">
        <f t="shared" ca="1" si="12"/>
        <v>17438.038345738831</v>
      </c>
      <c r="S100" s="22">
        <f t="shared" ca="1" si="12"/>
        <v>18304.374155980564</v>
      </c>
      <c r="T100" s="22">
        <f t="shared" ca="1" si="12"/>
        <v>19191.245706807142</v>
      </c>
      <c r="U100" s="22">
        <f t="shared" ca="1" si="12"/>
        <v>20097.60258855846</v>
      </c>
      <c r="V100" s="22">
        <f t="shared" ca="1" si="12"/>
        <v>22636.261599601032</v>
      </c>
      <c r="W100" s="22">
        <f t="shared" ca="1" si="12"/>
        <v>24963.450493912627</v>
      </c>
      <c r="X100" s="22">
        <f t="shared" ca="1" si="12"/>
        <v>27100.379120545331</v>
      </c>
      <c r="Y100" s="22">
        <f t="shared" ca="1" si="12"/>
        <v>29066.136148828362</v>
      </c>
      <c r="Z100" s="22">
        <f t="shared" ca="1" si="12"/>
        <v>30877.901187217023</v>
      </c>
    </row>
    <row r="101" spans="2:26" s="12" customFormat="1" x14ac:dyDescent="0.25">
      <c r="B101" s="29"/>
      <c r="C101" s="30" t="s">
        <v>649</v>
      </c>
      <c r="D101" s="29" t="s">
        <v>120</v>
      </c>
      <c r="E101" s="31">
        <f ca="1">'表1-资金筹措及还本付息表'!F11</f>
        <v>8075.102045679706</v>
      </c>
      <c r="F101" s="31">
        <f ca="1">IF('表1-资金筹措及还本付息表'!G5=0,0,E101+'表1-资金筹措及还本付息表'!G11)</f>
        <v>13590.909949361467</v>
      </c>
      <c r="G101" s="31">
        <f ca="1">IF('表1-资金筹措及还本付息表'!G5&gt;0,F101+'表1-资金筹措及还本付息表'!H11,E101+'表1-资金筹措及还本付息表'!H11)</f>
        <v>13705.209949361466</v>
      </c>
      <c r="H101" s="31">
        <f ca="1">G101+'表1-资金筹措及还本付息表'!I11</f>
        <v>13705.209949361466</v>
      </c>
      <c r="I101" s="31">
        <f ca="1">H101+'表1-资金筹措及还本付息表'!J11</f>
        <v>13705.209949361466</v>
      </c>
      <c r="J101" s="31">
        <f ca="1">I101+'表1-资金筹措及还本付息表'!K11</f>
        <v>13705.209949361466</v>
      </c>
      <c r="K101" s="31">
        <f ca="1">J101+'表1-资金筹措及还本付息表'!L11</f>
        <v>13705.209949361466</v>
      </c>
      <c r="L101" s="31">
        <f ca="1">K101+'表1-资金筹措及还本付息表'!M11</f>
        <v>13705.209949361466</v>
      </c>
      <c r="M101" s="31">
        <f ca="1">L101+'表1-资金筹措及还本付息表'!N11</f>
        <v>13705.209949361466</v>
      </c>
      <c r="N101" s="31">
        <f ca="1">M101+'表1-资金筹措及还本付息表'!O11</f>
        <v>13705.209949361466</v>
      </c>
      <c r="O101" s="31">
        <f ca="1">N101+'表1-资金筹措及还本付息表'!P11</f>
        <v>13705.209949361466</v>
      </c>
      <c r="P101" s="31">
        <f ca="1">O101+'表1-资金筹措及还本付息表'!Q11</f>
        <v>13705.209949361466</v>
      </c>
      <c r="Q101" s="31">
        <f ca="1">P101+'表1-资金筹措及还本付息表'!R11</f>
        <v>13705.209949361466</v>
      </c>
      <c r="R101" s="31">
        <f ca="1">Q101+'表1-资金筹措及还本付息表'!S11</f>
        <v>13705.209949361466</v>
      </c>
      <c r="S101" s="31">
        <f ca="1">R101+'表1-资金筹措及还本付息表'!T11</f>
        <v>13705.209949361466</v>
      </c>
      <c r="T101" s="31">
        <f ca="1">S101+'表1-资金筹措及还本付息表'!U11</f>
        <v>13705.209949361466</v>
      </c>
      <c r="U101" s="31">
        <f ca="1">T101+'表1-资金筹措及还本付息表'!V11</f>
        <v>13705.209949361466</v>
      </c>
      <c r="V101" s="31">
        <f ca="1">U101+'表1-资金筹措及还本付息表'!W11</f>
        <v>13705.209949361466</v>
      </c>
      <c r="W101" s="31">
        <f ca="1">V101+'表1-资金筹措及还本付息表'!X11</f>
        <v>13705.209949361466</v>
      </c>
      <c r="X101" s="31">
        <f ca="1">W101+'表1-资金筹措及还本付息表'!Y11</f>
        <v>13705.209949361466</v>
      </c>
      <c r="Y101" s="31">
        <f ca="1">X101+'表1-资金筹措及还本付息表'!Z11</f>
        <v>13705.209949361466</v>
      </c>
      <c r="Z101" s="31">
        <f ca="1">Y101+'表1-资金筹措及还本付息表'!AA11</f>
        <v>13705.209949361466</v>
      </c>
    </row>
    <row r="102" spans="2:26" x14ac:dyDescent="0.25">
      <c r="B102" s="21"/>
      <c r="C102" s="27" t="s">
        <v>650</v>
      </c>
      <c r="D102" s="21" t="s">
        <v>120</v>
      </c>
      <c r="E102" s="26"/>
      <c r="F102" s="26"/>
      <c r="G102" s="26"/>
      <c r="H102" s="26"/>
      <c r="I102" s="26"/>
      <c r="J102" s="26"/>
      <c r="K102" s="26"/>
      <c r="L102" s="26"/>
      <c r="M102" s="26"/>
      <c r="N102" s="26"/>
      <c r="O102" s="26"/>
      <c r="P102" s="26"/>
      <c r="Q102" s="26"/>
      <c r="R102" s="26"/>
      <c r="S102" s="26"/>
      <c r="T102" s="26"/>
      <c r="U102" s="26"/>
      <c r="V102" s="26"/>
      <c r="W102" s="26"/>
      <c r="X102" s="26"/>
      <c r="Y102" s="26"/>
      <c r="Z102" s="26"/>
    </row>
    <row r="103" spans="2:26" x14ac:dyDescent="0.25">
      <c r="B103" s="21"/>
      <c r="C103" s="27" t="s">
        <v>651</v>
      </c>
      <c r="D103" s="21" t="s">
        <v>120</v>
      </c>
      <c r="E103" s="26"/>
      <c r="F103" s="26"/>
      <c r="G103" s="26"/>
      <c r="H103" s="26"/>
      <c r="I103" s="26"/>
      <c r="J103" s="26"/>
      <c r="K103" s="26"/>
      <c r="L103" s="26"/>
      <c r="M103" s="26"/>
      <c r="N103" s="26"/>
      <c r="O103" s="26"/>
      <c r="P103" s="26"/>
      <c r="Q103" s="26"/>
      <c r="R103" s="26"/>
      <c r="S103" s="26"/>
      <c r="T103" s="26"/>
      <c r="U103" s="26"/>
      <c r="V103" s="26"/>
      <c r="W103" s="26"/>
      <c r="X103" s="26"/>
      <c r="Y103" s="26"/>
      <c r="Z103" s="26"/>
    </row>
    <row r="104" spans="2:26" x14ac:dyDescent="0.25">
      <c r="B104" s="21"/>
      <c r="C104" s="27" t="s">
        <v>652</v>
      </c>
      <c r="D104" s="21" t="s">
        <v>120</v>
      </c>
      <c r="E104" s="26"/>
      <c r="F104" s="26"/>
      <c r="G104" s="26"/>
      <c r="H104" s="26"/>
      <c r="I104" s="26"/>
      <c r="J104" s="26"/>
      <c r="K104" s="26"/>
      <c r="L104" s="26"/>
      <c r="M104" s="26"/>
      <c r="N104" s="26"/>
      <c r="O104" s="26"/>
      <c r="P104" s="26"/>
      <c r="Q104" s="26"/>
      <c r="R104" s="26"/>
      <c r="S104" s="26"/>
      <c r="T104" s="26"/>
      <c r="U104" s="26"/>
      <c r="V104" s="26"/>
      <c r="W104" s="26"/>
      <c r="X104" s="26"/>
      <c r="Y104" s="26"/>
      <c r="Z104" s="26"/>
    </row>
    <row r="105" spans="2:26" x14ac:dyDescent="0.25">
      <c r="B105" s="21"/>
      <c r="C105" s="27" t="s">
        <v>653</v>
      </c>
      <c r="D105" s="21" t="s">
        <v>120</v>
      </c>
      <c r="E105" s="26"/>
      <c r="F105" s="26"/>
      <c r="G105" s="26"/>
      <c r="H105" s="26"/>
      <c r="I105" s="26"/>
      <c r="J105" s="26"/>
      <c r="K105" s="26"/>
      <c r="L105" s="26"/>
      <c r="M105" s="26"/>
      <c r="N105" s="26"/>
      <c r="O105" s="26"/>
      <c r="P105" s="26"/>
      <c r="Q105" s="26"/>
      <c r="R105" s="26"/>
      <c r="S105" s="26"/>
      <c r="T105" s="26"/>
      <c r="U105" s="26"/>
      <c r="V105" s="26"/>
      <c r="W105" s="26"/>
      <c r="X105" s="26"/>
      <c r="Y105" s="26"/>
      <c r="Z105" s="26"/>
    </row>
    <row r="106" spans="2:26" x14ac:dyDescent="0.25">
      <c r="B106" s="21"/>
      <c r="C106" s="27" t="s">
        <v>654</v>
      </c>
      <c r="D106" s="21" t="s">
        <v>120</v>
      </c>
      <c r="E106" s="26"/>
      <c r="F106" s="26"/>
      <c r="G106" s="26"/>
      <c r="H106" s="26"/>
      <c r="I106" s="26"/>
      <c r="J106" s="26"/>
      <c r="K106" s="26"/>
      <c r="L106" s="26"/>
      <c r="M106" s="26"/>
      <c r="N106" s="26"/>
      <c r="O106" s="26"/>
      <c r="P106" s="26"/>
      <c r="Q106" s="26"/>
      <c r="R106" s="26"/>
      <c r="S106" s="26"/>
      <c r="T106" s="26"/>
      <c r="U106" s="26"/>
      <c r="V106" s="26"/>
      <c r="W106" s="26"/>
      <c r="X106" s="26"/>
      <c r="Y106" s="26"/>
      <c r="Z106" s="26"/>
    </row>
    <row r="107" spans="2:26" x14ac:dyDescent="0.25">
      <c r="B107" s="21"/>
      <c r="C107" s="25" t="s">
        <v>655</v>
      </c>
      <c r="D107" s="21" t="s">
        <v>120</v>
      </c>
      <c r="E107" s="26"/>
      <c r="F107" s="26"/>
      <c r="G107" s="26"/>
      <c r="H107" s="26"/>
      <c r="I107" s="26"/>
      <c r="J107" s="26"/>
      <c r="K107" s="26"/>
      <c r="L107" s="26"/>
      <c r="M107" s="26"/>
      <c r="N107" s="26"/>
      <c r="O107" s="26"/>
      <c r="P107" s="26"/>
      <c r="Q107" s="26"/>
      <c r="R107" s="26"/>
      <c r="S107" s="26"/>
      <c r="T107" s="26"/>
      <c r="U107" s="26"/>
      <c r="V107" s="26"/>
      <c r="W107" s="26"/>
      <c r="X107" s="26"/>
      <c r="Y107" s="26"/>
      <c r="Z107" s="26"/>
    </row>
    <row r="108" spans="2:26" x14ac:dyDescent="0.25">
      <c r="B108" s="21"/>
      <c r="C108" s="25" t="s">
        <v>656</v>
      </c>
      <c r="D108" s="21" t="s">
        <v>120</v>
      </c>
      <c r="E108" s="26">
        <f ca="1">E101-E107</f>
        <v>8075.102045679706</v>
      </c>
      <c r="F108" s="26">
        <f ca="1">IF('表1-资金筹措及还本付息表'!G5=0,0,F101-F107)</f>
        <v>13590.909949361467</v>
      </c>
      <c r="G108" s="26">
        <f ca="1">G101-G107</f>
        <v>13705.209949361466</v>
      </c>
      <c r="H108" s="26">
        <f t="shared" ref="H108:Z108" ca="1" si="13">H101-H107</f>
        <v>13705.209949361466</v>
      </c>
      <c r="I108" s="26">
        <f t="shared" ca="1" si="13"/>
        <v>13705.209949361466</v>
      </c>
      <c r="J108" s="26">
        <f t="shared" ca="1" si="13"/>
        <v>13705.209949361466</v>
      </c>
      <c r="K108" s="26">
        <f t="shared" ca="1" si="13"/>
        <v>13705.209949361466</v>
      </c>
      <c r="L108" s="26">
        <f t="shared" ca="1" si="13"/>
        <v>13705.209949361466</v>
      </c>
      <c r="M108" s="26">
        <f t="shared" ca="1" si="13"/>
        <v>13705.209949361466</v>
      </c>
      <c r="N108" s="26">
        <f t="shared" ca="1" si="13"/>
        <v>13705.209949361466</v>
      </c>
      <c r="O108" s="26">
        <f t="shared" ca="1" si="13"/>
        <v>13705.209949361466</v>
      </c>
      <c r="P108" s="26">
        <f t="shared" ca="1" si="13"/>
        <v>13705.209949361466</v>
      </c>
      <c r="Q108" s="26">
        <f t="shared" ca="1" si="13"/>
        <v>13705.209949361466</v>
      </c>
      <c r="R108" s="26">
        <f t="shared" ca="1" si="13"/>
        <v>13705.209949361466</v>
      </c>
      <c r="S108" s="26">
        <f t="shared" ca="1" si="13"/>
        <v>13705.209949361466</v>
      </c>
      <c r="T108" s="26">
        <f t="shared" ca="1" si="13"/>
        <v>13705.209949361466</v>
      </c>
      <c r="U108" s="26">
        <f t="shared" ca="1" si="13"/>
        <v>13705.209949361466</v>
      </c>
      <c r="V108" s="26">
        <f t="shared" ca="1" si="13"/>
        <v>13705.209949361466</v>
      </c>
      <c r="W108" s="26">
        <f t="shared" ca="1" si="13"/>
        <v>13705.209949361466</v>
      </c>
      <c r="X108" s="26">
        <f t="shared" ca="1" si="13"/>
        <v>13705.209949361466</v>
      </c>
      <c r="Y108" s="26">
        <f t="shared" ca="1" si="13"/>
        <v>13705.209949361466</v>
      </c>
      <c r="Z108" s="26">
        <f t="shared" ca="1" si="13"/>
        <v>13705.209949361466</v>
      </c>
    </row>
    <row r="109" spans="2:26" x14ac:dyDescent="0.25">
      <c r="B109" s="21"/>
      <c r="C109" s="25" t="s">
        <v>657</v>
      </c>
      <c r="D109" s="21" t="s">
        <v>120</v>
      </c>
      <c r="E109" s="26"/>
      <c r="F109" s="26"/>
      <c r="G109" s="26"/>
      <c r="H109" s="26"/>
      <c r="I109" s="26"/>
      <c r="J109" s="26"/>
      <c r="K109" s="26"/>
      <c r="L109" s="26"/>
      <c r="M109" s="26"/>
      <c r="N109" s="26"/>
      <c r="O109" s="26"/>
      <c r="P109" s="26"/>
      <c r="Q109" s="26"/>
      <c r="R109" s="26"/>
      <c r="S109" s="26"/>
      <c r="T109" s="26"/>
      <c r="U109" s="26"/>
      <c r="V109" s="26"/>
      <c r="W109" s="26"/>
      <c r="X109" s="26"/>
      <c r="Y109" s="26"/>
      <c r="Z109" s="26"/>
    </row>
    <row r="110" spans="2:26" x14ac:dyDescent="0.25">
      <c r="B110" s="21"/>
      <c r="C110" s="27" t="s">
        <v>638</v>
      </c>
      <c r="D110" s="21" t="s">
        <v>120</v>
      </c>
      <c r="E110" s="26"/>
      <c r="F110" s="26"/>
      <c r="G110" s="26"/>
      <c r="H110" s="26"/>
      <c r="I110" s="26"/>
      <c r="J110" s="26"/>
      <c r="K110" s="26"/>
      <c r="L110" s="26"/>
      <c r="M110" s="26"/>
      <c r="N110" s="26"/>
      <c r="O110" s="26"/>
      <c r="P110" s="26"/>
      <c r="Q110" s="26"/>
      <c r="R110" s="26"/>
      <c r="S110" s="26"/>
      <c r="T110" s="26"/>
      <c r="U110" s="26"/>
      <c r="V110" s="26"/>
      <c r="W110" s="26"/>
      <c r="X110" s="26"/>
      <c r="Y110" s="26"/>
      <c r="Z110" s="26"/>
    </row>
    <row r="111" spans="2:26" x14ac:dyDescent="0.25">
      <c r="B111" s="21"/>
      <c r="C111" s="27" t="s">
        <v>639</v>
      </c>
      <c r="D111" s="21" t="s">
        <v>120</v>
      </c>
      <c r="E111" s="26"/>
      <c r="F111" s="26"/>
      <c r="G111" s="26"/>
      <c r="H111" s="26"/>
      <c r="I111" s="26"/>
      <c r="J111" s="26"/>
      <c r="K111" s="26"/>
      <c r="L111" s="26"/>
      <c r="M111" s="26"/>
      <c r="N111" s="26"/>
      <c r="O111" s="26"/>
      <c r="P111" s="26"/>
      <c r="Q111" s="26"/>
      <c r="R111" s="26"/>
      <c r="S111" s="26"/>
      <c r="T111" s="26"/>
      <c r="U111" s="26"/>
      <c r="V111" s="26"/>
      <c r="W111" s="26"/>
      <c r="X111" s="26"/>
      <c r="Y111" s="26"/>
      <c r="Z111" s="26"/>
    </row>
    <row r="112" spans="2:26" x14ac:dyDescent="0.25">
      <c r="B112" s="21"/>
      <c r="C112" s="25" t="s">
        <v>658</v>
      </c>
      <c r="D112" s="21" t="s">
        <v>120</v>
      </c>
      <c r="E112" s="26"/>
      <c r="F112" s="26"/>
      <c r="G112" s="26"/>
      <c r="H112" s="26"/>
      <c r="I112" s="26"/>
      <c r="J112" s="26"/>
      <c r="K112" s="26"/>
      <c r="L112" s="26"/>
      <c r="M112" s="26"/>
      <c r="N112" s="26"/>
      <c r="O112" s="26"/>
      <c r="P112" s="26"/>
      <c r="Q112" s="26"/>
      <c r="R112" s="26"/>
      <c r="S112" s="26"/>
      <c r="T112" s="26"/>
      <c r="U112" s="26"/>
      <c r="V112" s="26"/>
      <c r="W112" s="26"/>
      <c r="X112" s="26"/>
      <c r="Y112" s="26"/>
      <c r="Z112" s="26"/>
    </row>
    <row r="113" spans="2:26" x14ac:dyDescent="0.25">
      <c r="B113" s="21"/>
      <c r="C113" s="25" t="s">
        <v>659</v>
      </c>
      <c r="D113" s="21" t="s">
        <v>120</v>
      </c>
      <c r="E113" s="26"/>
      <c r="F113" s="26"/>
      <c r="G113" s="26"/>
      <c r="H113" s="26"/>
      <c r="I113" s="26"/>
      <c r="J113" s="26"/>
      <c r="K113" s="26"/>
      <c r="L113" s="26"/>
      <c r="M113" s="26"/>
      <c r="N113" s="26"/>
      <c r="O113" s="26"/>
      <c r="P113" s="26"/>
      <c r="Q113" s="26"/>
      <c r="R113" s="26"/>
      <c r="S113" s="26"/>
      <c r="T113" s="26"/>
      <c r="U113" s="26"/>
      <c r="V113" s="26"/>
      <c r="W113" s="26"/>
      <c r="X113" s="26"/>
      <c r="Y113" s="26"/>
      <c r="Z113" s="26"/>
    </row>
    <row r="114" spans="2:26" x14ac:dyDescent="0.25">
      <c r="B114" s="21"/>
      <c r="C114" s="25" t="s">
        <v>660</v>
      </c>
      <c r="D114" s="21" t="s">
        <v>120</v>
      </c>
      <c r="E114" s="26"/>
      <c r="F114" s="26"/>
      <c r="G114" s="26"/>
      <c r="H114" s="26"/>
      <c r="I114" s="26"/>
      <c r="J114" s="26"/>
      <c r="K114" s="26"/>
      <c r="L114" s="26"/>
      <c r="M114" s="26"/>
      <c r="N114" s="26"/>
      <c r="O114" s="26"/>
      <c r="P114" s="26"/>
      <c r="Q114" s="26"/>
      <c r="R114" s="26"/>
      <c r="S114" s="26"/>
      <c r="T114" s="26"/>
      <c r="U114" s="26"/>
      <c r="V114" s="26"/>
      <c r="W114" s="26"/>
      <c r="X114" s="26"/>
      <c r="Y114" s="26"/>
      <c r="Z114" s="26"/>
    </row>
    <row r="115" spans="2:26" x14ac:dyDescent="0.25">
      <c r="B115" s="21"/>
      <c r="C115" s="27" t="s">
        <v>661</v>
      </c>
      <c r="D115" s="21" t="s">
        <v>120</v>
      </c>
      <c r="E115" s="26"/>
      <c r="F115" s="26"/>
      <c r="G115" s="26"/>
      <c r="H115" s="26"/>
      <c r="I115" s="26"/>
      <c r="J115" s="26"/>
      <c r="K115" s="26"/>
      <c r="L115" s="26"/>
      <c r="M115" s="26"/>
      <c r="N115" s="26"/>
      <c r="O115" s="26"/>
      <c r="P115" s="26"/>
      <c r="Q115" s="26"/>
      <c r="R115" s="26"/>
      <c r="S115" s="26"/>
      <c r="T115" s="26"/>
      <c r="U115" s="26"/>
      <c r="V115" s="26"/>
      <c r="W115" s="26"/>
      <c r="X115" s="26"/>
      <c r="Y115" s="26"/>
      <c r="Z115" s="26"/>
    </row>
    <row r="116" spans="2:26" x14ac:dyDescent="0.25">
      <c r="B116" s="21"/>
      <c r="C116" s="25" t="s">
        <v>662</v>
      </c>
      <c r="D116" s="21" t="s">
        <v>120</v>
      </c>
      <c r="E116" s="26"/>
      <c r="F116" s="26"/>
      <c r="G116" s="26"/>
      <c r="H116" s="26"/>
      <c r="I116" s="26"/>
      <c r="J116" s="26"/>
      <c r="K116" s="26"/>
      <c r="L116" s="26"/>
      <c r="M116" s="26"/>
      <c r="N116" s="26"/>
      <c r="O116" s="26"/>
      <c r="P116" s="26"/>
      <c r="Q116" s="26"/>
      <c r="R116" s="26"/>
      <c r="S116" s="26"/>
      <c r="T116" s="26"/>
      <c r="U116" s="26"/>
      <c r="V116" s="26"/>
      <c r="W116" s="26"/>
      <c r="X116" s="26"/>
      <c r="Y116" s="26"/>
      <c r="Z116" s="26"/>
    </row>
    <row r="117" spans="2:26" x14ac:dyDescent="0.25">
      <c r="B117" s="21"/>
      <c r="C117" s="25" t="s">
        <v>663</v>
      </c>
      <c r="D117" s="21" t="s">
        <v>120</v>
      </c>
      <c r="E117" s="26">
        <f>SUM(E118:E122)</f>
        <v>0</v>
      </c>
      <c r="F117" s="26">
        <f t="shared" ref="F117:Z117" si="14">SUM(F118:F122)</f>
        <v>0</v>
      </c>
      <c r="G117" s="26">
        <f t="shared" ca="1" si="14"/>
        <v>512.20406417134336</v>
      </c>
      <c r="H117" s="26">
        <f t="shared" ca="1" si="14"/>
        <v>453.40200177250347</v>
      </c>
      <c r="I117" s="26">
        <f t="shared" ca="1" si="14"/>
        <v>407.57482851560826</v>
      </c>
      <c r="J117" s="26">
        <f t="shared" ca="1" si="14"/>
        <v>374.72127278595917</v>
      </c>
      <c r="K117" s="26">
        <f t="shared" ca="1" si="14"/>
        <v>354.84006869112318</v>
      </c>
      <c r="L117" s="26">
        <f t="shared" ca="1" si="14"/>
        <v>265.21645485071684</v>
      </c>
      <c r="M117" s="26">
        <f t="shared" ca="1" si="14"/>
        <v>265.21645485071684</v>
      </c>
      <c r="N117" s="26">
        <f t="shared" ca="1" si="14"/>
        <v>265.21645485071684</v>
      </c>
      <c r="O117" s="26">
        <f t="shared" ca="1" si="14"/>
        <v>265.21645485071684</v>
      </c>
      <c r="P117" s="26">
        <f t="shared" ca="1" si="14"/>
        <v>265.21645485071684</v>
      </c>
      <c r="Q117" s="26">
        <f t="shared" ca="1" si="14"/>
        <v>342.98276401030455</v>
      </c>
      <c r="R117" s="26">
        <f t="shared" ca="1" si="14"/>
        <v>464.1956385152306</v>
      </c>
      <c r="S117" s="26">
        <f t="shared" ca="1" si="14"/>
        <v>595.31641719962022</v>
      </c>
      <c r="T117" s="26">
        <f t="shared" ca="1" si="14"/>
        <v>736.77315673462283</v>
      </c>
      <c r="U117" s="26">
        <f t="shared" ca="1" si="14"/>
        <v>888.56251297884523</v>
      </c>
      <c r="V117" s="26">
        <f t="shared" ca="1" si="14"/>
        <v>1228.0176804144921</v>
      </c>
      <c r="W117" s="26">
        <f t="shared" ca="1" si="14"/>
        <v>1568.4014486885694</v>
      </c>
      <c r="X117" s="26">
        <f t="shared" ca="1" si="14"/>
        <v>1909.7105186027413</v>
      </c>
      <c r="Y117" s="26">
        <f t="shared" ca="1" si="14"/>
        <v>2251.9416058050647</v>
      </c>
      <c r="Z117" s="26">
        <f t="shared" ca="1" si="14"/>
        <v>2595.0914407231794</v>
      </c>
    </row>
    <row r="118" spans="2:26" x14ac:dyDescent="0.25">
      <c r="B118" s="21"/>
      <c r="C118" s="27" t="s">
        <v>664</v>
      </c>
      <c r="D118" s="21" t="s">
        <v>120</v>
      </c>
      <c r="E118" s="26"/>
      <c r="F118" s="26"/>
      <c r="G118" s="26">
        <f ca="1">'表5-利润表-资本金'!H28</f>
        <v>512.20406417134336</v>
      </c>
      <c r="H118" s="26">
        <f ca="1">'表5-利润表-资本金'!I28</f>
        <v>453.40200177250347</v>
      </c>
      <c r="I118" s="26">
        <f ca="1">'表5-利润表-资本金'!J28</f>
        <v>407.57482851560826</v>
      </c>
      <c r="J118" s="26">
        <f ca="1">'表5-利润表-资本金'!K28</f>
        <v>374.72127278595917</v>
      </c>
      <c r="K118" s="26">
        <f ca="1">'表5-利润表-资本金'!L28</f>
        <v>354.84006869112318</v>
      </c>
      <c r="L118" s="26">
        <f ca="1">'表5-利润表-资本金'!M28</f>
        <v>265.21645485071684</v>
      </c>
      <c r="M118" s="26">
        <f ca="1">'表5-利润表-资本金'!N28</f>
        <v>265.21645485071684</v>
      </c>
      <c r="N118" s="26">
        <f ca="1">'表5-利润表-资本金'!O28</f>
        <v>265.21645485071684</v>
      </c>
      <c r="O118" s="26">
        <f ca="1">'表5-利润表-资本金'!P28</f>
        <v>265.21645485071684</v>
      </c>
      <c r="P118" s="26">
        <f ca="1">'表5-利润表-资本金'!Q28</f>
        <v>265.21645485071684</v>
      </c>
      <c r="Q118" s="26">
        <f ca="1">'表5-利润表-资本金'!R28</f>
        <v>342.98276401030455</v>
      </c>
      <c r="R118" s="26">
        <f ca="1">'表5-利润表-资本金'!S28</f>
        <v>464.1956385152306</v>
      </c>
      <c r="S118" s="26">
        <f ca="1">'表5-利润表-资本金'!T28</f>
        <v>595.31641719962022</v>
      </c>
      <c r="T118" s="26">
        <f ca="1">'表5-利润表-资本金'!U28</f>
        <v>736.77315673462283</v>
      </c>
      <c r="U118" s="26">
        <f ca="1">'表5-利润表-资本金'!V28</f>
        <v>888.56251297884523</v>
      </c>
      <c r="V118" s="26">
        <f ca="1">'表5-利润表-资本金'!W28</f>
        <v>1228.0176804144921</v>
      </c>
      <c r="W118" s="26">
        <f ca="1">'表5-利润表-资本金'!X28</f>
        <v>1568.4014486885694</v>
      </c>
      <c r="X118" s="26">
        <f ca="1">'表5-利润表-资本金'!Y28</f>
        <v>1909.7105186027413</v>
      </c>
      <c r="Y118" s="26">
        <f ca="1">'表5-利润表-资本金'!Z28</f>
        <v>2251.9416058050647</v>
      </c>
      <c r="Z118" s="26">
        <f ca="1">'表5-利润表-资本金'!AA28</f>
        <v>2595.0914407231794</v>
      </c>
    </row>
    <row r="119" spans="2:26" x14ac:dyDescent="0.25">
      <c r="B119" s="21"/>
      <c r="C119" s="27" t="s">
        <v>665</v>
      </c>
      <c r="D119" s="21" t="s">
        <v>120</v>
      </c>
      <c r="E119" s="26"/>
      <c r="F119" s="26"/>
      <c r="G119" s="26"/>
      <c r="H119" s="26"/>
      <c r="I119" s="26"/>
      <c r="J119" s="26"/>
      <c r="K119" s="26"/>
      <c r="L119" s="26"/>
      <c r="M119" s="26"/>
      <c r="N119" s="26"/>
      <c r="O119" s="26"/>
      <c r="P119" s="26"/>
      <c r="Q119" s="26"/>
      <c r="R119" s="26"/>
      <c r="S119" s="26"/>
      <c r="T119" s="26"/>
      <c r="U119" s="26"/>
      <c r="V119" s="26"/>
      <c r="W119" s="26"/>
      <c r="X119" s="26"/>
      <c r="Y119" s="26"/>
      <c r="Z119" s="26"/>
    </row>
    <row r="120" spans="2:26" x14ac:dyDescent="0.25">
      <c r="B120" s="21"/>
      <c r="C120" s="27" t="s">
        <v>666</v>
      </c>
      <c r="D120" s="21" t="s">
        <v>120</v>
      </c>
      <c r="E120" s="26"/>
      <c r="F120" s="26"/>
      <c r="G120" s="26"/>
      <c r="H120" s="26"/>
      <c r="I120" s="26"/>
      <c r="J120" s="26"/>
      <c r="K120" s="26"/>
      <c r="L120" s="26"/>
      <c r="M120" s="26"/>
      <c r="N120" s="26"/>
      <c r="O120" s="26"/>
      <c r="P120" s="26"/>
      <c r="Q120" s="26"/>
      <c r="R120" s="26"/>
      <c r="S120" s="26"/>
      <c r="T120" s="26"/>
      <c r="U120" s="26"/>
      <c r="V120" s="26"/>
      <c r="W120" s="26"/>
      <c r="X120" s="26"/>
      <c r="Y120" s="26"/>
      <c r="Z120" s="26"/>
    </row>
    <row r="121" spans="2:26" x14ac:dyDescent="0.25">
      <c r="B121" s="21"/>
      <c r="C121" s="27" t="s">
        <v>667</v>
      </c>
      <c r="D121" s="21" t="s">
        <v>120</v>
      </c>
      <c r="E121" s="26"/>
      <c r="F121" s="26"/>
      <c r="G121" s="26"/>
      <c r="H121" s="26"/>
      <c r="I121" s="26"/>
      <c r="J121" s="26"/>
      <c r="K121" s="26"/>
      <c r="L121" s="26"/>
      <c r="M121" s="26"/>
      <c r="N121" s="26"/>
      <c r="O121" s="26"/>
      <c r="P121" s="26"/>
      <c r="Q121" s="26"/>
      <c r="R121" s="26"/>
      <c r="S121" s="26"/>
      <c r="T121" s="26"/>
      <c r="U121" s="26"/>
      <c r="V121" s="26"/>
      <c r="W121" s="26"/>
      <c r="X121" s="26"/>
      <c r="Y121" s="26"/>
      <c r="Z121" s="26"/>
    </row>
    <row r="122" spans="2:26" x14ac:dyDescent="0.25">
      <c r="B122" s="21"/>
      <c r="C122" s="27" t="s">
        <v>668</v>
      </c>
      <c r="D122" s="21" t="s">
        <v>120</v>
      </c>
      <c r="E122" s="26"/>
      <c r="F122" s="26"/>
      <c r="G122" s="26"/>
      <c r="H122" s="26"/>
      <c r="I122" s="26"/>
      <c r="J122" s="26"/>
      <c r="K122" s="26"/>
      <c r="L122" s="26"/>
      <c r="M122" s="26"/>
      <c r="N122" s="26"/>
      <c r="O122" s="26"/>
      <c r="P122" s="26"/>
      <c r="Q122" s="26"/>
      <c r="R122" s="26"/>
      <c r="S122" s="26"/>
      <c r="T122" s="26"/>
      <c r="U122" s="26"/>
      <c r="V122" s="26"/>
      <c r="W122" s="26"/>
      <c r="X122" s="26"/>
      <c r="Y122" s="26"/>
      <c r="Z122" s="26"/>
    </row>
    <row r="123" spans="2:26" x14ac:dyDescent="0.25">
      <c r="B123" s="21"/>
      <c r="C123" s="25" t="s">
        <v>669</v>
      </c>
      <c r="D123" s="21" t="s">
        <v>120</v>
      </c>
      <c r="E123" s="26"/>
      <c r="F123" s="26"/>
      <c r="G123" s="26"/>
      <c r="H123" s="26"/>
      <c r="I123" s="26"/>
      <c r="J123" s="26"/>
      <c r="K123" s="26"/>
      <c r="L123" s="26"/>
      <c r="M123" s="26"/>
      <c r="N123" s="26"/>
      <c r="O123" s="26"/>
      <c r="P123" s="26"/>
      <c r="Q123" s="26"/>
      <c r="R123" s="26"/>
      <c r="S123" s="26"/>
      <c r="T123" s="26"/>
      <c r="U123" s="26"/>
      <c r="V123" s="26"/>
      <c r="W123" s="26"/>
      <c r="X123" s="26"/>
      <c r="Y123" s="26"/>
      <c r="Z123" s="26"/>
    </row>
    <row r="124" spans="2:26" x14ac:dyDescent="0.25">
      <c r="B124" s="21"/>
      <c r="C124" s="25" t="s">
        <v>670</v>
      </c>
      <c r="D124" s="21" t="s">
        <v>120</v>
      </c>
      <c r="E124" s="26"/>
      <c r="F124" s="26">
        <f>'表7-利润表-全投资'!G32</f>
        <v>0</v>
      </c>
      <c r="G124" s="26">
        <f ca="1">'表5-利润表-资本金'!H32</f>
        <v>4148.8529197878806</v>
      </c>
      <c r="H124" s="26">
        <f ca="1">'表5-利润表-资本金'!I32</f>
        <v>3257.6709223784892</v>
      </c>
      <c r="I124" s="26">
        <f ca="1">'表5-利润表-资本金'!J32</f>
        <v>2560.7037267597893</v>
      </c>
      <c r="J124" s="26">
        <f ca="1">'表5-利润表-资本金'!K32</f>
        <v>2038.5195526736527</v>
      </c>
      <c r="K124" s="26">
        <f ca="1">'表5-利润表-资本金'!L32</f>
        <v>1673.6298442381158</v>
      </c>
      <c r="L124" s="26">
        <f ca="1">'表5-利润表-资本金'!M32</f>
        <v>780.31558770701292</v>
      </c>
      <c r="M124" s="26">
        <f ca="1">'表5-利润表-资本金'!N32</f>
        <v>869.19778730169958</v>
      </c>
      <c r="N124" s="26">
        <f ca="1">'表5-利润表-资本金'!O32</f>
        <v>1026.7287388461727</v>
      </c>
      <c r="O124" s="26">
        <f ca="1">'表5-利润表-资本金'!P32</f>
        <v>1290.60767812122</v>
      </c>
      <c r="P124" s="26">
        <f ca="1">'表5-利润表-资本金'!Q32</f>
        <v>1652.2925946807709</v>
      </c>
      <c r="Q124" s="26">
        <f ca="1">'表5-利润表-资本金'!R32</f>
        <v>2540.8983048580394</v>
      </c>
      <c r="R124" s="26">
        <f ca="1">'表5-利润表-资本金'!S32</f>
        <v>3268.6327578621363</v>
      </c>
      <c r="S124" s="26">
        <f ca="1">'表5-利润表-资本金'!T32</f>
        <v>4003.8477894194784</v>
      </c>
      <c r="T124" s="26">
        <f ca="1">'表5-利润表-资本金'!U32</f>
        <v>4749.2626007110521</v>
      </c>
      <c r="U124" s="26">
        <f ca="1">'表5-利润表-资本金'!V32</f>
        <v>5503.8301262181485</v>
      </c>
      <c r="V124" s="26">
        <f ca="1">'表5-利润表-资本金'!W32</f>
        <v>7703.0339698250727</v>
      </c>
      <c r="W124" s="26">
        <f ca="1">'表5-利润表-资本金'!X32</f>
        <v>9689.8390958625914</v>
      </c>
      <c r="X124" s="26">
        <f ca="1">'表5-利润表-资本金'!Y32</f>
        <v>11485.458652581125</v>
      </c>
      <c r="Y124" s="26">
        <f ca="1">'表5-利润表-资本金'!Z32</f>
        <v>13108.984593661831</v>
      </c>
      <c r="Z124" s="26">
        <f ca="1">'表5-利润表-资本金'!AA32</f>
        <v>14577.599797132376</v>
      </c>
    </row>
    <row r="125" spans="2:26" x14ac:dyDescent="0.25">
      <c r="B125" s="21"/>
      <c r="C125" s="25" t="s">
        <v>671</v>
      </c>
      <c r="D125" s="21" t="s">
        <v>120</v>
      </c>
      <c r="E125" s="26"/>
      <c r="F125" s="26"/>
      <c r="G125" s="26"/>
      <c r="H125" s="26"/>
      <c r="I125" s="26"/>
      <c r="J125" s="26"/>
      <c r="K125" s="26"/>
      <c r="L125" s="26"/>
      <c r="M125" s="26"/>
      <c r="N125" s="26"/>
      <c r="O125" s="26"/>
      <c r="P125" s="26"/>
      <c r="Q125" s="26"/>
      <c r="R125" s="26"/>
      <c r="S125" s="26"/>
      <c r="T125" s="26"/>
      <c r="U125" s="26"/>
      <c r="V125" s="26"/>
      <c r="W125" s="26"/>
      <c r="X125" s="26"/>
      <c r="Y125" s="26"/>
      <c r="Z125" s="26"/>
    </row>
    <row r="126" spans="2:26" x14ac:dyDescent="0.25">
      <c r="B126" s="21"/>
      <c r="C126" s="25" t="s">
        <v>672</v>
      </c>
      <c r="D126" s="21" t="s">
        <v>120</v>
      </c>
      <c r="E126" s="26"/>
      <c r="F126" s="26"/>
      <c r="G126" s="26"/>
      <c r="H126" s="26"/>
      <c r="I126" s="26"/>
      <c r="J126" s="26"/>
      <c r="K126" s="26"/>
      <c r="L126" s="26"/>
      <c r="M126" s="26"/>
      <c r="N126" s="26"/>
      <c r="O126" s="26"/>
      <c r="P126" s="26"/>
      <c r="Q126" s="26"/>
      <c r="R126" s="26"/>
      <c r="S126" s="26"/>
      <c r="T126" s="26"/>
      <c r="U126" s="26"/>
      <c r="V126" s="26"/>
      <c r="W126" s="26"/>
      <c r="X126" s="26"/>
      <c r="Y126" s="26"/>
      <c r="Z126" s="26"/>
    </row>
    <row r="127" spans="2:26" ht="23.5" customHeight="1" x14ac:dyDescent="0.25">
      <c r="B127" s="19">
        <v>4</v>
      </c>
      <c r="C127" s="20" t="s">
        <v>673</v>
      </c>
      <c r="D127" s="37" t="s">
        <v>120</v>
      </c>
      <c r="E127" s="22">
        <f t="shared" ref="E127:Q127" ca="1" si="15">E100+E57</f>
        <v>39711.14280920061</v>
      </c>
      <c r="F127" s="22">
        <f t="shared" ca="1" si="15"/>
        <v>67290.182327609407</v>
      </c>
      <c r="G127" s="22">
        <f t="shared" ca="1" si="15"/>
        <v>65337.490379127747</v>
      </c>
      <c r="H127" s="22">
        <f t="shared" ca="1" si="15"/>
        <v>61397.517435367517</v>
      </c>
      <c r="I127" s="22">
        <f t="shared" ca="1" si="15"/>
        <v>57665.312759136388</v>
      </c>
      <c r="J127" s="22">
        <f t="shared" ca="1" si="15"/>
        <v>54121.44164546243</v>
      </c>
      <c r="K127" s="22">
        <f t="shared" ca="1" si="15"/>
        <v>50748.412626911057</v>
      </c>
      <c r="L127" s="22">
        <f t="shared" ca="1" si="15"/>
        <v>46670.262738561258</v>
      </c>
      <c r="M127" s="22">
        <f t="shared" ca="1" si="15"/>
        <v>43722.226868130274</v>
      </c>
      <c r="N127" s="22">
        <f t="shared" ca="1" si="15"/>
        <v>40323.515586240719</v>
      </c>
      <c r="O127" s="22">
        <f t="shared" ca="1" si="15"/>
        <v>37007.443033632568</v>
      </c>
      <c r="P127" s="22">
        <f t="shared" ca="1" si="15"/>
        <v>33789.176458308924</v>
      </c>
      <c r="Q127" s="22">
        <f t="shared" ca="1" si="15"/>
        <v>31175.596985762586</v>
      </c>
      <c r="R127" s="22">
        <f t="shared" ref="R127:Z127" ca="1" si="16">R100+R57</f>
        <v>28444.592821388411</v>
      </c>
      <c r="S127" s="22">
        <f t="shared" ca="1" si="16"/>
        <v>25730.977139746945</v>
      </c>
      <c r="T127" s="22">
        <f t="shared" ca="1" si="16"/>
        <v>23037.897198690327</v>
      </c>
      <c r="U127" s="22">
        <f t="shared" ca="1" si="16"/>
        <v>20364.30258855845</v>
      </c>
      <c r="V127" s="22">
        <f t="shared" ca="1" si="16"/>
        <v>22902.961599601033</v>
      </c>
      <c r="W127" s="22">
        <f t="shared" ca="1" si="16"/>
        <v>25230.150493912628</v>
      </c>
      <c r="X127" s="22">
        <f t="shared" ca="1" si="16"/>
        <v>27367.079120545332</v>
      </c>
      <c r="Y127" s="22">
        <f t="shared" ca="1" si="16"/>
        <v>29332.836148828363</v>
      </c>
      <c r="Z127" s="22">
        <f t="shared" ca="1" si="16"/>
        <v>30877.901187217023</v>
      </c>
    </row>
    <row r="128" spans="2:26" s="15" customFormat="1" ht="27.65" customHeight="1" x14ac:dyDescent="0.25">
      <c r="B128" s="38"/>
      <c r="C128" s="39" t="s">
        <v>674</v>
      </c>
      <c r="D128" s="38"/>
      <c r="E128" s="40">
        <f t="shared" ref="E128:Q128" ca="1" si="17">E5-E127</f>
        <v>0</v>
      </c>
      <c r="F128" s="40">
        <f t="shared" ca="1" si="17"/>
        <v>0</v>
      </c>
      <c r="G128" s="40">
        <f t="shared" ca="1" si="17"/>
        <v>0</v>
      </c>
      <c r="H128" s="40">
        <f t="shared" ca="1" si="17"/>
        <v>0</v>
      </c>
      <c r="I128" s="40">
        <f t="shared" ca="1" si="17"/>
        <v>0</v>
      </c>
      <c r="J128" s="40">
        <f t="shared" ca="1" si="17"/>
        <v>0</v>
      </c>
      <c r="K128" s="40">
        <f t="shared" ca="1" si="17"/>
        <v>0</v>
      </c>
      <c r="L128" s="40">
        <f t="shared" ca="1" si="17"/>
        <v>0</v>
      </c>
      <c r="M128" s="40">
        <f t="shared" ca="1" si="17"/>
        <v>0</v>
      </c>
      <c r="N128" s="40">
        <f t="shared" ca="1" si="17"/>
        <v>0</v>
      </c>
      <c r="O128" s="40">
        <f t="shared" ca="1" si="17"/>
        <v>0</v>
      </c>
      <c r="P128" s="40">
        <f t="shared" ca="1" si="17"/>
        <v>0</v>
      </c>
      <c r="Q128" s="40">
        <f t="shared" ca="1" si="17"/>
        <v>0</v>
      </c>
      <c r="R128" s="40">
        <f t="shared" ref="R128:Z128" ca="1" si="18">R5-R127</f>
        <v>0</v>
      </c>
      <c r="S128" s="40">
        <f t="shared" ca="1" si="18"/>
        <v>0</v>
      </c>
      <c r="T128" s="40">
        <f t="shared" ca="1" si="18"/>
        <v>0</v>
      </c>
      <c r="U128" s="40">
        <f t="shared" ca="1" si="18"/>
        <v>0</v>
      </c>
      <c r="V128" s="40">
        <f t="shared" ca="1" si="18"/>
        <v>0</v>
      </c>
      <c r="W128" s="40">
        <f t="shared" ca="1" si="18"/>
        <v>0</v>
      </c>
      <c r="X128" s="40">
        <f t="shared" ca="1" si="18"/>
        <v>0</v>
      </c>
      <c r="Y128" s="40">
        <f t="shared" ca="1" si="18"/>
        <v>0</v>
      </c>
      <c r="Z128" s="40">
        <f t="shared" ca="1" si="18"/>
        <v>0</v>
      </c>
    </row>
    <row r="129" spans="3:26" x14ac:dyDescent="0.25">
      <c r="C129" s="41">
        <f ca="1">MAX(E129:Z129)</f>
        <v>0.79802536597103169</v>
      </c>
      <c r="E129" s="42">
        <f ca="1">E57/E5</f>
        <v>0.79665400000000008</v>
      </c>
      <c r="F129" s="42">
        <f ca="1">F57/F5</f>
        <v>0.79802536597103169</v>
      </c>
      <c r="G129" s="42">
        <f ca="1">G57/G5</f>
        <v>0.71890155519061905</v>
      </c>
      <c r="H129" s="42">
        <f t="shared" ref="H129:Z129" ca="1" si="19">H57/H5</f>
        <v>0.71633571517209316</v>
      </c>
      <c r="I129" s="42">
        <f t="shared" ca="1" si="19"/>
        <v>0.71085757265757399</v>
      </c>
      <c r="J129" s="42">
        <f t="shared" ca="1" si="19"/>
        <v>0.70217994412622109</v>
      </c>
      <c r="K129" s="42">
        <f t="shared" ca="1" si="19"/>
        <v>0.68996705418235282</v>
      </c>
      <c r="L129" s="42">
        <f t="shared" ca="1" si="19"/>
        <v>0.68393702699831993</v>
      </c>
      <c r="M129" s="42">
        <f t="shared" ca="1" si="19"/>
        <v>0.66059312952491234</v>
      </c>
      <c r="N129" s="42">
        <f t="shared" ca="1" si="19"/>
        <v>0.6280791760087574</v>
      </c>
      <c r="O129" s="42">
        <f t="shared" ca="1" si="19"/>
        <v>0.58762257450578004</v>
      </c>
      <c r="P129" s="42">
        <f t="shared" ca="1" si="19"/>
        <v>0.53764132078894589</v>
      </c>
      <c r="Q129" s="42">
        <f t="shared" ca="1" si="19"/>
        <v>0.46788216996114634</v>
      </c>
      <c r="R129" s="42">
        <f t="shared" ca="1" si="19"/>
        <v>0.38694716232230231</v>
      </c>
      <c r="S129" s="42">
        <f t="shared" ca="1" si="19"/>
        <v>0.28862498860544311</v>
      </c>
      <c r="T129" s="42">
        <f t="shared" ca="1" si="19"/>
        <v>0.16697059886619611</v>
      </c>
      <c r="U129" s="42">
        <f t="shared" ca="1" si="19"/>
        <v>1.3096446531384464E-2</v>
      </c>
      <c r="V129" s="42">
        <f t="shared" ca="1" si="19"/>
        <v>1.1644782219110299E-2</v>
      </c>
      <c r="W129" s="42">
        <f t="shared" ca="1" si="19"/>
        <v>1.0570686055334776E-2</v>
      </c>
      <c r="X129" s="42">
        <f t="shared" ca="1" si="19"/>
        <v>9.7452855244526196E-3</v>
      </c>
      <c r="Y129" s="42">
        <f t="shared" ca="1" si="19"/>
        <v>9.0921995625251779E-3</v>
      </c>
      <c r="Z129" s="42">
        <f t="shared" ca="1" si="19"/>
        <v>0</v>
      </c>
    </row>
  </sheetData>
  <mergeCells count="5">
    <mergeCell ref="E3:F3"/>
    <mergeCell ref="G3:Z3"/>
    <mergeCell ref="B3:B4"/>
    <mergeCell ref="C3:C4"/>
    <mergeCell ref="D3:D4"/>
  </mergeCells>
  <phoneticPr fontId="65" type="noConversion"/>
  <conditionalFormatting sqref="E128:Z128">
    <cfRule type="cellIs" dxfId="0" priority="1" operator="notEqual">
      <formula>0</formula>
    </cfRule>
  </conditionalFormatting>
  <pageMargins left="0.7" right="0.7" top="0.75" bottom="0.75" header="0.3" footer="0.3"/>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F20"/>
  <sheetViews>
    <sheetView tabSelected="1" zoomScale="90" zoomScaleNormal="90" workbookViewId="0">
      <selection activeCell="G7" sqref="G7"/>
    </sheetView>
  </sheetViews>
  <sheetFormatPr defaultColWidth="8.90625" defaultRowHeight="14" x14ac:dyDescent="0.25"/>
  <cols>
    <col min="1" max="1" width="8.90625" style="1"/>
    <col min="2" max="2" width="33.08984375" style="1" customWidth="1"/>
    <col min="3" max="3" width="17.26953125" style="1" customWidth="1"/>
    <col min="4" max="4" width="18.26953125" style="1" customWidth="1"/>
    <col min="5" max="16384" width="8.90625" style="1"/>
  </cols>
  <sheetData>
    <row r="1" spans="1:6" x14ac:dyDescent="0.25">
      <c r="A1" s="2" t="s">
        <v>14</v>
      </c>
      <c r="B1" s="2" t="s">
        <v>318</v>
      </c>
      <c r="C1" s="2" t="s">
        <v>38</v>
      </c>
      <c r="D1" s="2" t="s">
        <v>37</v>
      </c>
    </row>
    <row r="2" spans="1:6" x14ac:dyDescent="0.25">
      <c r="A2" s="3" t="s">
        <v>675</v>
      </c>
      <c r="B2" s="3" t="s">
        <v>676</v>
      </c>
      <c r="C2" s="4"/>
      <c r="D2" s="3"/>
    </row>
    <row r="3" spans="1:6" x14ac:dyDescent="0.25">
      <c r="A3" s="5">
        <v>1.1000000000000001</v>
      </c>
      <c r="B3" s="5" t="s">
        <v>41</v>
      </c>
      <c r="C3" s="6" t="s">
        <v>677</v>
      </c>
      <c r="D3" s="7">
        <f>参数输入表!H4</f>
        <v>1000</v>
      </c>
    </row>
    <row r="4" spans="1:6" x14ac:dyDescent="0.25">
      <c r="A4" s="5">
        <v>1.2</v>
      </c>
      <c r="B4" s="5" t="s">
        <v>72</v>
      </c>
      <c r="C4" s="6" t="s">
        <v>88</v>
      </c>
      <c r="D4" s="8">
        <f>参数输入表!I28</f>
        <v>0</v>
      </c>
    </row>
    <row r="5" spans="1:6" x14ac:dyDescent="0.25">
      <c r="A5" s="5">
        <v>1.3</v>
      </c>
      <c r="B5" s="5" t="s">
        <v>47</v>
      </c>
      <c r="C5" s="6" t="s">
        <v>678</v>
      </c>
      <c r="D5" s="7">
        <f>参数输入表!H6</f>
        <v>4000</v>
      </c>
    </row>
    <row r="6" spans="1:6" x14ac:dyDescent="0.25">
      <c r="A6" s="3">
        <v>2</v>
      </c>
      <c r="B6" s="3" t="s">
        <v>145</v>
      </c>
      <c r="C6" s="4" t="s">
        <v>120</v>
      </c>
      <c r="D6" s="9">
        <f ca="1">'表1-资金筹措及还本付息表'!D6</f>
        <v>67671.182327609407</v>
      </c>
    </row>
    <row r="7" spans="1:6" x14ac:dyDescent="0.25">
      <c r="A7" s="3">
        <v>3</v>
      </c>
      <c r="B7" s="3" t="s">
        <v>530</v>
      </c>
      <c r="C7" s="4" t="s">
        <v>120</v>
      </c>
      <c r="D7" s="9">
        <f>参数输入表!H348</f>
        <v>65278.39</v>
      </c>
    </row>
    <row r="8" spans="1:6" x14ac:dyDescent="0.25">
      <c r="A8" s="3">
        <v>4</v>
      </c>
      <c r="B8" s="3" t="s">
        <v>26</v>
      </c>
      <c r="C8" s="4" t="s">
        <v>120</v>
      </c>
      <c r="D8" s="9">
        <f ca="1">参数输入表!H349</f>
        <v>2011.7923276094061</v>
      </c>
    </row>
    <row r="9" spans="1:6" x14ac:dyDescent="0.25">
      <c r="A9" s="3">
        <v>5</v>
      </c>
      <c r="B9" s="3" t="s">
        <v>28</v>
      </c>
      <c r="C9" s="4" t="s">
        <v>120</v>
      </c>
      <c r="D9" s="9">
        <f>参数输入表!H351</f>
        <v>381</v>
      </c>
    </row>
    <row r="10" spans="1:6" x14ac:dyDescent="0.25">
      <c r="A10" s="3">
        <v>6</v>
      </c>
      <c r="B10" s="3" t="s">
        <v>679</v>
      </c>
      <c r="C10" s="4" t="s">
        <v>120</v>
      </c>
      <c r="D10" s="9">
        <f>'表4-收入税金表'!D5</f>
        <v>373365.73584905674</v>
      </c>
    </row>
    <row r="11" spans="1:6" x14ac:dyDescent="0.25">
      <c r="A11" s="3">
        <v>7</v>
      </c>
      <c r="B11" s="3" t="s">
        <v>680</v>
      </c>
      <c r="C11" s="4" t="s">
        <v>120</v>
      </c>
      <c r="D11" s="9">
        <f ca="1">'表3-成本费用表'!D5</f>
        <v>335351.0727652671</v>
      </c>
      <c r="F11" s="1" t="s">
        <v>681</v>
      </c>
    </row>
    <row r="12" spans="1:6" x14ac:dyDescent="0.25">
      <c r="A12" s="3">
        <v>8</v>
      </c>
      <c r="B12" s="3" t="s">
        <v>682</v>
      </c>
      <c r="C12" s="4" t="s">
        <v>120</v>
      </c>
      <c r="D12" s="9">
        <f ca="1">'表4-收入税金表'!D40</f>
        <v>709.49645238497851</v>
      </c>
    </row>
    <row r="13" spans="1:6" x14ac:dyDescent="0.25">
      <c r="A13" s="3">
        <v>9</v>
      </c>
      <c r="B13" s="3" t="s">
        <v>683</v>
      </c>
      <c r="C13" s="4" t="s">
        <v>120</v>
      </c>
      <c r="D13" s="9">
        <f ca="1">'表5-利润表-资本金'!D14</f>
        <v>37305.166631404536</v>
      </c>
    </row>
    <row r="14" spans="1:6" x14ac:dyDescent="0.25">
      <c r="A14" s="3">
        <v>10</v>
      </c>
      <c r="B14" s="3" t="s">
        <v>684</v>
      </c>
      <c r="C14" s="4" t="s">
        <v>94</v>
      </c>
      <c r="D14" s="9">
        <f ca="1">'表8-现金流量表-全投资'!D29</f>
        <v>12.887416040857509</v>
      </c>
    </row>
    <row r="15" spans="1:6" x14ac:dyDescent="0.25">
      <c r="A15" s="3">
        <v>11</v>
      </c>
      <c r="B15" s="3" t="s">
        <v>685</v>
      </c>
      <c r="C15" s="4" t="s">
        <v>94</v>
      </c>
      <c r="D15" s="9">
        <f ca="1">'表8-现金流量表-全投资'!D28</f>
        <v>14.134043398569633</v>
      </c>
    </row>
    <row r="16" spans="1:6" x14ac:dyDescent="0.25">
      <c r="A16" s="3">
        <v>12</v>
      </c>
      <c r="B16" s="3" t="s">
        <v>686</v>
      </c>
      <c r="C16" s="4" t="s">
        <v>88</v>
      </c>
      <c r="D16" s="10">
        <f ca="1">'表8-现金流量表-全投资'!D26</f>
        <v>6.4079985917060656E-2</v>
      </c>
      <c r="E16" s="450" t="s">
        <v>687</v>
      </c>
      <c r="F16" s="450"/>
    </row>
    <row r="17" spans="1:6" x14ac:dyDescent="0.25">
      <c r="A17" s="3">
        <v>13</v>
      </c>
      <c r="B17" s="3" t="s">
        <v>688</v>
      </c>
      <c r="C17" s="4" t="s">
        <v>88</v>
      </c>
      <c r="D17" s="10">
        <f ca="1">'表8-现金流量表-全投资'!D27</f>
        <v>5.1015871817074565E-2</v>
      </c>
      <c r="E17" s="450"/>
      <c r="F17" s="450"/>
    </row>
    <row r="18" spans="1:6" x14ac:dyDescent="0.25">
      <c r="A18" s="3">
        <v>14</v>
      </c>
      <c r="B18" s="3" t="s">
        <v>689</v>
      </c>
      <c r="C18" s="4" t="s">
        <v>88</v>
      </c>
      <c r="D18" s="10">
        <f ca="1">'表6-现金流量表-资本金'!D34</f>
        <v>9.3083588887161506E-2</v>
      </c>
      <c r="E18" s="450"/>
      <c r="F18" s="450"/>
    </row>
    <row r="19" spans="1:6" x14ac:dyDescent="0.25">
      <c r="A19" s="3">
        <v>15</v>
      </c>
      <c r="B19" s="3" t="s">
        <v>690</v>
      </c>
      <c r="C19" s="4" t="s">
        <v>88</v>
      </c>
      <c r="D19" s="11">
        <f ca="1">'表10-资产负债表'!C129</f>
        <v>0.79802536597103169</v>
      </c>
    </row>
    <row r="20" spans="1:6" x14ac:dyDescent="0.25">
      <c r="A20" s="3">
        <v>16</v>
      </c>
      <c r="B20" s="3" t="s">
        <v>691</v>
      </c>
      <c r="C20" s="4" t="s">
        <v>88</v>
      </c>
      <c r="D20" s="11">
        <f ca="1">'表3-成本费用表'!D5/('表4-收入税金表'!D5-'表4-收入税金表'!D40)</f>
        <v>0.89989388962921568</v>
      </c>
    </row>
  </sheetData>
  <mergeCells count="1">
    <mergeCell ref="E16:F18"/>
  </mergeCells>
  <phoneticPr fontId="65" type="noConversion"/>
  <pageMargins left="0.75" right="0.75" top="1" bottom="1" header="0.5" footer="0.5"/>
  <legacy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14</vt:i4>
      </vt:variant>
    </vt:vector>
  </HeadingPairs>
  <TitlesOfParts>
    <vt:vector size="14" baseType="lpstr">
      <vt:lpstr>说明</vt:lpstr>
      <vt:lpstr>可抵扣进项税</vt:lpstr>
      <vt:lpstr>参数输入表</vt:lpstr>
      <vt:lpstr>表1-资金筹措及还本付息表</vt:lpstr>
      <vt:lpstr>表2-折旧摊销表</vt:lpstr>
      <vt:lpstr>表3-成本费用表</vt:lpstr>
      <vt:lpstr>表4-收入税金表</vt:lpstr>
      <vt:lpstr>表5-利润表-资本金</vt:lpstr>
      <vt:lpstr>表6-现金流量表-资本金</vt:lpstr>
      <vt:lpstr>表7-利润表-全投资</vt:lpstr>
      <vt:lpstr>表8-现金流量表-全投资</vt:lpstr>
      <vt:lpstr>表9-现金流量表-财务计划</vt:lpstr>
      <vt:lpstr>表10-资产负债表</vt:lpstr>
      <vt:lpstr>财务指标表</vt:lpstr>
    </vt:vector>
  </TitlesOfParts>
  <Company>神州网信技术有限公司</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HP</dc:creator>
  <cp:lastModifiedBy>Windows User</cp:lastModifiedBy>
  <dcterms:created xsi:type="dcterms:W3CDTF">2023-08-01T06:25:00Z</dcterms:created>
  <dcterms:modified xsi:type="dcterms:W3CDTF">2026-06-03T10:45:45Z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B46353AC527F4617A000EA8E2A92BF12_13</vt:lpwstr>
  </property>
  <property fmtid="{D5CDD505-2E9C-101B-9397-08002B2CF9AE}" pid="3" name="KSOProductBuildVer">
    <vt:lpwstr>2052-12.1.0.23542</vt:lpwstr>
  </property>
</Properties>
</file>